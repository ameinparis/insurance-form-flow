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QUOTATIONS\Annuities\"/>
    </mc:Choice>
  </mc:AlternateContent>
  <xr:revisionPtr revIDLastSave="0" documentId="13_ncr:1_{CFE6BEA8-9E73-4B06-AA23-9E0026B927F9}" xr6:coauthVersionLast="47" xr6:coauthVersionMax="47" xr10:uidLastSave="{00000000-0000-0000-0000-000000000000}"/>
  <bookViews>
    <workbookView xWindow="-108" yWindow="-108" windowWidth="23256" windowHeight="12456" firstSheet="1" activeTab="1" xr2:uid="{9814F2EB-CC8D-4BC8-987F-2877F040D9E2}"/>
  </bookViews>
  <sheets>
    <sheet name="InputOuput" sheetId="3" state="hidden" r:id="rId1"/>
    <sheet name="LivingAnnuityTool" sheetId="1" r:id="rId2"/>
    <sheet name="Quote Summary" sheetId="4" r:id="rId3"/>
    <sheet name="Tax" sheetId="2" state="hidden" r:id="rId4"/>
  </sheets>
  <externalReferences>
    <externalReference r:id="rId5"/>
  </externalReferences>
  <definedNames>
    <definedName name="AgeAtStart">InputOuput!$D$5</definedName>
    <definedName name="AmountInvested">LivingAnnuityTool!$AI$5</definedName>
    <definedName name="AmountInvested1">InputOuput!$K$5</definedName>
    <definedName name="AnnualOrMonthly">InputOuput!$G$5</definedName>
    <definedName name="CheckTotal">LivingAnnuityTool!$AI$20</definedName>
    <definedName name="CheckTotal1">InputOuput!$Z$5</definedName>
    <definedName name="DrawdownPercentage">LivingAnnuityTool!$C$5</definedName>
    <definedName name="ExpectedLifeYearsRemaining">LivingAnnuityTool!$AI$10</definedName>
    <definedName name="ExpectedLifeYearsRemaining1">InputOuput!$P$5</definedName>
    <definedName name="ExpectedPaymentPeriod">LivingAnnuityTool!$AI$9</definedName>
    <definedName name="ExpectedPaymentPeriod1">InputOuput!$O$5</definedName>
    <definedName name="FundsAtEndofDrawdown">LivingAnnuityTool!$C$11</definedName>
    <definedName name="ModelPoint">InputOuput!$AC$16</definedName>
    <definedName name="MonthlyBenefit">LivingAnnuityTool!$AI$6</definedName>
    <definedName name="MonthlyBenefit1">InputOuput!$L$5</definedName>
    <definedName name="NoOfFullPmtsToAnnuitant">LivingAnnuityTool!$AI$7</definedName>
    <definedName name="NoOfFullPmtsToAnnuitant1">InputOuput!$M$5</definedName>
    <definedName name="Notice1">LivingAnnuityTool!$B$13:$C$13</definedName>
    <definedName name="PresentValueOfAllCharges">LivingAnnuityTool!$AI$18</definedName>
    <definedName name="PresentValueOfAllCharges1">InputOuput!$X$5</definedName>
    <definedName name="PresentValueOfAssetManagementCharges">LivingAnnuityTool!$AI$15</definedName>
    <definedName name="PresentValueOfAssetManagementCharges1">InputOuput!$U$5</definedName>
    <definedName name="PresentValueOfBenefitsToAnnuitant">LivingAnnuityTool!$AI$4</definedName>
    <definedName name="PresentValueOfBenefitsToAnnuitant1">InputOuput!$J$5</definedName>
    <definedName name="PresentValueOfBenefitsToAnnuitantExclFuneral">LivingAnnuityTool!$AI$19</definedName>
    <definedName name="PresentValueOfBenefitsToAnnuitantExclFuneral1">InputOuput!$Y$5</definedName>
    <definedName name="PresentValueOfCommissionPayments">LivingAnnuityTool!$AI$17</definedName>
    <definedName name="PresentValueOfCommissionPayments1">InputOuput!$W$5</definedName>
    <definedName name="PresentValueOfFeesToInsurer">LivingAnnuityTool!$AI$12</definedName>
    <definedName name="PresentValueOfFeesToInsurer1">InputOuput!$R$5</definedName>
    <definedName name="PurchaseAmount">InputOuput!$E$5</definedName>
    <definedName name="PVOfFeesAsOfAssetsManaged">LivingAnnuityTool!$AI$13</definedName>
    <definedName name="PVofFeesAsOfAssetsManaged1">InputOuput!$S$5</definedName>
    <definedName name="RecommendedDrawdown">InputOuput!$F$5</definedName>
    <definedName name="RemainderPaidInFinalPayment">LivingAnnuityTool!$AI$8</definedName>
    <definedName name="RemainderPaidInFinalPayment1">InputOuput!$N$5</definedName>
    <definedName name="SolveLifeAnnuity">LivingAnnuityTool!$C$39</definedName>
    <definedName name="solver_adj" localSheetId="1" hidden="1">LivingAnnuityTool!$C$5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LivingAnnuityTool!$C$40</definedName>
    <definedName name="solver_lhs2" localSheetId="1" hidden="1">LivingAnnuityTool!$C$38</definedName>
    <definedName name="solver_mip" localSheetId="1" hidden="1">2147483647</definedName>
    <definedName name="solver_mni" localSheetId="1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LivingAnnuityTool!$C$38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el1" localSheetId="1" hidden="1">2</definedName>
    <definedName name="solver_rel2" localSheetId="1" hidden="1">2</definedName>
    <definedName name="solver_rhs1" localSheetId="1" hidden="1">0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SolveZeroAt100">LivingAnnuityTool!$C$38</definedName>
    <definedName name="StartofLA">LivingAnnuityTool!$C$3</definedName>
    <definedName name="StartofRA">LivingAnnuityTool!$C$6</definedName>
    <definedName name="SumOfAssetManagementCharges">LivingAnnuityTool!$AI$14</definedName>
    <definedName name="SumofAssetManagementCharges1">InputOuput!$T$5</definedName>
    <definedName name="SumOfBenefitsToAnnuitant">LivingAnnuityTool!$AI$3</definedName>
    <definedName name="SumOfBenefitsToAnnuitant1">InputOuput!$I$5</definedName>
    <definedName name="SumOfCommissionPayments">LivingAnnuityTool!$AI$16</definedName>
    <definedName name="SumOfCommissionPayments1">InputOuput!$V$5</definedName>
    <definedName name="SumOfFeesToInsurer">LivingAnnuityTool!$AI$11</definedName>
    <definedName name="SumOfFeesToInsurer1">InputOuput!$Q$5</definedName>
    <definedName name="TotalModelPoints">InputOuput!$AC$17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4" l="1"/>
  <c r="A27" i="4" l="1"/>
  <c r="B27" i="4"/>
  <c r="B25" i="4"/>
  <c r="C3" i="4"/>
  <c r="C6" i="4" s="1"/>
  <c r="D21" i="4"/>
  <c r="C21" i="4"/>
  <c r="B21" i="4"/>
  <c r="E20" i="4"/>
  <c r="E19" i="4"/>
  <c r="C5" i="4" l="1"/>
  <c r="C7" i="4" s="1"/>
  <c r="E21" i="4"/>
  <c r="C13" i="4"/>
  <c r="C12" i="4"/>
  <c r="C14" i="4" s="1"/>
  <c r="B24" i="4" s="1"/>
  <c r="C10" i="1" l="1"/>
  <c r="B28" i="4" s="1"/>
  <c r="B29" i="4" s="1"/>
  <c r="AC17" i="3"/>
  <c r="B12" i="1"/>
  <c r="A32" i="4" s="1"/>
  <c r="C12" i="1"/>
  <c r="B32" i="4" s="1"/>
  <c r="B33" i="4" s="1"/>
  <c r="B11" i="1"/>
  <c r="A31" i="4" s="1"/>
  <c r="B10" i="1"/>
  <c r="A28" i="4" s="1"/>
  <c r="B39" i="1"/>
  <c r="AH6" i="1"/>
  <c r="S4" i="1"/>
  <c r="T4" i="1" s="1"/>
  <c r="C35" i="1"/>
  <c r="AV1803" i="1"/>
  <c r="AV1802" i="1"/>
  <c r="AV1801" i="1"/>
  <c r="AV1800" i="1"/>
  <c r="AV1799" i="1"/>
  <c r="AV1798" i="1"/>
  <c r="AV1797" i="1"/>
  <c r="AV1796" i="1"/>
  <c r="AV1795" i="1"/>
  <c r="AV1794" i="1"/>
  <c r="AV1793" i="1"/>
  <c r="AV1792" i="1"/>
  <c r="AV1791" i="1"/>
  <c r="AV1790" i="1"/>
  <c r="AV1789" i="1"/>
  <c r="AV1788" i="1"/>
  <c r="AV1787" i="1"/>
  <c r="AV1786" i="1"/>
  <c r="AV1785" i="1"/>
  <c r="AV1784" i="1"/>
  <c r="AV1783" i="1"/>
  <c r="AV1782" i="1"/>
  <c r="AV1781" i="1"/>
  <c r="AV1780" i="1"/>
  <c r="AV1779" i="1"/>
  <c r="AV1778" i="1"/>
  <c r="AV1777" i="1"/>
  <c r="AV1776" i="1"/>
  <c r="AV1775" i="1"/>
  <c r="AV1774" i="1"/>
  <c r="AV1773" i="1"/>
  <c r="AV1772" i="1"/>
  <c r="AV1771" i="1"/>
  <c r="AV1770" i="1"/>
  <c r="AV1769" i="1"/>
  <c r="AV1768" i="1"/>
  <c r="AV1767" i="1"/>
  <c r="AV1766" i="1"/>
  <c r="AV1765" i="1"/>
  <c r="AV1764" i="1"/>
  <c r="AV1763" i="1"/>
  <c r="AV1762" i="1"/>
  <c r="AV1761" i="1"/>
  <c r="AV1760" i="1"/>
  <c r="AV1759" i="1"/>
  <c r="AV1758" i="1"/>
  <c r="AV1757" i="1"/>
  <c r="AV1756" i="1"/>
  <c r="AV1755" i="1"/>
  <c r="AV1754" i="1"/>
  <c r="AV1753" i="1"/>
  <c r="AV1752" i="1"/>
  <c r="AV1751" i="1"/>
  <c r="AV1750" i="1"/>
  <c r="AV1749" i="1"/>
  <c r="AV1748" i="1"/>
  <c r="AV1747" i="1"/>
  <c r="AV1746" i="1"/>
  <c r="AV1745" i="1"/>
  <c r="AV1744" i="1"/>
  <c r="AV1743" i="1"/>
  <c r="AV1742" i="1"/>
  <c r="AV1741" i="1"/>
  <c r="AV1740" i="1"/>
  <c r="AV1739" i="1"/>
  <c r="AV1738" i="1"/>
  <c r="AV1737" i="1"/>
  <c r="AV1736" i="1"/>
  <c r="AV1735" i="1"/>
  <c r="AV1734" i="1"/>
  <c r="AV1733" i="1"/>
  <c r="AV1732" i="1"/>
  <c r="AV1731" i="1"/>
  <c r="AV1730" i="1"/>
  <c r="AV1729" i="1"/>
  <c r="AV1728" i="1"/>
  <c r="AV1727" i="1"/>
  <c r="AV1726" i="1"/>
  <c r="AV1725" i="1"/>
  <c r="AV1724" i="1"/>
  <c r="AV1723" i="1"/>
  <c r="AV1722" i="1"/>
  <c r="AV1721" i="1"/>
  <c r="AV1720" i="1"/>
  <c r="AV1719" i="1"/>
  <c r="AV1718" i="1"/>
  <c r="AV1717" i="1"/>
  <c r="AV1716" i="1"/>
  <c r="AV1715" i="1"/>
  <c r="AV1714" i="1"/>
  <c r="AV1713" i="1"/>
  <c r="AV1712" i="1"/>
  <c r="AV1711" i="1"/>
  <c r="AV1710" i="1"/>
  <c r="AV1709" i="1"/>
  <c r="AV1708" i="1"/>
  <c r="AV1707" i="1"/>
  <c r="AV1706" i="1"/>
  <c r="AV1705" i="1"/>
  <c r="AV1704" i="1"/>
  <c r="AV1703" i="1"/>
  <c r="AV1702" i="1"/>
  <c r="AV1701" i="1"/>
  <c r="AV1700" i="1"/>
  <c r="AV1699" i="1"/>
  <c r="AV1698" i="1"/>
  <c r="AV1697" i="1"/>
  <c r="AV1696" i="1"/>
  <c r="AV1695" i="1"/>
  <c r="AV1694" i="1"/>
  <c r="AV1693" i="1"/>
  <c r="AV1692" i="1"/>
  <c r="AV1691" i="1"/>
  <c r="AV1690" i="1"/>
  <c r="AV1689" i="1"/>
  <c r="AV1688" i="1"/>
  <c r="AV1687" i="1"/>
  <c r="AV1686" i="1"/>
  <c r="AV1685" i="1"/>
  <c r="AV1684" i="1"/>
  <c r="AV1683" i="1"/>
  <c r="AV1682" i="1"/>
  <c r="AV1681" i="1"/>
  <c r="AV1680" i="1"/>
  <c r="AV1679" i="1"/>
  <c r="AV1678" i="1"/>
  <c r="AV1677" i="1"/>
  <c r="AV1676" i="1"/>
  <c r="AV1675" i="1"/>
  <c r="AV1674" i="1"/>
  <c r="AV1673" i="1"/>
  <c r="AV1672" i="1"/>
  <c r="AV1671" i="1"/>
  <c r="AV1670" i="1"/>
  <c r="AV1669" i="1"/>
  <c r="AV1668" i="1"/>
  <c r="AV1667" i="1"/>
  <c r="AV1666" i="1"/>
  <c r="AV1665" i="1"/>
  <c r="AV1664" i="1"/>
  <c r="AV1663" i="1"/>
  <c r="AV1662" i="1"/>
  <c r="AV1661" i="1"/>
  <c r="AV1660" i="1"/>
  <c r="AV1659" i="1"/>
  <c r="AV1658" i="1"/>
  <c r="AV1657" i="1"/>
  <c r="AV1656" i="1"/>
  <c r="AV1655" i="1"/>
  <c r="AV1654" i="1"/>
  <c r="AV1653" i="1"/>
  <c r="AV1652" i="1"/>
  <c r="AV1651" i="1"/>
  <c r="AV1650" i="1"/>
  <c r="AV1649" i="1"/>
  <c r="AV1648" i="1"/>
  <c r="AV1647" i="1"/>
  <c r="AV1646" i="1"/>
  <c r="AV1645" i="1"/>
  <c r="AV1644" i="1"/>
  <c r="AV1643" i="1"/>
  <c r="AV1642" i="1"/>
  <c r="AV1641" i="1"/>
  <c r="AV1640" i="1"/>
  <c r="AV1639" i="1"/>
  <c r="AV1638" i="1"/>
  <c r="AV1637" i="1"/>
  <c r="AV1636" i="1"/>
  <c r="AV1635" i="1"/>
  <c r="AV1634" i="1"/>
  <c r="AV1633" i="1"/>
  <c r="AV1632" i="1"/>
  <c r="AV1631" i="1"/>
  <c r="AV1630" i="1"/>
  <c r="AV1629" i="1"/>
  <c r="AV1628" i="1"/>
  <c r="AV1627" i="1"/>
  <c r="AV1626" i="1"/>
  <c r="AV1625" i="1"/>
  <c r="AV1624" i="1"/>
  <c r="AV1623" i="1"/>
  <c r="AV1622" i="1"/>
  <c r="AV1621" i="1"/>
  <c r="AV1620" i="1"/>
  <c r="AV1619" i="1"/>
  <c r="AV1618" i="1"/>
  <c r="AV1617" i="1"/>
  <c r="AV1616" i="1"/>
  <c r="AV1615" i="1"/>
  <c r="AV1614" i="1"/>
  <c r="AV1613" i="1"/>
  <c r="AV1612" i="1"/>
  <c r="AV1611" i="1"/>
  <c r="AV1610" i="1"/>
  <c r="AV1609" i="1"/>
  <c r="AV1608" i="1"/>
  <c r="AV1607" i="1"/>
  <c r="AV1606" i="1"/>
  <c r="AV1605" i="1"/>
  <c r="AV1604" i="1"/>
  <c r="AV1603" i="1"/>
  <c r="AV1602" i="1"/>
  <c r="AV1601" i="1"/>
  <c r="AV1600" i="1"/>
  <c r="AV1599" i="1"/>
  <c r="AV1598" i="1"/>
  <c r="AV1597" i="1"/>
  <c r="AV1596" i="1"/>
  <c r="AV1595" i="1"/>
  <c r="AV1594" i="1"/>
  <c r="AV1593" i="1"/>
  <c r="AV1592" i="1"/>
  <c r="AV1591" i="1"/>
  <c r="AV1590" i="1"/>
  <c r="AV1589" i="1"/>
  <c r="AV1588" i="1"/>
  <c r="AV1587" i="1"/>
  <c r="AV1586" i="1"/>
  <c r="AV1585" i="1"/>
  <c r="AV1584" i="1"/>
  <c r="AV1583" i="1"/>
  <c r="AV1582" i="1"/>
  <c r="AV1581" i="1"/>
  <c r="AV1580" i="1"/>
  <c r="AV1579" i="1"/>
  <c r="AV1578" i="1"/>
  <c r="AV1577" i="1"/>
  <c r="AV1576" i="1"/>
  <c r="AV1575" i="1"/>
  <c r="AV1574" i="1"/>
  <c r="AV1573" i="1"/>
  <c r="AV1572" i="1"/>
  <c r="AV1571" i="1"/>
  <c r="AV1570" i="1"/>
  <c r="AV1569" i="1"/>
  <c r="AV1568" i="1"/>
  <c r="AV1567" i="1"/>
  <c r="AV1566" i="1"/>
  <c r="AV1565" i="1"/>
  <c r="AV1564" i="1"/>
  <c r="AV1563" i="1"/>
  <c r="AV1562" i="1"/>
  <c r="AV1561" i="1"/>
  <c r="AV1560" i="1"/>
  <c r="AV1559" i="1"/>
  <c r="AV1558" i="1"/>
  <c r="AV1557" i="1"/>
  <c r="AV1556" i="1"/>
  <c r="AV1555" i="1"/>
  <c r="AV1554" i="1"/>
  <c r="AV1553" i="1"/>
  <c r="AV1552" i="1"/>
  <c r="AV1551" i="1"/>
  <c r="AV1550" i="1"/>
  <c r="AV1549" i="1"/>
  <c r="AV1548" i="1"/>
  <c r="AV1547" i="1"/>
  <c r="AV1546" i="1"/>
  <c r="AV1545" i="1"/>
  <c r="AV1544" i="1"/>
  <c r="AV1543" i="1"/>
  <c r="AV1542" i="1"/>
  <c r="AV1541" i="1"/>
  <c r="AV1540" i="1"/>
  <c r="AV1539" i="1"/>
  <c r="AV1538" i="1"/>
  <c r="AV1537" i="1"/>
  <c r="AV1536" i="1"/>
  <c r="AV1535" i="1"/>
  <c r="AV1534" i="1"/>
  <c r="AV1533" i="1"/>
  <c r="AV1532" i="1"/>
  <c r="AV1531" i="1"/>
  <c r="AV1530" i="1"/>
  <c r="AV1529" i="1"/>
  <c r="AV1528" i="1"/>
  <c r="AV1527" i="1"/>
  <c r="AV1526" i="1"/>
  <c r="AV1525" i="1"/>
  <c r="AV1524" i="1"/>
  <c r="AV1523" i="1"/>
  <c r="AV1522" i="1"/>
  <c r="AV1521" i="1"/>
  <c r="AV1520" i="1"/>
  <c r="AV1519" i="1"/>
  <c r="AV1518" i="1"/>
  <c r="AV1517" i="1"/>
  <c r="AV1516" i="1"/>
  <c r="AV1515" i="1"/>
  <c r="AV1514" i="1"/>
  <c r="AV1513" i="1"/>
  <c r="AV1512" i="1"/>
  <c r="AV1511" i="1"/>
  <c r="AV1510" i="1"/>
  <c r="AV1509" i="1"/>
  <c r="AV1508" i="1"/>
  <c r="AV1507" i="1"/>
  <c r="AV1506" i="1"/>
  <c r="AV1505" i="1"/>
  <c r="AV1504" i="1"/>
  <c r="AV1503" i="1"/>
  <c r="AV1502" i="1"/>
  <c r="AV1501" i="1"/>
  <c r="AV1500" i="1"/>
  <c r="AV1499" i="1"/>
  <c r="AV1498" i="1"/>
  <c r="AV1497" i="1"/>
  <c r="AV1496" i="1"/>
  <c r="AV1495" i="1"/>
  <c r="AV1494" i="1"/>
  <c r="AV1493" i="1"/>
  <c r="AV1492" i="1"/>
  <c r="AV1491" i="1"/>
  <c r="AV1490" i="1"/>
  <c r="AV1489" i="1"/>
  <c r="AV1488" i="1"/>
  <c r="AV1487" i="1"/>
  <c r="AV1486" i="1"/>
  <c r="AV1485" i="1"/>
  <c r="AV1484" i="1"/>
  <c r="AV1483" i="1"/>
  <c r="AV1482" i="1"/>
  <c r="AV1481" i="1"/>
  <c r="AV1480" i="1"/>
  <c r="AV1479" i="1"/>
  <c r="AV1478" i="1"/>
  <c r="AV1477" i="1"/>
  <c r="AV1476" i="1"/>
  <c r="AV1475" i="1"/>
  <c r="AV1474" i="1"/>
  <c r="AV1473" i="1"/>
  <c r="AV1472" i="1"/>
  <c r="AV1471" i="1"/>
  <c r="AV1470" i="1"/>
  <c r="AV1469" i="1"/>
  <c r="AV1468" i="1"/>
  <c r="AV1467" i="1"/>
  <c r="AV1466" i="1"/>
  <c r="AV1465" i="1"/>
  <c r="AV1464" i="1"/>
  <c r="AV1463" i="1"/>
  <c r="AV1462" i="1"/>
  <c r="AV1461" i="1"/>
  <c r="AV1460" i="1"/>
  <c r="AV1459" i="1"/>
  <c r="AV1458" i="1"/>
  <c r="AV1457" i="1"/>
  <c r="AV1456" i="1"/>
  <c r="AV1455" i="1"/>
  <c r="AV1454" i="1"/>
  <c r="AV1453" i="1"/>
  <c r="AV1452" i="1"/>
  <c r="AV1451" i="1"/>
  <c r="AV1450" i="1"/>
  <c r="AV1449" i="1"/>
  <c r="AV1448" i="1"/>
  <c r="AV1447" i="1"/>
  <c r="AV1446" i="1"/>
  <c r="AV1445" i="1"/>
  <c r="AV1444" i="1"/>
  <c r="AV1443" i="1"/>
  <c r="AV1442" i="1"/>
  <c r="AV1441" i="1"/>
  <c r="AV1440" i="1"/>
  <c r="AV1439" i="1"/>
  <c r="AV1438" i="1"/>
  <c r="AV1437" i="1"/>
  <c r="AV1436" i="1"/>
  <c r="AV1435" i="1"/>
  <c r="AV1434" i="1"/>
  <c r="AV1433" i="1"/>
  <c r="AV1432" i="1"/>
  <c r="AV1431" i="1"/>
  <c r="AV1430" i="1"/>
  <c r="AV1429" i="1"/>
  <c r="AV1428" i="1"/>
  <c r="AV1427" i="1"/>
  <c r="AV1426" i="1"/>
  <c r="AV1425" i="1"/>
  <c r="AV1424" i="1"/>
  <c r="AV1423" i="1"/>
  <c r="AV1422" i="1"/>
  <c r="AV1421" i="1"/>
  <c r="AV1420" i="1"/>
  <c r="AV1419" i="1"/>
  <c r="AV1418" i="1"/>
  <c r="AV1417" i="1"/>
  <c r="AV1416" i="1"/>
  <c r="AV1415" i="1"/>
  <c r="AV1414" i="1"/>
  <c r="AV1413" i="1"/>
  <c r="AV1412" i="1"/>
  <c r="AV1411" i="1"/>
  <c r="AV1410" i="1"/>
  <c r="AV1409" i="1"/>
  <c r="AV1408" i="1"/>
  <c r="AV1407" i="1"/>
  <c r="AV1406" i="1"/>
  <c r="AV1405" i="1"/>
  <c r="AV1404" i="1"/>
  <c r="AV1403" i="1"/>
  <c r="AV1402" i="1"/>
  <c r="AV1401" i="1"/>
  <c r="AV1400" i="1"/>
  <c r="AV1399" i="1"/>
  <c r="AV1398" i="1"/>
  <c r="AV1397" i="1"/>
  <c r="AV1396" i="1"/>
  <c r="AV1395" i="1"/>
  <c r="AV1394" i="1"/>
  <c r="AV1393" i="1"/>
  <c r="AV1392" i="1"/>
  <c r="AV1391" i="1"/>
  <c r="AV1390" i="1"/>
  <c r="AV1389" i="1"/>
  <c r="AV1388" i="1"/>
  <c r="AV1387" i="1"/>
  <c r="AV1386" i="1"/>
  <c r="AV1385" i="1"/>
  <c r="AV1384" i="1"/>
  <c r="AV1383" i="1"/>
  <c r="AV1382" i="1"/>
  <c r="AV1381" i="1"/>
  <c r="AV1380" i="1"/>
  <c r="AV1379" i="1"/>
  <c r="AV1378" i="1"/>
  <c r="AV1377" i="1"/>
  <c r="AV1376" i="1"/>
  <c r="AV1375" i="1"/>
  <c r="AV1374" i="1"/>
  <c r="AV1373" i="1"/>
  <c r="AV1372" i="1"/>
  <c r="AV1371" i="1"/>
  <c r="AV1370" i="1"/>
  <c r="AV1369" i="1"/>
  <c r="AV1368" i="1"/>
  <c r="AV1367" i="1"/>
  <c r="AV1366" i="1"/>
  <c r="AV1365" i="1"/>
  <c r="AV1364" i="1"/>
  <c r="AV1363" i="1"/>
  <c r="AV1362" i="1"/>
  <c r="AV1361" i="1"/>
  <c r="AV1360" i="1"/>
  <c r="AV1359" i="1"/>
  <c r="AV1358" i="1"/>
  <c r="AV1357" i="1"/>
  <c r="AV1356" i="1"/>
  <c r="AV1355" i="1"/>
  <c r="AV1354" i="1"/>
  <c r="AV1353" i="1"/>
  <c r="AV1352" i="1"/>
  <c r="AV1351" i="1"/>
  <c r="AV1350" i="1"/>
  <c r="AV1349" i="1"/>
  <c r="AV1348" i="1"/>
  <c r="AV1347" i="1"/>
  <c r="AV1346" i="1"/>
  <c r="AV1345" i="1"/>
  <c r="AV1344" i="1"/>
  <c r="AV1343" i="1"/>
  <c r="AV1342" i="1"/>
  <c r="AV1341" i="1"/>
  <c r="AV1340" i="1"/>
  <c r="AV1339" i="1"/>
  <c r="AV1338" i="1"/>
  <c r="AV1337" i="1"/>
  <c r="AV1336" i="1"/>
  <c r="AV1335" i="1"/>
  <c r="AV1334" i="1"/>
  <c r="AV1333" i="1"/>
  <c r="AV1332" i="1"/>
  <c r="AV1331" i="1"/>
  <c r="AV1330" i="1"/>
  <c r="AV1329" i="1"/>
  <c r="AV1328" i="1"/>
  <c r="AV1327" i="1"/>
  <c r="AV1326" i="1"/>
  <c r="AV1325" i="1"/>
  <c r="AV1324" i="1"/>
  <c r="AV1323" i="1"/>
  <c r="AV1322" i="1"/>
  <c r="AV1321" i="1"/>
  <c r="AV1320" i="1"/>
  <c r="AV1319" i="1"/>
  <c r="AV1318" i="1"/>
  <c r="AV1317" i="1"/>
  <c r="AV1316" i="1"/>
  <c r="AV1315" i="1"/>
  <c r="AV1314" i="1"/>
  <c r="AV1313" i="1"/>
  <c r="AV1312" i="1"/>
  <c r="AV1311" i="1"/>
  <c r="AV1310" i="1"/>
  <c r="AV1309" i="1"/>
  <c r="AV1308" i="1"/>
  <c r="AV1307" i="1"/>
  <c r="AV1306" i="1"/>
  <c r="AV1305" i="1"/>
  <c r="AV1304" i="1"/>
  <c r="AV1303" i="1"/>
  <c r="AV1302" i="1"/>
  <c r="AV1301" i="1"/>
  <c r="AV1300" i="1"/>
  <c r="AV1299" i="1"/>
  <c r="AV1298" i="1"/>
  <c r="AV1297" i="1"/>
  <c r="AV1296" i="1"/>
  <c r="AV1295" i="1"/>
  <c r="AV1294" i="1"/>
  <c r="AV1293" i="1"/>
  <c r="AV1292" i="1"/>
  <c r="AV1291" i="1"/>
  <c r="AV1290" i="1"/>
  <c r="AV1289" i="1"/>
  <c r="AV1288" i="1"/>
  <c r="AV1287" i="1"/>
  <c r="AV1286" i="1"/>
  <c r="AV1285" i="1"/>
  <c r="AV1284" i="1"/>
  <c r="AV1283" i="1"/>
  <c r="AV1282" i="1"/>
  <c r="AV1281" i="1"/>
  <c r="AV1280" i="1"/>
  <c r="AV1279" i="1"/>
  <c r="AV1278" i="1"/>
  <c r="AV1277" i="1"/>
  <c r="AV1276" i="1"/>
  <c r="AV1275" i="1"/>
  <c r="AV1274" i="1"/>
  <c r="AV1273" i="1"/>
  <c r="AV1272" i="1"/>
  <c r="AV1271" i="1"/>
  <c r="AV1270" i="1"/>
  <c r="AV1269" i="1"/>
  <c r="AV1268" i="1"/>
  <c r="AV1267" i="1"/>
  <c r="AV1266" i="1"/>
  <c r="AV1265" i="1"/>
  <c r="AV1264" i="1"/>
  <c r="AV1263" i="1"/>
  <c r="AV1262" i="1"/>
  <c r="AV1261" i="1"/>
  <c r="AV1260" i="1"/>
  <c r="AV1259" i="1"/>
  <c r="AV1258" i="1"/>
  <c r="AV1257" i="1"/>
  <c r="AV1256" i="1"/>
  <c r="AV1255" i="1"/>
  <c r="AV1254" i="1"/>
  <c r="AV1253" i="1"/>
  <c r="AV1252" i="1"/>
  <c r="AV1251" i="1"/>
  <c r="AV1250" i="1"/>
  <c r="AV1249" i="1"/>
  <c r="AV1248" i="1"/>
  <c r="AV1247" i="1"/>
  <c r="AV1246" i="1"/>
  <c r="AV1245" i="1"/>
  <c r="AV1244" i="1"/>
  <c r="AV1243" i="1"/>
  <c r="AV1242" i="1"/>
  <c r="AV1241" i="1"/>
  <c r="AV1240" i="1"/>
  <c r="AV1239" i="1"/>
  <c r="AV1238" i="1"/>
  <c r="AV1237" i="1"/>
  <c r="AV1236" i="1"/>
  <c r="AV1235" i="1"/>
  <c r="AV1234" i="1"/>
  <c r="AV1233" i="1"/>
  <c r="AV1232" i="1"/>
  <c r="AV1231" i="1"/>
  <c r="AV1230" i="1"/>
  <c r="AV1229" i="1"/>
  <c r="AV1228" i="1"/>
  <c r="AV1227" i="1"/>
  <c r="AV1226" i="1"/>
  <c r="AV1225" i="1"/>
  <c r="AV1224" i="1"/>
  <c r="AV1223" i="1"/>
  <c r="AV1222" i="1"/>
  <c r="AV1221" i="1"/>
  <c r="AV1220" i="1"/>
  <c r="AV1219" i="1"/>
  <c r="AV1218" i="1"/>
  <c r="AV1217" i="1"/>
  <c r="AV1216" i="1"/>
  <c r="AV1215" i="1"/>
  <c r="AV1214" i="1"/>
  <c r="AV1213" i="1"/>
  <c r="AV1212" i="1"/>
  <c r="AV1211" i="1"/>
  <c r="AV1210" i="1"/>
  <c r="AV1209" i="1"/>
  <c r="AV1208" i="1"/>
  <c r="AV1207" i="1"/>
  <c r="AV1206" i="1"/>
  <c r="AV1205" i="1"/>
  <c r="AV1204" i="1"/>
  <c r="AV1203" i="1"/>
  <c r="AV1202" i="1"/>
  <c r="AV1201" i="1"/>
  <c r="AV1200" i="1"/>
  <c r="AV1199" i="1"/>
  <c r="AV1198" i="1"/>
  <c r="AV1197" i="1"/>
  <c r="AV1196" i="1"/>
  <c r="AV1195" i="1"/>
  <c r="AV1194" i="1"/>
  <c r="AV1193" i="1"/>
  <c r="AV1192" i="1"/>
  <c r="AV1191" i="1"/>
  <c r="AV1190" i="1"/>
  <c r="AV1189" i="1"/>
  <c r="AV1188" i="1"/>
  <c r="AV1187" i="1"/>
  <c r="AV1186" i="1"/>
  <c r="AV1185" i="1"/>
  <c r="AV1184" i="1"/>
  <c r="AV1183" i="1"/>
  <c r="AV1182" i="1"/>
  <c r="AV1181" i="1"/>
  <c r="AV1180" i="1"/>
  <c r="AV1179" i="1"/>
  <c r="AV1178" i="1"/>
  <c r="AV1177" i="1"/>
  <c r="AV1176" i="1"/>
  <c r="AV1175" i="1"/>
  <c r="AV1174" i="1"/>
  <c r="AV1173" i="1"/>
  <c r="AV1172" i="1"/>
  <c r="AV1171" i="1"/>
  <c r="AV1170" i="1"/>
  <c r="AV1169" i="1"/>
  <c r="AV1168" i="1"/>
  <c r="AV1167" i="1"/>
  <c r="AV1166" i="1"/>
  <c r="AV1165" i="1"/>
  <c r="AV1164" i="1"/>
  <c r="AV1163" i="1"/>
  <c r="AV1162" i="1"/>
  <c r="AV1161" i="1"/>
  <c r="AV1160" i="1"/>
  <c r="AV1159" i="1"/>
  <c r="AV1158" i="1"/>
  <c r="AV1157" i="1"/>
  <c r="AV1156" i="1"/>
  <c r="AV1155" i="1"/>
  <c r="AV1154" i="1"/>
  <c r="AV1153" i="1"/>
  <c r="AV1152" i="1"/>
  <c r="AV1151" i="1"/>
  <c r="AV1150" i="1"/>
  <c r="AV1149" i="1"/>
  <c r="AV1148" i="1"/>
  <c r="AV1147" i="1"/>
  <c r="AV1146" i="1"/>
  <c r="AV1145" i="1"/>
  <c r="AV1144" i="1"/>
  <c r="AV1143" i="1"/>
  <c r="AV1142" i="1"/>
  <c r="AV1141" i="1"/>
  <c r="AV1140" i="1"/>
  <c r="AV1139" i="1"/>
  <c r="AV1138" i="1"/>
  <c r="AV1137" i="1"/>
  <c r="AV1136" i="1"/>
  <c r="AV1135" i="1"/>
  <c r="AV1134" i="1"/>
  <c r="AV1133" i="1"/>
  <c r="AV1132" i="1"/>
  <c r="AV1131" i="1"/>
  <c r="AV1130" i="1"/>
  <c r="AV1129" i="1"/>
  <c r="AV1128" i="1"/>
  <c r="AV1127" i="1"/>
  <c r="AV1126" i="1"/>
  <c r="AV1125" i="1"/>
  <c r="AV1124" i="1"/>
  <c r="AV1123" i="1"/>
  <c r="AV1122" i="1"/>
  <c r="AV1121" i="1"/>
  <c r="AV1120" i="1"/>
  <c r="AV1119" i="1"/>
  <c r="AV1118" i="1"/>
  <c r="AV1117" i="1"/>
  <c r="AV1116" i="1"/>
  <c r="AV1115" i="1"/>
  <c r="AV1114" i="1"/>
  <c r="AV1113" i="1"/>
  <c r="AV1112" i="1"/>
  <c r="AV1111" i="1"/>
  <c r="AV1110" i="1"/>
  <c r="AV1109" i="1"/>
  <c r="AV1108" i="1"/>
  <c r="AV1107" i="1"/>
  <c r="AV1106" i="1"/>
  <c r="AV1105" i="1"/>
  <c r="AV1104" i="1"/>
  <c r="AV1103" i="1"/>
  <c r="AV1102" i="1"/>
  <c r="AV1101" i="1"/>
  <c r="AV1100" i="1"/>
  <c r="AV1099" i="1"/>
  <c r="AV1098" i="1"/>
  <c r="AV1097" i="1"/>
  <c r="AV1096" i="1"/>
  <c r="AV1095" i="1"/>
  <c r="AV1094" i="1"/>
  <c r="AV1093" i="1"/>
  <c r="AV1092" i="1"/>
  <c r="AV1091" i="1"/>
  <c r="AV1090" i="1"/>
  <c r="AV1089" i="1"/>
  <c r="AV1088" i="1"/>
  <c r="AV1087" i="1"/>
  <c r="AV1086" i="1"/>
  <c r="AV1085" i="1"/>
  <c r="AV1084" i="1"/>
  <c r="AV1083" i="1"/>
  <c r="AV1082" i="1"/>
  <c r="AV1081" i="1"/>
  <c r="AV1080" i="1"/>
  <c r="AV1079" i="1"/>
  <c r="AV1078" i="1"/>
  <c r="AV1077" i="1"/>
  <c r="AV1076" i="1"/>
  <c r="AV1075" i="1"/>
  <c r="AV1074" i="1"/>
  <c r="AV1073" i="1"/>
  <c r="AV1072" i="1"/>
  <c r="AV1071" i="1"/>
  <c r="AV1070" i="1"/>
  <c r="AV1069" i="1"/>
  <c r="AV1068" i="1"/>
  <c r="AV1067" i="1"/>
  <c r="AV1066" i="1"/>
  <c r="AV1065" i="1"/>
  <c r="AV1064" i="1"/>
  <c r="AV1063" i="1"/>
  <c r="AV1062" i="1"/>
  <c r="AV1061" i="1"/>
  <c r="AV1060" i="1"/>
  <c r="AV1059" i="1"/>
  <c r="AV1058" i="1"/>
  <c r="AV1057" i="1"/>
  <c r="AV1056" i="1"/>
  <c r="AV1055" i="1"/>
  <c r="AV1054" i="1"/>
  <c r="AV1053" i="1"/>
  <c r="AV1052" i="1"/>
  <c r="AV1051" i="1"/>
  <c r="AV1050" i="1"/>
  <c r="AV1049" i="1"/>
  <c r="AV1048" i="1"/>
  <c r="AV1047" i="1"/>
  <c r="AV1046" i="1"/>
  <c r="AV1045" i="1"/>
  <c r="AV1044" i="1"/>
  <c r="AV1043" i="1"/>
  <c r="AV1042" i="1"/>
  <c r="AV1041" i="1"/>
  <c r="AV1040" i="1"/>
  <c r="AV1039" i="1"/>
  <c r="AV1038" i="1"/>
  <c r="AV1037" i="1"/>
  <c r="AV1036" i="1"/>
  <c r="AV1035" i="1"/>
  <c r="AV1034" i="1"/>
  <c r="AV1033" i="1"/>
  <c r="AV1032" i="1"/>
  <c r="AV1031" i="1"/>
  <c r="AV1030" i="1"/>
  <c r="AV1029" i="1"/>
  <c r="AV1028" i="1"/>
  <c r="AV1027" i="1"/>
  <c r="AV1026" i="1"/>
  <c r="AV1025" i="1"/>
  <c r="AV1024" i="1"/>
  <c r="AV1023" i="1"/>
  <c r="AV1022" i="1"/>
  <c r="AV1021" i="1"/>
  <c r="AV1020" i="1"/>
  <c r="AV1019" i="1"/>
  <c r="AV1018" i="1"/>
  <c r="AV1017" i="1"/>
  <c r="AV1016" i="1"/>
  <c r="AV1015" i="1"/>
  <c r="AV1014" i="1"/>
  <c r="AV1013" i="1"/>
  <c r="AV1012" i="1"/>
  <c r="AV1011" i="1"/>
  <c r="AV1010" i="1"/>
  <c r="AV1009" i="1"/>
  <c r="AV1008" i="1"/>
  <c r="AV1007" i="1"/>
  <c r="AV1006" i="1"/>
  <c r="AV1005" i="1"/>
  <c r="AV1004" i="1"/>
  <c r="AV1003" i="1"/>
  <c r="AV1002" i="1"/>
  <c r="AV1001" i="1"/>
  <c r="AV1000" i="1"/>
  <c r="AV999" i="1"/>
  <c r="AV998" i="1"/>
  <c r="AV997" i="1"/>
  <c r="AV996" i="1"/>
  <c r="AV995" i="1"/>
  <c r="AV994" i="1"/>
  <c r="AV993" i="1"/>
  <c r="AV992" i="1"/>
  <c r="AV991" i="1"/>
  <c r="AV990" i="1"/>
  <c r="AV989" i="1"/>
  <c r="AV988" i="1"/>
  <c r="AV987" i="1"/>
  <c r="AV986" i="1"/>
  <c r="AV985" i="1"/>
  <c r="AV984" i="1"/>
  <c r="AV983" i="1"/>
  <c r="AV982" i="1"/>
  <c r="AV981" i="1"/>
  <c r="AV980" i="1"/>
  <c r="AV979" i="1"/>
  <c r="AV978" i="1"/>
  <c r="AV977" i="1"/>
  <c r="AV976" i="1"/>
  <c r="AV975" i="1"/>
  <c r="AV974" i="1"/>
  <c r="AV973" i="1"/>
  <c r="AV972" i="1"/>
  <c r="AV971" i="1"/>
  <c r="AV970" i="1"/>
  <c r="AV969" i="1"/>
  <c r="AV968" i="1"/>
  <c r="AV967" i="1"/>
  <c r="AV966" i="1"/>
  <c r="AV965" i="1"/>
  <c r="AV964" i="1"/>
  <c r="AV963" i="1"/>
  <c r="AV962" i="1"/>
  <c r="AV961" i="1"/>
  <c r="AV960" i="1"/>
  <c r="AV959" i="1"/>
  <c r="AV958" i="1"/>
  <c r="AV957" i="1"/>
  <c r="AV956" i="1"/>
  <c r="AV955" i="1"/>
  <c r="AV954" i="1"/>
  <c r="AV953" i="1"/>
  <c r="AV952" i="1"/>
  <c r="AV951" i="1"/>
  <c r="AV950" i="1"/>
  <c r="AV949" i="1"/>
  <c r="AV948" i="1"/>
  <c r="AV947" i="1"/>
  <c r="AV946" i="1"/>
  <c r="AV945" i="1"/>
  <c r="AV944" i="1"/>
  <c r="AV943" i="1"/>
  <c r="AV942" i="1"/>
  <c r="AV941" i="1"/>
  <c r="AV940" i="1"/>
  <c r="AV939" i="1"/>
  <c r="AV938" i="1"/>
  <c r="AV937" i="1"/>
  <c r="AV936" i="1"/>
  <c r="AV935" i="1"/>
  <c r="AV934" i="1"/>
  <c r="AV933" i="1"/>
  <c r="AV932" i="1"/>
  <c r="AV931" i="1"/>
  <c r="AV930" i="1"/>
  <c r="AV929" i="1"/>
  <c r="AV928" i="1"/>
  <c r="AV927" i="1"/>
  <c r="AV926" i="1"/>
  <c r="AV925" i="1"/>
  <c r="AV924" i="1"/>
  <c r="AV923" i="1"/>
  <c r="AV922" i="1"/>
  <c r="AV921" i="1"/>
  <c r="AV920" i="1"/>
  <c r="AV919" i="1"/>
  <c r="AV918" i="1"/>
  <c r="AV917" i="1"/>
  <c r="AV916" i="1"/>
  <c r="AV915" i="1"/>
  <c r="AV914" i="1"/>
  <c r="AV913" i="1"/>
  <c r="AV912" i="1"/>
  <c r="AV911" i="1"/>
  <c r="AV910" i="1"/>
  <c r="AV909" i="1"/>
  <c r="AV908" i="1"/>
  <c r="AV907" i="1"/>
  <c r="AV906" i="1"/>
  <c r="AV905" i="1"/>
  <c r="AV904" i="1"/>
  <c r="AV903" i="1"/>
  <c r="AV902" i="1"/>
  <c r="AV901" i="1"/>
  <c r="AV900" i="1"/>
  <c r="AV899" i="1"/>
  <c r="AV898" i="1"/>
  <c r="AV897" i="1"/>
  <c r="AV896" i="1"/>
  <c r="AV895" i="1"/>
  <c r="AV894" i="1"/>
  <c r="AV893" i="1"/>
  <c r="AV892" i="1"/>
  <c r="AV891" i="1"/>
  <c r="AV890" i="1"/>
  <c r="AV889" i="1"/>
  <c r="AV888" i="1"/>
  <c r="AV887" i="1"/>
  <c r="AV886" i="1"/>
  <c r="AV885" i="1"/>
  <c r="AV884" i="1"/>
  <c r="AV883" i="1"/>
  <c r="AV882" i="1"/>
  <c r="AV881" i="1"/>
  <c r="AV880" i="1"/>
  <c r="AV879" i="1"/>
  <c r="AV878" i="1"/>
  <c r="AV877" i="1"/>
  <c r="AV876" i="1"/>
  <c r="AV875" i="1"/>
  <c r="AV874" i="1"/>
  <c r="AV873" i="1"/>
  <c r="AV872" i="1"/>
  <c r="AV871" i="1"/>
  <c r="AV870" i="1"/>
  <c r="AV869" i="1"/>
  <c r="AV868" i="1"/>
  <c r="AV867" i="1"/>
  <c r="AV866" i="1"/>
  <c r="AV865" i="1"/>
  <c r="AV864" i="1"/>
  <c r="AV863" i="1"/>
  <c r="AV862" i="1"/>
  <c r="AV861" i="1"/>
  <c r="AV860" i="1"/>
  <c r="AV859" i="1"/>
  <c r="AV858" i="1"/>
  <c r="AV857" i="1"/>
  <c r="AV856" i="1"/>
  <c r="AV855" i="1"/>
  <c r="AV854" i="1"/>
  <c r="AV853" i="1"/>
  <c r="AV852" i="1"/>
  <c r="AV851" i="1"/>
  <c r="AV850" i="1"/>
  <c r="AV849" i="1"/>
  <c r="AV848" i="1"/>
  <c r="AV847" i="1"/>
  <c r="AV846" i="1"/>
  <c r="AV845" i="1"/>
  <c r="AV844" i="1"/>
  <c r="AV843" i="1"/>
  <c r="AV842" i="1"/>
  <c r="AV841" i="1"/>
  <c r="AV840" i="1"/>
  <c r="AV839" i="1"/>
  <c r="AV838" i="1"/>
  <c r="AV837" i="1"/>
  <c r="AV836" i="1"/>
  <c r="AV835" i="1"/>
  <c r="AV834" i="1"/>
  <c r="AV833" i="1"/>
  <c r="AV832" i="1"/>
  <c r="AV831" i="1"/>
  <c r="AV830" i="1"/>
  <c r="AV829" i="1"/>
  <c r="AV828" i="1"/>
  <c r="AV827" i="1"/>
  <c r="AV826" i="1"/>
  <c r="AV825" i="1"/>
  <c r="AV824" i="1"/>
  <c r="AV823" i="1"/>
  <c r="AV822" i="1"/>
  <c r="AV821" i="1"/>
  <c r="AV820" i="1"/>
  <c r="AV819" i="1"/>
  <c r="AV818" i="1"/>
  <c r="AV817" i="1"/>
  <c r="AV816" i="1"/>
  <c r="AV815" i="1"/>
  <c r="AV814" i="1"/>
  <c r="AV813" i="1"/>
  <c r="AV812" i="1"/>
  <c r="AV811" i="1"/>
  <c r="AV810" i="1"/>
  <c r="AV809" i="1"/>
  <c r="AV808" i="1"/>
  <c r="AV807" i="1"/>
  <c r="AV806" i="1"/>
  <c r="AV805" i="1"/>
  <c r="AV804" i="1"/>
  <c r="AV803" i="1"/>
  <c r="AV802" i="1"/>
  <c r="AV801" i="1"/>
  <c r="AV800" i="1"/>
  <c r="AV799" i="1"/>
  <c r="AV798" i="1"/>
  <c r="AV797" i="1"/>
  <c r="AV796" i="1"/>
  <c r="AV795" i="1"/>
  <c r="AV794" i="1"/>
  <c r="AV793" i="1"/>
  <c r="AV792" i="1"/>
  <c r="AV791" i="1"/>
  <c r="AV790" i="1"/>
  <c r="AV789" i="1"/>
  <c r="AV788" i="1"/>
  <c r="AV787" i="1"/>
  <c r="AV786" i="1"/>
  <c r="AV785" i="1"/>
  <c r="AV784" i="1"/>
  <c r="AV783" i="1"/>
  <c r="AV782" i="1"/>
  <c r="AV781" i="1"/>
  <c r="AV780" i="1"/>
  <c r="AV779" i="1"/>
  <c r="AV778" i="1"/>
  <c r="AV777" i="1"/>
  <c r="AV776" i="1"/>
  <c r="AV775" i="1"/>
  <c r="AV774" i="1"/>
  <c r="AV773" i="1"/>
  <c r="AV772" i="1"/>
  <c r="AV771" i="1"/>
  <c r="AV770" i="1"/>
  <c r="AV769" i="1"/>
  <c r="AV768" i="1"/>
  <c r="AV767" i="1"/>
  <c r="AV766" i="1"/>
  <c r="AV765" i="1"/>
  <c r="AV764" i="1"/>
  <c r="AV763" i="1"/>
  <c r="AV762" i="1"/>
  <c r="AV761" i="1"/>
  <c r="AV760" i="1"/>
  <c r="AV759" i="1"/>
  <c r="AV758" i="1"/>
  <c r="AV757" i="1"/>
  <c r="AV756" i="1"/>
  <c r="AV755" i="1"/>
  <c r="AV754" i="1"/>
  <c r="AV753" i="1"/>
  <c r="AV752" i="1"/>
  <c r="AV751" i="1"/>
  <c r="AV750" i="1"/>
  <c r="AV749" i="1"/>
  <c r="AV748" i="1"/>
  <c r="AV747" i="1"/>
  <c r="AV746" i="1"/>
  <c r="AV745" i="1"/>
  <c r="AV744" i="1"/>
  <c r="AV743" i="1"/>
  <c r="AV742" i="1"/>
  <c r="AV741" i="1"/>
  <c r="AV740" i="1"/>
  <c r="AV739" i="1"/>
  <c r="AV738" i="1"/>
  <c r="AV737" i="1"/>
  <c r="AV736" i="1"/>
  <c r="AV735" i="1"/>
  <c r="AV734" i="1"/>
  <c r="AV733" i="1"/>
  <c r="AV732" i="1"/>
  <c r="AV731" i="1"/>
  <c r="AV730" i="1"/>
  <c r="AV729" i="1"/>
  <c r="AV728" i="1"/>
  <c r="AV727" i="1"/>
  <c r="AV726" i="1"/>
  <c r="AV725" i="1"/>
  <c r="AV724" i="1"/>
  <c r="AV723" i="1"/>
  <c r="AV722" i="1"/>
  <c r="AV721" i="1"/>
  <c r="AV720" i="1"/>
  <c r="AV719" i="1"/>
  <c r="AV718" i="1"/>
  <c r="AV717" i="1"/>
  <c r="AV716" i="1"/>
  <c r="AV715" i="1"/>
  <c r="AV714" i="1"/>
  <c r="AV713" i="1"/>
  <c r="AV712" i="1"/>
  <c r="AV711" i="1"/>
  <c r="AV710" i="1"/>
  <c r="AV709" i="1"/>
  <c r="AV708" i="1"/>
  <c r="AV707" i="1"/>
  <c r="AV706" i="1"/>
  <c r="AV705" i="1"/>
  <c r="AV704" i="1"/>
  <c r="AV703" i="1"/>
  <c r="AV702" i="1"/>
  <c r="AV701" i="1"/>
  <c r="AV700" i="1"/>
  <c r="AV699" i="1"/>
  <c r="AV698" i="1"/>
  <c r="AV697" i="1"/>
  <c r="AV696" i="1"/>
  <c r="AV695" i="1"/>
  <c r="AV694" i="1"/>
  <c r="AV693" i="1"/>
  <c r="AV692" i="1"/>
  <c r="AV691" i="1"/>
  <c r="AV690" i="1"/>
  <c r="AV689" i="1"/>
  <c r="AV688" i="1"/>
  <c r="AV687" i="1"/>
  <c r="AV686" i="1"/>
  <c r="AV685" i="1"/>
  <c r="AV684" i="1"/>
  <c r="AV683" i="1"/>
  <c r="AV682" i="1"/>
  <c r="AV681" i="1"/>
  <c r="AV680" i="1"/>
  <c r="AV679" i="1"/>
  <c r="AV678" i="1"/>
  <c r="AV677" i="1"/>
  <c r="AV676" i="1"/>
  <c r="AV675" i="1"/>
  <c r="AV674" i="1"/>
  <c r="AV673" i="1"/>
  <c r="AV672" i="1"/>
  <c r="AV671" i="1"/>
  <c r="AV670" i="1"/>
  <c r="AV669" i="1"/>
  <c r="AV668" i="1"/>
  <c r="AV667" i="1"/>
  <c r="AV666" i="1"/>
  <c r="AV665" i="1"/>
  <c r="AV664" i="1"/>
  <c r="AV663" i="1"/>
  <c r="AV662" i="1"/>
  <c r="AV661" i="1"/>
  <c r="AV660" i="1"/>
  <c r="AV659" i="1"/>
  <c r="AV658" i="1"/>
  <c r="AV657" i="1"/>
  <c r="AV656" i="1"/>
  <c r="AV655" i="1"/>
  <c r="AV654" i="1"/>
  <c r="AV653" i="1"/>
  <c r="AV652" i="1"/>
  <c r="AV651" i="1"/>
  <c r="AV650" i="1"/>
  <c r="AV649" i="1"/>
  <c r="AV648" i="1"/>
  <c r="AV647" i="1"/>
  <c r="AV646" i="1"/>
  <c r="AV645" i="1"/>
  <c r="AV644" i="1"/>
  <c r="AV643" i="1"/>
  <c r="AV642" i="1"/>
  <c r="AV641" i="1"/>
  <c r="AV640" i="1"/>
  <c r="AV639" i="1"/>
  <c r="AV638" i="1"/>
  <c r="AV637" i="1"/>
  <c r="AV636" i="1"/>
  <c r="AV635" i="1"/>
  <c r="AV634" i="1"/>
  <c r="AV633" i="1"/>
  <c r="AV632" i="1"/>
  <c r="AV631" i="1"/>
  <c r="AV630" i="1"/>
  <c r="AV629" i="1"/>
  <c r="AV628" i="1"/>
  <c r="AV627" i="1"/>
  <c r="AV626" i="1"/>
  <c r="AV625" i="1"/>
  <c r="AV624" i="1"/>
  <c r="AV623" i="1"/>
  <c r="AV622" i="1"/>
  <c r="AV621" i="1"/>
  <c r="AV620" i="1"/>
  <c r="AV619" i="1"/>
  <c r="AV618" i="1"/>
  <c r="AV617" i="1"/>
  <c r="AV616" i="1"/>
  <c r="AV615" i="1"/>
  <c r="AV614" i="1"/>
  <c r="AV613" i="1"/>
  <c r="AV612" i="1"/>
  <c r="AV611" i="1"/>
  <c r="AV610" i="1"/>
  <c r="AV609" i="1"/>
  <c r="AV608" i="1"/>
  <c r="AV607" i="1"/>
  <c r="AV606" i="1"/>
  <c r="AV605" i="1"/>
  <c r="AV604" i="1"/>
  <c r="AV603" i="1"/>
  <c r="AV602" i="1"/>
  <c r="AV601" i="1"/>
  <c r="AV600" i="1"/>
  <c r="AV599" i="1"/>
  <c r="AV598" i="1"/>
  <c r="AV597" i="1"/>
  <c r="AV596" i="1"/>
  <c r="AV595" i="1"/>
  <c r="AV594" i="1"/>
  <c r="AV593" i="1"/>
  <c r="AV592" i="1"/>
  <c r="AV591" i="1"/>
  <c r="AV590" i="1"/>
  <c r="AV589" i="1"/>
  <c r="AV588" i="1"/>
  <c r="AV587" i="1"/>
  <c r="AV586" i="1"/>
  <c r="AV585" i="1"/>
  <c r="AV584" i="1"/>
  <c r="AV583" i="1"/>
  <c r="AV582" i="1"/>
  <c r="AV581" i="1"/>
  <c r="AV580" i="1"/>
  <c r="AV579" i="1"/>
  <c r="AV578" i="1"/>
  <c r="AV577" i="1"/>
  <c r="AV576" i="1"/>
  <c r="AV575" i="1"/>
  <c r="AV574" i="1"/>
  <c r="AV573" i="1"/>
  <c r="AV572" i="1"/>
  <c r="AV571" i="1"/>
  <c r="AV570" i="1"/>
  <c r="AV569" i="1"/>
  <c r="AV568" i="1"/>
  <c r="AV567" i="1"/>
  <c r="AV566" i="1"/>
  <c r="AV565" i="1"/>
  <c r="AV564" i="1"/>
  <c r="AV563" i="1"/>
  <c r="AV562" i="1"/>
  <c r="AV561" i="1"/>
  <c r="AV560" i="1"/>
  <c r="AV559" i="1"/>
  <c r="AV558" i="1"/>
  <c r="AV557" i="1"/>
  <c r="AV556" i="1"/>
  <c r="AV555" i="1"/>
  <c r="AV554" i="1"/>
  <c r="AV553" i="1"/>
  <c r="AV552" i="1"/>
  <c r="AV551" i="1"/>
  <c r="AV550" i="1"/>
  <c r="AV549" i="1"/>
  <c r="AV548" i="1"/>
  <c r="AV547" i="1"/>
  <c r="AV546" i="1"/>
  <c r="AV545" i="1"/>
  <c r="AV544" i="1"/>
  <c r="AV543" i="1"/>
  <c r="AV542" i="1"/>
  <c r="AV541" i="1"/>
  <c r="AV540" i="1"/>
  <c r="AV539" i="1"/>
  <c r="AV538" i="1"/>
  <c r="AV537" i="1"/>
  <c r="AV536" i="1"/>
  <c r="AV535" i="1"/>
  <c r="AV534" i="1"/>
  <c r="AV533" i="1"/>
  <c r="AV532" i="1"/>
  <c r="AV531" i="1"/>
  <c r="AV530" i="1"/>
  <c r="AV529" i="1"/>
  <c r="AV528" i="1"/>
  <c r="AV527" i="1"/>
  <c r="AV526" i="1"/>
  <c r="AV525" i="1"/>
  <c r="AV524" i="1"/>
  <c r="AV523" i="1"/>
  <c r="AV522" i="1"/>
  <c r="AV521" i="1"/>
  <c r="AV520" i="1"/>
  <c r="AV519" i="1"/>
  <c r="AV518" i="1"/>
  <c r="AV517" i="1"/>
  <c r="AV516" i="1"/>
  <c r="AV515" i="1"/>
  <c r="AV514" i="1"/>
  <c r="AV513" i="1"/>
  <c r="AV512" i="1"/>
  <c r="AV511" i="1"/>
  <c r="AV510" i="1"/>
  <c r="AV509" i="1"/>
  <c r="AV508" i="1"/>
  <c r="AV507" i="1"/>
  <c r="AV506" i="1"/>
  <c r="AV505" i="1"/>
  <c r="AV504" i="1"/>
  <c r="AV503" i="1"/>
  <c r="AV502" i="1"/>
  <c r="AV501" i="1"/>
  <c r="AV500" i="1"/>
  <c r="AV499" i="1"/>
  <c r="AV498" i="1"/>
  <c r="AV497" i="1"/>
  <c r="AV496" i="1"/>
  <c r="AV495" i="1"/>
  <c r="AV494" i="1"/>
  <c r="AV493" i="1"/>
  <c r="AV492" i="1"/>
  <c r="AV491" i="1"/>
  <c r="AV490" i="1"/>
  <c r="AV489" i="1"/>
  <c r="AV488" i="1"/>
  <c r="AV487" i="1"/>
  <c r="AV486" i="1"/>
  <c r="AV485" i="1"/>
  <c r="AV484" i="1"/>
  <c r="AV483" i="1"/>
  <c r="AV482" i="1"/>
  <c r="AV481" i="1"/>
  <c r="AV480" i="1"/>
  <c r="AV479" i="1"/>
  <c r="AV478" i="1"/>
  <c r="AV477" i="1"/>
  <c r="AV476" i="1"/>
  <c r="AV475" i="1"/>
  <c r="AV474" i="1"/>
  <c r="AV473" i="1"/>
  <c r="AV472" i="1"/>
  <c r="AV471" i="1"/>
  <c r="AV470" i="1"/>
  <c r="AV469" i="1"/>
  <c r="AV468" i="1"/>
  <c r="AV467" i="1"/>
  <c r="AV466" i="1"/>
  <c r="AV465" i="1"/>
  <c r="AV464" i="1"/>
  <c r="AV463" i="1"/>
  <c r="AV462" i="1"/>
  <c r="AV461" i="1"/>
  <c r="AV460" i="1"/>
  <c r="AV459" i="1"/>
  <c r="AV458" i="1"/>
  <c r="AV457" i="1"/>
  <c r="AV456" i="1"/>
  <c r="AV455" i="1"/>
  <c r="AV454" i="1"/>
  <c r="AV453" i="1"/>
  <c r="AV452" i="1"/>
  <c r="AV451" i="1"/>
  <c r="AV450" i="1"/>
  <c r="AV449" i="1"/>
  <c r="AV448" i="1"/>
  <c r="AV447" i="1"/>
  <c r="AV446" i="1"/>
  <c r="AV445" i="1"/>
  <c r="AV444" i="1"/>
  <c r="AV443" i="1"/>
  <c r="AV442" i="1"/>
  <c r="AV441" i="1"/>
  <c r="AV440" i="1"/>
  <c r="AV439" i="1"/>
  <c r="AV438" i="1"/>
  <c r="AV437" i="1"/>
  <c r="AV436" i="1"/>
  <c r="AV435" i="1"/>
  <c r="AV434" i="1"/>
  <c r="AV433" i="1"/>
  <c r="AV432" i="1"/>
  <c r="AV431" i="1"/>
  <c r="AV430" i="1"/>
  <c r="AV429" i="1"/>
  <c r="AV428" i="1"/>
  <c r="AV427" i="1"/>
  <c r="AV426" i="1"/>
  <c r="AV425" i="1"/>
  <c r="AV424" i="1"/>
  <c r="AV423" i="1"/>
  <c r="AV422" i="1"/>
  <c r="AV421" i="1"/>
  <c r="AV420" i="1"/>
  <c r="AV419" i="1"/>
  <c r="AV418" i="1"/>
  <c r="AV417" i="1"/>
  <c r="AV416" i="1"/>
  <c r="AV415" i="1"/>
  <c r="AV414" i="1"/>
  <c r="AV413" i="1"/>
  <c r="AV412" i="1"/>
  <c r="AV411" i="1"/>
  <c r="AV410" i="1"/>
  <c r="AV409" i="1"/>
  <c r="AV408" i="1"/>
  <c r="AV407" i="1"/>
  <c r="AV406" i="1"/>
  <c r="AV405" i="1"/>
  <c r="AV404" i="1"/>
  <c r="AV403" i="1"/>
  <c r="AV402" i="1"/>
  <c r="AV401" i="1"/>
  <c r="AV400" i="1"/>
  <c r="AV399" i="1"/>
  <c r="AV398" i="1"/>
  <c r="AV397" i="1"/>
  <c r="AV396" i="1"/>
  <c r="AV395" i="1"/>
  <c r="AV394" i="1"/>
  <c r="AV393" i="1"/>
  <c r="AV392" i="1"/>
  <c r="AV391" i="1"/>
  <c r="AV390" i="1"/>
  <c r="AV389" i="1"/>
  <c r="AV388" i="1"/>
  <c r="AV387" i="1"/>
  <c r="AV386" i="1"/>
  <c r="AV385" i="1"/>
  <c r="AV384" i="1"/>
  <c r="AV383" i="1"/>
  <c r="AV382" i="1"/>
  <c r="AV381" i="1"/>
  <c r="AV380" i="1"/>
  <c r="AV379" i="1"/>
  <c r="AV378" i="1"/>
  <c r="AV377" i="1"/>
  <c r="AV376" i="1"/>
  <c r="AV375" i="1"/>
  <c r="AV374" i="1"/>
  <c r="AV373" i="1"/>
  <c r="AV372" i="1"/>
  <c r="AV371" i="1"/>
  <c r="AV370" i="1"/>
  <c r="AV369" i="1"/>
  <c r="AV368" i="1"/>
  <c r="AV367" i="1"/>
  <c r="AV366" i="1"/>
  <c r="AV365" i="1"/>
  <c r="AV364" i="1"/>
  <c r="AV363" i="1"/>
  <c r="AV362" i="1"/>
  <c r="AV361" i="1"/>
  <c r="AV360" i="1"/>
  <c r="AV359" i="1"/>
  <c r="AV358" i="1"/>
  <c r="AV357" i="1"/>
  <c r="AV356" i="1"/>
  <c r="AV355" i="1"/>
  <c r="AV354" i="1"/>
  <c r="AV353" i="1"/>
  <c r="AV352" i="1"/>
  <c r="AV351" i="1"/>
  <c r="AV350" i="1"/>
  <c r="AV349" i="1"/>
  <c r="AV348" i="1"/>
  <c r="AV347" i="1"/>
  <c r="AV346" i="1"/>
  <c r="AV345" i="1"/>
  <c r="AV344" i="1"/>
  <c r="AV343" i="1"/>
  <c r="AV342" i="1"/>
  <c r="AV341" i="1"/>
  <c r="AV340" i="1"/>
  <c r="AV339" i="1"/>
  <c r="AV338" i="1"/>
  <c r="AV337" i="1"/>
  <c r="AV336" i="1"/>
  <c r="AV335" i="1"/>
  <c r="AV334" i="1"/>
  <c r="AV333" i="1"/>
  <c r="AV332" i="1"/>
  <c r="AV331" i="1"/>
  <c r="AV330" i="1"/>
  <c r="AV329" i="1"/>
  <c r="AV328" i="1"/>
  <c r="AV327" i="1"/>
  <c r="AV326" i="1"/>
  <c r="AV325" i="1"/>
  <c r="AV324" i="1"/>
  <c r="AV323" i="1"/>
  <c r="AV322" i="1"/>
  <c r="AV321" i="1"/>
  <c r="AV320" i="1"/>
  <c r="AV319" i="1"/>
  <c r="AV318" i="1"/>
  <c r="AV317" i="1"/>
  <c r="AV316" i="1"/>
  <c r="AV315" i="1"/>
  <c r="AV314" i="1"/>
  <c r="AV313" i="1"/>
  <c r="AV312" i="1"/>
  <c r="AV311" i="1"/>
  <c r="AV310" i="1"/>
  <c r="AV309" i="1"/>
  <c r="AV308" i="1"/>
  <c r="AV307" i="1"/>
  <c r="AV306" i="1"/>
  <c r="AV305" i="1"/>
  <c r="AV304" i="1"/>
  <c r="AV303" i="1"/>
  <c r="AV302" i="1"/>
  <c r="AV301" i="1"/>
  <c r="AV300" i="1"/>
  <c r="AV299" i="1"/>
  <c r="AV298" i="1"/>
  <c r="AV297" i="1"/>
  <c r="AV296" i="1"/>
  <c r="AV295" i="1"/>
  <c r="AV294" i="1"/>
  <c r="AV293" i="1"/>
  <c r="AV292" i="1"/>
  <c r="AV291" i="1"/>
  <c r="AV290" i="1"/>
  <c r="AV289" i="1"/>
  <c r="AV288" i="1"/>
  <c r="AV287" i="1"/>
  <c r="AV286" i="1"/>
  <c r="AV285" i="1"/>
  <c r="AV284" i="1"/>
  <c r="AV283" i="1"/>
  <c r="AV282" i="1"/>
  <c r="AV281" i="1"/>
  <c r="AV280" i="1"/>
  <c r="AV279" i="1"/>
  <c r="AV278" i="1"/>
  <c r="AV277" i="1"/>
  <c r="AV276" i="1"/>
  <c r="AV275" i="1"/>
  <c r="AV274" i="1"/>
  <c r="AV273" i="1"/>
  <c r="AV272" i="1"/>
  <c r="AV271" i="1"/>
  <c r="AV270" i="1"/>
  <c r="AV269" i="1"/>
  <c r="AV268" i="1"/>
  <c r="AV267" i="1"/>
  <c r="AV266" i="1"/>
  <c r="AV265" i="1"/>
  <c r="AV264" i="1"/>
  <c r="AV263" i="1"/>
  <c r="AV262" i="1"/>
  <c r="AV261" i="1"/>
  <c r="AV260" i="1"/>
  <c r="AV259" i="1"/>
  <c r="AV258" i="1"/>
  <c r="AV257" i="1"/>
  <c r="AV256" i="1"/>
  <c r="AV255" i="1"/>
  <c r="AV254" i="1"/>
  <c r="AV253" i="1"/>
  <c r="AV252" i="1"/>
  <c r="AV251" i="1"/>
  <c r="AV250" i="1"/>
  <c r="AV249" i="1"/>
  <c r="AV248" i="1"/>
  <c r="AV247" i="1"/>
  <c r="AV246" i="1"/>
  <c r="AV245" i="1"/>
  <c r="AV244" i="1"/>
  <c r="AV243" i="1"/>
  <c r="AV242" i="1"/>
  <c r="AV241" i="1"/>
  <c r="AV240" i="1"/>
  <c r="AV239" i="1"/>
  <c r="AV238" i="1"/>
  <c r="AV237" i="1"/>
  <c r="AV236" i="1"/>
  <c r="AV235" i="1"/>
  <c r="AV234" i="1"/>
  <c r="AV233" i="1"/>
  <c r="AV232" i="1"/>
  <c r="AV231" i="1"/>
  <c r="AV230" i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C110" i="3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E125" i="3"/>
  <c r="E133" i="3" s="1"/>
  <c r="E141" i="3" s="1"/>
  <c r="E149" i="3" s="1"/>
  <c r="E157" i="3" s="1"/>
  <c r="E165" i="3" s="1"/>
  <c r="E173" i="3" s="1"/>
  <c r="E181" i="3" s="1"/>
  <c r="E189" i="3" s="1"/>
  <c r="E197" i="3" s="1"/>
  <c r="E205" i="3" s="1"/>
  <c r="E213" i="3" s="1"/>
  <c r="E124" i="3"/>
  <c r="E132" i="3" s="1"/>
  <c r="E140" i="3" s="1"/>
  <c r="E148" i="3" s="1"/>
  <c r="E156" i="3" s="1"/>
  <c r="E164" i="3" s="1"/>
  <c r="E172" i="3" s="1"/>
  <c r="E180" i="3" s="1"/>
  <c r="E188" i="3" s="1"/>
  <c r="E196" i="3" s="1"/>
  <c r="E204" i="3" s="1"/>
  <c r="E212" i="3" s="1"/>
  <c r="E123" i="3"/>
  <c r="E131" i="3" s="1"/>
  <c r="E139" i="3" s="1"/>
  <c r="E147" i="3" s="1"/>
  <c r="E155" i="3" s="1"/>
  <c r="E163" i="3" s="1"/>
  <c r="E171" i="3" s="1"/>
  <c r="E179" i="3" s="1"/>
  <c r="E187" i="3" s="1"/>
  <c r="E195" i="3" s="1"/>
  <c r="E203" i="3" s="1"/>
  <c r="E211" i="3" s="1"/>
  <c r="E122" i="3"/>
  <c r="E130" i="3" s="1"/>
  <c r="E138" i="3" s="1"/>
  <c r="E146" i="3" s="1"/>
  <c r="E154" i="3" s="1"/>
  <c r="E162" i="3" s="1"/>
  <c r="E170" i="3" s="1"/>
  <c r="E178" i="3" s="1"/>
  <c r="E186" i="3" s="1"/>
  <c r="E194" i="3" s="1"/>
  <c r="E202" i="3" s="1"/>
  <c r="E210" i="3" s="1"/>
  <c r="E121" i="3"/>
  <c r="E129" i="3" s="1"/>
  <c r="E137" i="3" s="1"/>
  <c r="E145" i="3" s="1"/>
  <c r="E153" i="3" s="1"/>
  <c r="E161" i="3" s="1"/>
  <c r="E169" i="3" s="1"/>
  <c r="E177" i="3" s="1"/>
  <c r="E185" i="3" s="1"/>
  <c r="E193" i="3" s="1"/>
  <c r="E201" i="3" s="1"/>
  <c r="E209" i="3" s="1"/>
  <c r="E120" i="3"/>
  <c r="E128" i="3" s="1"/>
  <c r="E136" i="3" s="1"/>
  <c r="E144" i="3" s="1"/>
  <c r="E152" i="3" s="1"/>
  <c r="E160" i="3" s="1"/>
  <c r="E168" i="3" s="1"/>
  <c r="E176" i="3" s="1"/>
  <c r="E184" i="3" s="1"/>
  <c r="E192" i="3" s="1"/>
  <c r="E200" i="3" s="1"/>
  <c r="E208" i="3" s="1"/>
  <c r="E119" i="3"/>
  <c r="E127" i="3" s="1"/>
  <c r="E135" i="3" s="1"/>
  <c r="E143" i="3" s="1"/>
  <c r="E151" i="3" s="1"/>
  <c r="E159" i="3" s="1"/>
  <c r="E167" i="3" s="1"/>
  <c r="E175" i="3" s="1"/>
  <c r="E183" i="3" s="1"/>
  <c r="E191" i="3" s="1"/>
  <c r="E199" i="3" s="1"/>
  <c r="E207" i="3" s="1"/>
  <c r="F118" i="3"/>
  <c r="E118" i="3"/>
  <c r="E126" i="3" s="1"/>
  <c r="E134" i="3" s="1"/>
  <c r="E142" i="3" s="1"/>
  <c r="E150" i="3" s="1"/>
  <c r="E158" i="3" s="1"/>
  <c r="E166" i="3" s="1"/>
  <c r="E174" i="3" s="1"/>
  <c r="E182" i="3" s="1"/>
  <c r="E190" i="3" s="1"/>
  <c r="E198" i="3" s="1"/>
  <c r="E206" i="3" s="1"/>
  <c r="D118" i="3"/>
  <c r="D126" i="3" s="1"/>
  <c r="D113" i="3"/>
  <c r="F112" i="3"/>
  <c r="D112" i="3"/>
  <c r="D120" i="3" s="1"/>
  <c r="D111" i="3"/>
  <c r="D119" i="3" s="1"/>
  <c r="D127" i="3" s="1"/>
  <c r="D135" i="3" s="1"/>
  <c r="D143" i="3" s="1"/>
  <c r="D151" i="3" s="1"/>
  <c r="D159" i="3" s="1"/>
  <c r="D167" i="3" s="1"/>
  <c r="D175" i="3" s="1"/>
  <c r="D183" i="3" s="1"/>
  <c r="D191" i="3" s="1"/>
  <c r="D199" i="3" s="1"/>
  <c r="D207" i="3" s="1"/>
  <c r="F207" i="3" s="1"/>
  <c r="F110" i="3"/>
  <c r="B34" i="4" l="1"/>
  <c r="B30" i="4"/>
  <c r="D12" i="1"/>
  <c r="C40" i="1"/>
  <c r="F183" i="3"/>
  <c r="F199" i="3"/>
  <c r="F120" i="3"/>
  <c r="D128" i="3"/>
  <c r="F126" i="3"/>
  <c r="D134" i="3"/>
  <c r="D121" i="3"/>
  <c r="D114" i="3"/>
  <c r="F113" i="3"/>
  <c r="F127" i="3"/>
  <c r="F175" i="3"/>
  <c r="F191" i="3"/>
  <c r="F119" i="3"/>
  <c r="F135" i="3"/>
  <c r="F143" i="3"/>
  <c r="F151" i="3"/>
  <c r="F159" i="3"/>
  <c r="F167" i="3"/>
  <c r="F111" i="3"/>
  <c r="F4" i="1"/>
  <c r="E21" i="3"/>
  <c r="E20" i="3"/>
  <c r="E19" i="3"/>
  <c r="E18" i="3"/>
  <c r="E26" i="3" s="1"/>
  <c r="E34" i="3" s="1"/>
  <c r="E42" i="3" s="1"/>
  <c r="E50" i="3" s="1"/>
  <c r="E58" i="3" s="1"/>
  <c r="E66" i="3" s="1"/>
  <c r="E74" i="3" s="1"/>
  <c r="E82" i="3" s="1"/>
  <c r="E90" i="3" s="1"/>
  <c r="E98" i="3" s="1"/>
  <c r="E106" i="3" s="1"/>
  <c r="E17" i="3"/>
  <c r="E25" i="3" s="1"/>
  <c r="E33" i="3" s="1"/>
  <c r="E41" i="3" s="1"/>
  <c r="E49" i="3" s="1"/>
  <c r="E57" i="3" s="1"/>
  <c r="E65" i="3" s="1"/>
  <c r="E73" i="3" s="1"/>
  <c r="E81" i="3" s="1"/>
  <c r="E89" i="3" s="1"/>
  <c r="E97" i="3" s="1"/>
  <c r="E105" i="3" s="1"/>
  <c r="E16" i="3"/>
  <c r="E24" i="3" s="1"/>
  <c r="E32" i="3" s="1"/>
  <c r="E40" i="3" s="1"/>
  <c r="E48" i="3" s="1"/>
  <c r="E56" i="3" s="1"/>
  <c r="E64" i="3" s="1"/>
  <c r="E72" i="3" s="1"/>
  <c r="E80" i="3" s="1"/>
  <c r="E88" i="3" s="1"/>
  <c r="E96" i="3" s="1"/>
  <c r="E104" i="3" s="1"/>
  <c r="E15" i="3"/>
  <c r="E23" i="3" s="1"/>
  <c r="E31" i="3" s="1"/>
  <c r="E39" i="3" s="1"/>
  <c r="E47" i="3" s="1"/>
  <c r="E55" i="3" s="1"/>
  <c r="E63" i="3" s="1"/>
  <c r="E71" i="3" s="1"/>
  <c r="E79" i="3" s="1"/>
  <c r="E87" i="3" s="1"/>
  <c r="E95" i="3" s="1"/>
  <c r="E103" i="3" s="1"/>
  <c r="E14" i="3"/>
  <c r="E22" i="3" s="1"/>
  <c r="E30" i="3" s="1"/>
  <c r="E38" i="3" s="1"/>
  <c r="E46" i="3" s="1"/>
  <c r="E54" i="3" s="1"/>
  <c r="E62" i="3" s="1"/>
  <c r="E70" i="3" s="1"/>
  <c r="E78" i="3" s="1"/>
  <c r="E86" i="3" s="1"/>
  <c r="E94" i="3" s="1"/>
  <c r="E102" i="3" s="1"/>
  <c r="E29" i="3"/>
  <c r="E37" i="3" s="1"/>
  <c r="E45" i="3" s="1"/>
  <c r="E53" i="3" s="1"/>
  <c r="E61" i="3" s="1"/>
  <c r="E69" i="3" s="1"/>
  <c r="E77" i="3" s="1"/>
  <c r="E85" i="3" s="1"/>
  <c r="E93" i="3" s="1"/>
  <c r="E101" i="3" s="1"/>
  <c r="E109" i="3" s="1"/>
  <c r="E28" i="3"/>
  <c r="E36" i="3" s="1"/>
  <c r="E44" i="3" s="1"/>
  <c r="E52" i="3" s="1"/>
  <c r="E60" i="3" s="1"/>
  <c r="E68" i="3" s="1"/>
  <c r="E76" i="3" s="1"/>
  <c r="E84" i="3" s="1"/>
  <c r="E92" i="3" s="1"/>
  <c r="E100" i="3" s="1"/>
  <c r="E108" i="3" s="1"/>
  <c r="E27" i="3"/>
  <c r="E35" i="3" s="1"/>
  <c r="E43" i="3" s="1"/>
  <c r="E51" i="3" s="1"/>
  <c r="E59" i="3" s="1"/>
  <c r="E67" i="3" s="1"/>
  <c r="E75" i="3" s="1"/>
  <c r="E83" i="3" s="1"/>
  <c r="E91" i="3" s="1"/>
  <c r="E99" i="3" s="1"/>
  <c r="E107" i="3" s="1"/>
  <c r="D14" i="3"/>
  <c r="F14" i="3" s="1"/>
  <c r="F6" i="3"/>
  <c r="AB7" i="3"/>
  <c r="F7" i="3" s="1"/>
  <c r="D7" i="3"/>
  <c r="D15" i="3" s="1"/>
  <c r="D23" i="3" s="1"/>
  <c r="D31" i="3" s="1"/>
  <c r="D39" i="3" s="1"/>
  <c r="D47" i="3" s="1"/>
  <c r="D55" i="3" s="1"/>
  <c r="D63" i="3" s="1"/>
  <c r="D71" i="3" s="1"/>
  <c r="D79" i="3" s="1"/>
  <c r="D87" i="3" s="1"/>
  <c r="D95" i="3" s="1"/>
  <c r="D103" i="3" s="1"/>
  <c r="C7" i="3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G4" i="1" l="1"/>
  <c r="H5" i="1" s="1"/>
  <c r="F5" i="1"/>
  <c r="G5" i="1" s="1"/>
  <c r="F114" i="3"/>
  <c r="D122" i="3"/>
  <c r="D115" i="3"/>
  <c r="D129" i="3"/>
  <c r="F121" i="3"/>
  <c r="F134" i="3"/>
  <c r="D142" i="3"/>
  <c r="F128" i="3"/>
  <c r="D136" i="3"/>
  <c r="I4" i="1"/>
  <c r="M4" i="1" s="1"/>
  <c r="AI5" i="1"/>
  <c r="AI6" i="1"/>
  <c r="F103" i="3"/>
  <c r="D8" i="3"/>
  <c r="D22" i="3"/>
  <c r="F39" i="3"/>
  <c r="AB8" i="3"/>
  <c r="F31" i="3"/>
  <c r="F71" i="3"/>
  <c r="F95" i="3"/>
  <c r="F63" i="3"/>
  <c r="F15" i="3"/>
  <c r="F47" i="3"/>
  <c r="F79" i="3"/>
  <c r="F87" i="3"/>
  <c r="AB9" i="3"/>
  <c r="AB10" i="3" s="1"/>
  <c r="AB11" i="3" s="1"/>
  <c r="AB12" i="3" s="1"/>
  <c r="AB13" i="3" s="1"/>
  <c r="F23" i="3"/>
  <c r="F55" i="3"/>
  <c r="F8" i="3"/>
  <c r="L9" i="2"/>
  <c r="L8" i="2"/>
  <c r="L7" i="2"/>
  <c r="L6" i="2"/>
  <c r="J7" i="2"/>
  <c r="J8" i="2" s="1"/>
  <c r="J9" i="2" s="1"/>
  <c r="I9" i="2"/>
  <c r="I8" i="2"/>
  <c r="I7" i="2"/>
  <c r="E5" i="1"/>
  <c r="AN5" i="1" s="1"/>
  <c r="AZ4" i="1"/>
  <c r="AS4" i="1"/>
  <c r="AT5" i="1"/>
  <c r="AW1803" i="1"/>
  <c r="AW1802" i="1"/>
  <c r="AW1800" i="1"/>
  <c r="AW1799" i="1"/>
  <c r="AW1798" i="1"/>
  <c r="AW1797" i="1"/>
  <c r="AW1796" i="1"/>
  <c r="AW1795" i="1"/>
  <c r="AW1794" i="1"/>
  <c r="AW1792" i="1"/>
  <c r="AW1791" i="1"/>
  <c r="AW1790" i="1"/>
  <c r="AW1789" i="1"/>
  <c r="AW1788" i="1"/>
  <c r="AW1787" i="1"/>
  <c r="AW1786" i="1"/>
  <c r="AW1784" i="1"/>
  <c r="AW1783" i="1"/>
  <c r="AW1782" i="1"/>
  <c r="AW1781" i="1"/>
  <c r="AW1780" i="1"/>
  <c r="AW1779" i="1"/>
  <c r="AW1778" i="1"/>
  <c r="AW1776" i="1"/>
  <c r="AW1775" i="1"/>
  <c r="AW1774" i="1"/>
  <c r="AW1773" i="1"/>
  <c r="AW1772" i="1"/>
  <c r="AW1771" i="1"/>
  <c r="AW1770" i="1"/>
  <c r="AW1769" i="1"/>
  <c r="AW1768" i="1"/>
  <c r="AW1767" i="1"/>
  <c r="AW1766" i="1"/>
  <c r="AW1765" i="1"/>
  <c r="AW1764" i="1"/>
  <c r="AW1763" i="1"/>
  <c r="AW1762" i="1"/>
  <c r="AW1761" i="1"/>
  <c r="AW1760" i="1"/>
  <c r="AW1759" i="1"/>
  <c r="AW1758" i="1"/>
  <c r="AW1757" i="1"/>
  <c r="AW1756" i="1"/>
  <c r="AW1755" i="1"/>
  <c r="AW1754" i="1"/>
  <c r="AW1753" i="1"/>
  <c r="AW1752" i="1"/>
  <c r="AW1751" i="1"/>
  <c r="AW1750" i="1"/>
  <c r="AW1749" i="1"/>
  <c r="AW1748" i="1"/>
  <c r="AW1747" i="1"/>
  <c r="AW1746" i="1"/>
  <c r="AW1745" i="1"/>
  <c r="AW1744" i="1"/>
  <c r="AW1743" i="1"/>
  <c r="AW1742" i="1"/>
  <c r="AW1741" i="1"/>
  <c r="AW1740" i="1"/>
  <c r="AW1739" i="1"/>
  <c r="AW1738" i="1"/>
  <c r="AW1737" i="1"/>
  <c r="AW1736" i="1"/>
  <c r="AW1735" i="1"/>
  <c r="AW1734" i="1"/>
  <c r="AW1733" i="1"/>
  <c r="AW1732" i="1"/>
  <c r="AW1731" i="1"/>
  <c r="AW1730" i="1"/>
  <c r="AW1729" i="1"/>
  <c r="AW1728" i="1"/>
  <c r="AW1727" i="1"/>
  <c r="AW1726" i="1"/>
  <c r="AW1725" i="1"/>
  <c r="AW1724" i="1"/>
  <c r="AW1723" i="1"/>
  <c r="AW1722" i="1"/>
  <c r="AW1721" i="1"/>
  <c r="AW1720" i="1"/>
  <c r="AW1719" i="1"/>
  <c r="AW1718" i="1"/>
  <c r="AW1717" i="1"/>
  <c r="AW1716" i="1"/>
  <c r="AW1715" i="1"/>
  <c r="AW1714" i="1"/>
  <c r="AW1713" i="1"/>
  <c r="AW1712" i="1"/>
  <c r="AW1711" i="1"/>
  <c r="AW1710" i="1"/>
  <c r="AW1709" i="1"/>
  <c r="AW1708" i="1"/>
  <c r="AW1707" i="1"/>
  <c r="AW1706" i="1"/>
  <c r="AW1705" i="1"/>
  <c r="AW1704" i="1"/>
  <c r="AW1703" i="1"/>
  <c r="AW1702" i="1"/>
  <c r="AW1701" i="1"/>
  <c r="AW1700" i="1"/>
  <c r="AW1699" i="1"/>
  <c r="AW1698" i="1"/>
  <c r="AW1697" i="1"/>
  <c r="AW1696" i="1"/>
  <c r="AW1695" i="1"/>
  <c r="AW1694" i="1"/>
  <c r="AW1693" i="1"/>
  <c r="AW1692" i="1"/>
  <c r="AW1691" i="1"/>
  <c r="AW1690" i="1"/>
  <c r="AW1689" i="1"/>
  <c r="AW1688" i="1"/>
  <c r="AW1687" i="1"/>
  <c r="AW1686" i="1"/>
  <c r="AW1685" i="1"/>
  <c r="AW1684" i="1"/>
  <c r="AW1683" i="1"/>
  <c r="AW1681" i="1"/>
  <c r="AW1680" i="1"/>
  <c r="AW1679" i="1"/>
  <c r="AW1678" i="1"/>
  <c r="AW1677" i="1"/>
  <c r="AW1676" i="1"/>
  <c r="AW1675" i="1"/>
  <c r="AW1673" i="1"/>
  <c r="AW1672" i="1"/>
  <c r="AW1671" i="1"/>
  <c r="AW1670" i="1"/>
  <c r="AW1669" i="1"/>
  <c r="AW1668" i="1"/>
  <c r="AW1667" i="1"/>
  <c r="AW1665" i="1"/>
  <c r="AW1664" i="1"/>
  <c r="AW1663" i="1"/>
  <c r="AW1661" i="1"/>
  <c r="AW1660" i="1"/>
  <c r="AW1659" i="1"/>
  <c r="AW1657" i="1"/>
  <c r="AW1656" i="1"/>
  <c r="AW1655" i="1"/>
  <c r="AW1653" i="1"/>
  <c r="AW1652" i="1"/>
  <c r="AW1651" i="1"/>
  <c r="AW1649" i="1"/>
  <c r="AW1648" i="1"/>
  <c r="AW1647" i="1"/>
  <c r="AW1645" i="1"/>
  <c r="AW1644" i="1"/>
  <c r="AW1643" i="1"/>
  <c r="AW1640" i="1"/>
  <c r="AW1639" i="1"/>
  <c r="AW1638" i="1"/>
  <c r="AW1637" i="1"/>
  <c r="AW1636" i="1"/>
  <c r="AW1635" i="1"/>
  <c r="AW1633" i="1"/>
  <c r="AW1632" i="1"/>
  <c r="AW1631" i="1"/>
  <c r="AW1629" i="1"/>
  <c r="AW1628" i="1"/>
  <c r="AW1627" i="1"/>
  <c r="AW1625" i="1"/>
  <c r="AW1624" i="1"/>
  <c r="AW1623" i="1"/>
  <c r="AW1622" i="1"/>
  <c r="AW1621" i="1"/>
  <c r="AW1620" i="1"/>
  <c r="AW1619" i="1"/>
  <c r="AW1617" i="1"/>
  <c r="AW1616" i="1"/>
  <c r="AW1615" i="1"/>
  <c r="AW1614" i="1"/>
  <c r="AW1613" i="1"/>
  <c r="AW1612" i="1"/>
  <c r="AW1610" i="1"/>
  <c r="AW1609" i="1"/>
  <c r="AW1607" i="1"/>
  <c r="AW1606" i="1"/>
  <c r="AW1605" i="1"/>
  <c r="AW1604" i="1"/>
  <c r="AW1603" i="1"/>
  <c r="AW1601" i="1"/>
  <c r="AW1600" i="1"/>
  <c r="AW1599" i="1"/>
  <c r="AW1598" i="1"/>
  <c r="AW1597" i="1"/>
  <c r="AW1594" i="1"/>
  <c r="AW1593" i="1"/>
  <c r="AW1591" i="1"/>
  <c r="AW1590" i="1"/>
  <c r="AW1589" i="1"/>
  <c r="AW1588" i="1"/>
  <c r="AW1585" i="1"/>
  <c r="AW1584" i="1"/>
  <c r="AW1582" i="1"/>
  <c r="AW1581" i="1"/>
  <c r="AW1578" i="1"/>
  <c r="AW1577" i="1"/>
  <c r="AW1576" i="1"/>
  <c r="AW1575" i="1"/>
  <c r="AW1574" i="1"/>
  <c r="AW1573" i="1"/>
  <c r="AW1572" i="1"/>
  <c r="AW1571" i="1"/>
  <c r="AW1569" i="1"/>
  <c r="AW1568" i="1"/>
  <c r="AW1567" i="1"/>
  <c r="AW1566" i="1"/>
  <c r="AW1565" i="1"/>
  <c r="AW1562" i="1"/>
  <c r="AW1561" i="1"/>
  <c r="AW1559" i="1"/>
  <c r="AW1558" i="1"/>
  <c r="AW1557" i="1"/>
  <c r="AW1556" i="1"/>
  <c r="AW1555" i="1"/>
  <c r="AW1553" i="1"/>
  <c r="AW1552" i="1"/>
  <c r="AW1551" i="1"/>
  <c r="AW1550" i="1"/>
  <c r="AW1549" i="1"/>
  <c r="AW1548" i="1"/>
  <c r="AW1546" i="1"/>
  <c r="AW1545" i="1"/>
  <c r="AW1543" i="1"/>
  <c r="AW1542" i="1"/>
  <c r="AW1541" i="1"/>
  <c r="AW1540" i="1"/>
  <c r="AW1539" i="1"/>
  <c r="AW1537" i="1"/>
  <c r="AW1536" i="1"/>
  <c r="AW1534" i="1"/>
  <c r="AW1533" i="1"/>
  <c r="AW1530" i="1"/>
  <c r="AW1529" i="1"/>
  <c r="AW1527" i="1"/>
  <c r="AW1526" i="1"/>
  <c r="AW1525" i="1"/>
  <c r="AW1524" i="1"/>
  <c r="AW1523" i="1"/>
  <c r="AW1521" i="1"/>
  <c r="AW1520" i="1"/>
  <c r="AW1519" i="1"/>
  <c r="AW1518" i="1"/>
  <c r="AW1517" i="1"/>
  <c r="AW1514" i="1"/>
  <c r="AW1513" i="1"/>
  <c r="AW1511" i="1"/>
  <c r="AW1510" i="1"/>
  <c r="AW1509" i="1"/>
  <c r="AW1508" i="1"/>
  <c r="AW1507" i="1"/>
  <c r="AW1505" i="1"/>
  <c r="AW1504" i="1"/>
  <c r="AW1502" i="1"/>
  <c r="AW1501" i="1"/>
  <c r="AW1497" i="1"/>
  <c r="AW1495" i="1"/>
  <c r="AW1494" i="1"/>
  <c r="AW1493" i="1"/>
  <c r="AW1492" i="1"/>
  <c r="AW1491" i="1"/>
  <c r="AW1489" i="1"/>
  <c r="AW1488" i="1"/>
  <c r="AW1486" i="1"/>
  <c r="AW1485" i="1"/>
  <c r="AW1484" i="1"/>
  <c r="AW1482" i="1"/>
  <c r="AW1481" i="1"/>
  <c r="AW1480" i="1"/>
  <c r="AW1479" i="1"/>
  <c r="AW1478" i="1"/>
  <c r="AW1477" i="1"/>
  <c r="AW1476" i="1"/>
  <c r="AW1475" i="1"/>
  <c r="AW1473" i="1"/>
  <c r="AW1472" i="1"/>
  <c r="AW1471" i="1"/>
  <c r="AW1470" i="1"/>
  <c r="AW1469" i="1"/>
  <c r="AW1466" i="1"/>
  <c r="AW1465" i="1"/>
  <c r="AW1463" i="1"/>
  <c r="AW1462" i="1"/>
  <c r="AW1461" i="1"/>
  <c r="AW1460" i="1"/>
  <c r="AW1457" i="1"/>
  <c r="AW1456" i="1"/>
  <c r="AW1454" i="1"/>
  <c r="AW1453" i="1"/>
  <c r="AW1450" i="1"/>
  <c r="AW1449" i="1"/>
  <c r="AW1448" i="1"/>
  <c r="AW1447" i="1"/>
  <c r="AW1446" i="1"/>
  <c r="AW1445" i="1"/>
  <c r="AW1444" i="1"/>
  <c r="AW1443" i="1"/>
  <c r="AW1441" i="1"/>
  <c r="AW1440" i="1"/>
  <c r="AW1439" i="1"/>
  <c r="AW1438" i="1"/>
  <c r="AW1437" i="1"/>
  <c r="AW1434" i="1"/>
  <c r="AW1433" i="1"/>
  <c r="AW1431" i="1"/>
  <c r="AW1430" i="1"/>
  <c r="AW1429" i="1"/>
  <c r="AW1428" i="1"/>
  <c r="AW1427" i="1"/>
  <c r="AW1425" i="1"/>
  <c r="AW1424" i="1"/>
  <c r="AW1423" i="1"/>
  <c r="AW1422" i="1"/>
  <c r="AW1421" i="1"/>
  <c r="AW1418" i="1"/>
  <c r="AW1417" i="1"/>
  <c r="AW1415" i="1"/>
  <c r="AW1414" i="1"/>
  <c r="AW1413" i="1"/>
  <c r="AW1412" i="1"/>
  <c r="AW1411" i="1"/>
  <c r="AW1409" i="1"/>
  <c r="AW1408" i="1"/>
  <c r="AW1406" i="1"/>
  <c r="AW1405" i="1"/>
  <c r="AW1401" i="1"/>
  <c r="AW1399" i="1"/>
  <c r="AW1398" i="1"/>
  <c r="AW1397" i="1"/>
  <c r="AW1396" i="1"/>
  <c r="AW1395" i="1"/>
  <c r="AW1393" i="1"/>
  <c r="AW1392" i="1"/>
  <c r="AW1391" i="1"/>
  <c r="AW1390" i="1"/>
  <c r="AW1389" i="1"/>
  <c r="AW1386" i="1"/>
  <c r="AW1385" i="1"/>
  <c r="AW1383" i="1"/>
  <c r="AW1382" i="1"/>
  <c r="AW1381" i="1"/>
  <c r="AW1380" i="1"/>
  <c r="AW1379" i="1"/>
  <c r="AW1377" i="1"/>
  <c r="AW1376" i="1"/>
  <c r="AW1374" i="1"/>
  <c r="AW1373" i="1"/>
  <c r="AW1369" i="1"/>
  <c r="AW1367" i="1"/>
  <c r="AW1366" i="1"/>
  <c r="AW1365" i="1"/>
  <c r="AW1364" i="1"/>
  <c r="AW1363" i="1"/>
  <c r="AW1361" i="1"/>
  <c r="AW1360" i="1"/>
  <c r="AW1359" i="1"/>
  <c r="AW1358" i="1"/>
  <c r="AW1357" i="1"/>
  <c r="AW1356" i="1"/>
  <c r="AW1354" i="1"/>
  <c r="AW1353" i="1"/>
  <c r="AW1351" i="1"/>
  <c r="AW1350" i="1"/>
  <c r="AW1349" i="1"/>
  <c r="AW1348" i="1"/>
  <c r="AW1347" i="1"/>
  <c r="AW1345" i="1"/>
  <c r="AW1344" i="1"/>
  <c r="AW1343" i="1"/>
  <c r="AW1342" i="1"/>
  <c r="AW1341" i="1"/>
  <c r="AW1338" i="1"/>
  <c r="AW1337" i="1"/>
  <c r="AW1335" i="1"/>
  <c r="AW1334" i="1"/>
  <c r="AW1333" i="1"/>
  <c r="AW1332" i="1"/>
  <c r="AW1329" i="1"/>
  <c r="AW1328" i="1"/>
  <c r="AW1327" i="1"/>
  <c r="AW1326" i="1"/>
  <c r="AW1325" i="1"/>
  <c r="AW1322" i="1"/>
  <c r="AW1321" i="1"/>
  <c r="AW1320" i="1"/>
  <c r="AW1319" i="1"/>
  <c r="AW1318" i="1"/>
  <c r="AW1317" i="1"/>
  <c r="AW1316" i="1"/>
  <c r="AW1315" i="1"/>
  <c r="AW1313" i="1"/>
  <c r="AW1312" i="1"/>
  <c r="AW1311" i="1"/>
  <c r="AW1310" i="1"/>
  <c r="AW1309" i="1"/>
  <c r="AW1306" i="1"/>
  <c r="AW1305" i="1"/>
  <c r="AW1303" i="1"/>
  <c r="AW1302" i="1"/>
  <c r="AW1301" i="1"/>
  <c r="AW1300" i="1"/>
  <c r="AW1299" i="1"/>
  <c r="AW1297" i="1"/>
  <c r="AW1296" i="1"/>
  <c r="AW1295" i="1"/>
  <c r="AW1294" i="1"/>
  <c r="AW1293" i="1"/>
  <c r="AW1292" i="1"/>
  <c r="AW1290" i="1"/>
  <c r="AW1289" i="1"/>
  <c r="AW1287" i="1"/>
  <c r="AW1286" i="1"/>
  <c r="AW1285" i="1"/>
  <c r="AW1284" i="1"/>
  <c r="AW1283" i="1"/>
  <c r="AW1281" i="1"/>
  <c r="AW1280" i="1"/>
  <c r="AW1279" i="1"/>
  <c r="AW1278" i="1"/>
  <c r="AW1277" i="1"/>
  <c r="AW1276" i="1"/>
  <c r="AW1275" i="1"/>
  <c r="AW1273" i="1"/>
  <c r="AW1271" i="1"/>
  <c r="AW1270" i="1"/>
  <c r="AW1268" i="1"/>
  <c r="AW1267" i="1"/>
  <c r="AW1265" i="1"/>
  <c r="AW1264" i="1"/>
  <c r="AW1263" i="1"/>
  <c r="AW1261" i="1"/>
  <c r="AW1260" i="1"/>
  <c r="AW1259" i="1"/>
  <c r="AW1256" i="1"/>
  <c r="AW1255" i="1"/>
  <c r="AW1252" i="1"/>
  <c r="AW1251" i="1"/>
  <c r="AW1249" i="1"/>
  <c r="AW1247" i="1"/>
  <c r="AW1246" i="1"/>
  <c r="AW1245" i="1"/>
  <c r="AW1244" i="1"/>
  <c r="AW1243" i="1"/>
  <c r="AW1241" i="1"/>
  <c r="AW1240" i="1"/>
  <c r="AW1239" i="1"/>
  <c r="AW1237" i="1"/>
  <c r="AW1236" i="1"/>
  <c r="AW1235" i="1"/>
  <c r="AW1234" i="1"/>
  <c r="AW1233" i="1"/>
  <c r="AW1231" i="1"/>
  <c r="AW1230" i="1"/>
  <c r="AW1229" i="1"/>
  <c r="AW1228" i="1"/>
  <c r="AW1227" i="1"/>
  <c r="AW1226" i="1"/>
  <c r="AW1225" i="1"/>
  <c r="AW1224" i="1"/>
  <c r="AW1223" i="1"/>
  <c r="AW1221" i="1"/>
  <c r="AW1220" i="1"/>
  <c r="AW1219" i="1"/>
  <c r="AW1215" i="1"/>
  <c r="AW1213" i="1"/>
  <c r="AW1212" i="1"/>
  <c r="AW1211" i="1"/>
  <c r="AW1210" i="1"/>
  <c r="AW1209" i="1"/>
  <c r="AW1207" i="1"/>
  <c r="AW1206" i="1"/>
  <c r="AW1205" i="1"/>
  <c r="AW1204" i="1"/>
  <c r="AW1203" i="1"/>
  <c r="AW1201" i="1"/>
  <c r="AW1200" i="1"/>
  <c r="AW1199" i="1"/>
  <c r="AW1198" i="1"/>
  <c r="AW1197" i="1"/>
  <c r="AW1196" i="1"/>
  <c r="AW1195" i="1"/>
  <c r="AW1192" i="1"/>
  <c r="AW1191" i="1"/>
  <c r="AW1189" i="1"/>
  <c r="AW1188" i="1"/>
  <c r="AW1187" i="1"/>
  <c r="AW1185" i="1"/>
  <c r="AW1184" i="1"/>
  <c r="AW1183" i="1"/>
  <c r="AW1180" i="1"/>
  <c r="AW1179" i="1"/>
  <c r="AW1178" i="1"/>
  <c r="AW1177" i="1"/>
  <c r="AW1175" i="1"/>
  <c r="AW1174" i="1"/>
  <c r="AW1173" i="1"/>
  <c r="AW1172" i="1"/>
  <c r="AW1171" i="1"/>
  <c r="AW1169" i="1"/>
  <c r="AW1168" i="1"/>
  <c r="AW1167" i="1"/>
  <c r="AW1165" i="1"/>
  <c r="AW1164" i="1"/>
  <c r="AW1163" i="1"/>
  <c r="AW1161" i="1"/>
  <c r="AW1160" i="1"/>
  <c r="AW1159" i="1"/>
  <c r="AW1157" i="1"/>
  <c r="AW1156" i="1"/>
  <c r="AW1155" i="1"/>
  <c r="AW1154" i="1"/>
  <c r="AW1153" i="1"/>
  <c r="AW1151" i="1"/>
  <c r="AW1147" i="1"/>
  <c r="AW1146" i="1"/>
  <c r="AW1145" i="1"/>
  <c r="AW1144" i="1"/>
  <c r="AW1142" i="1"/>
  <c r="AW1141" i="1"/>
  <c r="AW1140" i="1"/>
  <c r="AW1139" i="1"/>
  <c r="AW1138" i="1"/>
  <c r="AW1135" i="1"/>
  <c r="AW1134" i="1"/>
  <c r="AW1132" i="1"/>
  <c r="AW1131" i="1"/>
  <c r="AW1130" i="1"/>
  <c r="AW1129" i="1"/>
  <c r="AW1128" i="1"/>
  <c r="AW1126" i="1"/>
  <c r="AW1125" i="1"/>
  <c r="AW1124" i="1"/>
  <c r="AW1123" i="1"/>
  <c r="AW1122" i="1"/>
  <c r="AW1121" i="1"/>
  <c r="AW1119" i="1"/>
  <c r="AW1118" i="1"/>
  <c r="AW1116" i="1"/>
  <c r="AW1115" i="1"/>
  <c r="AW1114" i="1"/>
  <c r="AW1113" i="1"/>
  <c r="AW1112" i="1"/>
  <c r="AW1110" i="1"/>
  <c r="AW1109" i="1"/>
  <c r="AW1108" i="1"/>
  <c r="AW1107" i="1"/>
  <c r="AW1106" i="1"/>
  <c r="AW1103" i="1"/>
  <c r="AW1102" i="1"/>
  <c r="AW1100" i="1"/>
  <c r="AW1099" i="1"/>
  <c r="AW1098" i="1"/>
  <c r="AW1097" i="1"/>
  <c r="AW1096" i="1"/>
  <c r="AW1094" i="1"/>
  <c r="AW1093" i="1"/>
  <c r="AW1092" i="1"/>
  <c r="AW1091" i="1"/>
  <c r="AW1090" i="1"/>
  <c r="AW1087" i="1"/>
  <c r="AW1086" i="1"/>
  <c r="AW1085" i="1"/>
  <c r="AW1084" i="1"/>
  <c r="AW1083" i="1"/>
  <c r="AW1082" i="1"/>
  <c r="AW1081" i="1"/>
  <c r="AW1080" i="1"/>
  <c r="AW1078" i="1"/>
  <c r="AW1077" i="1"/>
  <c r="AW1076" i="1"/>
  <c r="AW1075" i="1"/>
  <c r="AW1074" i="1"/>
  <c r="AW1071" i="1"/>
  <c r="AW1070" i="1"/>
  <c r="AW1068" i="1"/>
  <c r="AW1067" i="1"/>
  <c r="AW1066" i="1"/>
  <c r="AW1065" i="1"/>
  <c r="AW1064" i="1"/>
  <c r="AW1062" i="1"/>
  <c r="AW1061" i="1"/>
  <c r="AW1060" i="1"/>
  <c r="AW1059" i="1"/>
  <c r="AW1058" i="1"/>
  <c r="AW1057" i="1"/>
  <c r="AW1055" i="1"/>
  <c r="AW1054" i="1"/>
  <c r="AW1052" i="1"/>
  <c r="AW1051" i="1"/>
  <c r="AW1050" i="1"/>
  <c r="AW1049" i="1"/>
  <c r="AW1048" i="1"/>
  <c r="AW1046" i="1"/>
  <c r="AW1045" i="1"/>
  <c r="AW1044" i="1"/>
  <c r="AW1043" i="1"/>
  <c r="AW1042" i="1"/>
  <c r="AW1039" i="1"/>
  <c r="AW1038" i="1"/>
  <c r="AW1036" i="1"/>
  <c r="AW1035" i="1"/>
  <c r="AW1034" i="1"/>
  <c r="AW1033" i="1"/>
  <c r="AW1032" i="1"/>
  <c r="AW1030" i="1"/>
  <c r="AW1029" i="1"/>
  <c r="AW1028" i="1"/>
  <c r="AW1027" i="1"/>
  <c r="AW1026" i="1"/>
  <c r="AW1023" i="1"/>
  <c r="AW1022" i="1"/>
  <c r="AW1021" i="1"/>
  <c r="AW1020" i="1"/>
  <c r="AW1019" i="1"/>
  <c r="AW1018" i="1"/>
  <c r="AW1017" i="1"/>
  <c r="AW1016" i="1"/>
  <c r="AW1014" i="1"/>
  <c r="AW1013" i="1"/>
  <c r="AW1012" i="1"/>
  <c r="AW1011" i="1"/>
  <c r="AW1010" i="1"/>
  <c r="AW1007" i="1"/>
  <c r="AW1006" i="1"/>
  <c r="AW1004" i="1"/>
  <c r="AW1003" i="1"/>
  <c r="AW1002" i="1"/>
  <c r="AW1001" i="1"/>
  <c r="AW1000" i="1"/>
  <c r="AW998" i="1"/>
  <c r="AW997" i="1"/>
  <c r="AW996" i="1"/>
  <c r="AW995" i="1"/>
  <c r="AW994" i="1"/>
  <c r="AW993" i="1"/>
  <c r="AW991" i="1"/>
  <c r="AW990" i="1"/>
  <c r="AW988" i="1"/>
  <c r="AW987" i="1"/>
  <c r="AW986" i="1"/>
  <c r="AW985" i="1"/>
  <c r="AW984" i="1"/>
  <c r="AW982" i="1"/>
  <c r="AW981" i="1"/>
  <c r="AW980" i="1"/>
  <c r="AW979" i="1"/>
  <c r="AW978" i="1"/>
  <c r="AW975" i="1"/>
  <c r="AW974" i="1"/>
  <c r="AW972" i="1"/>
  <c r="AW971" i="1"/>
  <c r="AW970" i="1"/>
  <c r="AW969" i="1"/>
  <c r="AW968" i="1"/>
  <c r="AW966" i="1"/>
  <c r="AW965" i="1"/>
  <c r="AW964" i="1"/>
  <c r="AW963" i="1"/>
  <c r="AW962" i="1"/>
  <c r="AW959" i="1"/>
  <c r="AW958" i="1"/>
  <c r="AW957" i="1"/>
  <c r="AW956" i="1"/>
  <c r="AW955" i="1"/>
  <c r="AW954" i="1"/>
  <c r="AW953" i="1"/>
  <c r="AW952" i="1"/>
  <c r="AW950" i="1"/>
  <c r="AW949" i="1"/>
  <c r="AW948" i="1"/>
  <c r="AW947" i="1"/>
  <c r="AW946" i="1"/>
  <c r="AW943" i="1"/>
  <c r="AW942" i="1"/>
  <c r="AW940" i="1"/>
  <c r="AW939" i="1"/>
  <c r="AW938" i="1"/>
  <c r="AW937" i="1"/>
  <c r="AW936" i="1"/>
  <c r="AW934" i="1"/>
  <c r="AW933" i="1"/>
  <c r="AW932" i="1"/>
  <c r="AW931" i="1"/>
  <c r="AW930" i="1"/>
  <c r="AW929" i="1"/>
  <c r="AW927" i="1"/>
  <c r="AW926" i="1"/>
  <c r="AW924" i="1"/>
  <c r="AW923" i="1"/>
  <c r="AW922" i="1"/>
  <c r="AW921" i="1"/>
  <c r="AW920" i="1"/>
  <c r="AW918" i="1"/>
  <c r="AW917" i="1"/>
  <c r="AW916" i="1"/>
  <c r="AW915" i="1"/>
  <c r="AW914" i="1"/>
  <c r="AW911" i="1"/>
  <c r="AW910" i="1"/>
  <c r="AW909" i="1"/>
  <c r="AW908" i="1"/>
  <c r="AW907" i="1"/>
  <c r="AW906" i="1"/>
  <c r="AW905" i="1"/>
  <c r="AW904" i="1"/>
  <c r="AW902" i="1"/>
  <c r="AW901" i="1"/>
  <c r="AW900" i="1"/>
  <c r="AW899" i="1"/>
  <c r="AW898" i="1"/>
  <c r="AW896" i="1"/>
  <c r="AW895" i="1"/>
  <c r="AW894" i="1"/>
  <c r="AW892" i="1"/>
  <c r="AW891" i="1"/>
  <c r="AW890" i="1"/>
  <c r="AW888" i="1"/>
  <c r="AW887" i="1"/>
  <c r="AW886" i="1"/>
  <c r="AW883" i="1"/>
  <c r="AW882" i="1"/>
  <c r="AW881" i="1"/>
  <c r="AW880" i="1"/>
  <c r="AW878" i="1"/>
  <c r="AW877" i="1"/>
  <c r="AW876" i="1"/>
  <c r="AW875" i="1"/>
  <c r="AW874" i="1"/>
  <c r="AW871" i="1"/>
  <c r="AW870" i="1"/>
  <c r="AW869" i="1"/>
  <c r="AW868" i="1"/>
  <c r="AW867" i="1"/>
  <c r="AW866" i="1"/>
  <c r="AW865" i="1"/>
  <c r="AW864" i="1"/>
  <c r="AW862" i="1"/>
  <c r="AW861" i="1"/>
  <c r="AW860" i="1"/>
  <c r="AW859" i="1"/>
  <c r="AW858" i="1"/>
  <c r="AW857" i="1"/>
  <c r="AW855" i="1"/>
  <c r="AW854" i="1"/>
  <c r="AW852" i="1"/>
  <c r="AW851" i="1"/>
  <c r="AW850" i="1"/>
  <c r="AW849" i="1"/>
  <c r="AW848" i="1"/>
  <c r="AW846" i="1"/>
  <c r="AW845" i="1"/>
  <c r="AW844" i="1"/>
  <c r="AW843" i="1"/>
  <c r="AW842" i="1"/>
  <c r="AW839" i="1"/>
  <c r="AW838" i="1"/>
  <c r="AW837" i="1"/>
  <c r="AW836" i="1"/>
  <c r="AW835" i="1"/>
  <c r="AW834" i="1"/>
  <c r="AW833" i="1"/>
  <c r="AW832" i="1"/>
  <c r="AW830" i="1"/>
  <c r="AW829" i="1"/>
  <c r="AW828" i="1"/>
  <c r="AW827" i="1"/>
  <c r="AW826" i="1"/>
  <c r="AW823" i="1"/>
  <c r="AW822" i="1"/>
  <c r="AW821" i="1"/>
  <c r="AW820" i="1"/>
  <c r="AW819" i="1"/>
  <c r="AW818" i="1"/>
  <c r="AW817" i="1"/>
  <c r="AW816" i="1"/>
  <c r="AW814" i="1"/>
  <c r="AW813" i="1"/>
  <c r="AW812" i="1"/>
  <c r="AW811" i="1"/>
  <c r="AW810" i="1"/>
  <c r="AW809" i="1"/>
  <c r="AW807" i="1"/>
  <c r="AW806" i="1"/>
  <c r="AW804" i="1"/>
  <c r="AW803" i="1"/>
  <c r="AW802" i="1"/>
  <c r="AW801" i="1"/>
  <c r="AW800" i="1"/>
  <c r="AW798" i="1"/>
  <c r="AW797" i="1"/>
  <c r="AW796" i="1"/>
  <c r="AW795" i="1"/>
  <c r="AW794" i="1"/>
  <c r="AW793" i="1"/>
  <c r="AW791" i="1"/>
  <c r="AW790" i="1"/>
  <c r="AW789" i="1"/>
  <c r="AW788" i="1"/>
  <c r="AW787" i="1"/>
  <c r="AW786" i="1"/>
  <c r="AW785" i="1"/>
  <c r="AW784" i="1"/>
  <c r="AW782" i="1"/>
  <c r="AW781" i="1"/>
  <c r="AW780" i="1"/>
  <c r="AW779" i="1"/>
  <c r="AW778" i="1"/>
  <c r="AW775" i="1"/>
  <c r="AW774" i="1"/>
  <c r="AW772" i="1"/>
  <c r="AW771" i="1"/>
  <c r="AW770" i="1"/>
  <c r="AW769" i="1"/>
  <c r="AW768" i="1"/>
  <c r="AW766" i="1"/>
  <c r="AW765" i="1"/>
  <c r="AW764" i="1"/>
  <c r="AW763" i="1"/>
  <c r="AW762" i="1"/>
  <c r="AW761" i="1"/>
  <c r="AW759" i="1"/>
  <c r="AW758" i="1"/>
  <c r="AW757" i="1"/>
  <c r="AW756" i="1"/>
  <c r="AW755" i="1"/>
  <c r="AW754" i="1"/>
  <c r="AW753" i="1"/>
  <c r="AW752" i="1"/>
  <c r="AW750" i="1"/>
  <c r="AW749" i="1"/>
  <c r="AW748" i="1"/>
  <c r="AW747" i="1"/>
  <c r="AW746" i="1"/>
  <c r="AW743" i="1"/>
  <c r="AW742" i="1"/>
  <c r="AW740" i="1"/>
  <c r="AW739" i="1"/>
  <c r="AW738" i="1"/>
  <c r="AW737" i="1"/>
  <c r="AW736" i="1"/>
  <c r="AW734" i="1"/>
  <c r="AW733" i="1"/>
  <c r="AW732" i="1"/>
  <c r="AW731" i="1"/>
  <c r="AW730" i="1"/>
  <c r="AW727" i="1"/>
  <c r="AW726" i="1"/>
  <c r="AW725" i="1"/>
  <c r="AW724" i="1"/>
  <c r="AW723" i="1"/>
  <c r="AW722" i="1"/>
  <c r="AW721" i="1"/>
  <c r="AW720" i="1"/>
  <c r="AW718" i="1"/>
  <c r="AW717" i="1"/>
  <c r="AW716" i="1"/>
  <c r="AW715" i="1"/>
  <c r="AW714" i="1"/>
  <c r="AW711" i="1"/>
  <c r="AW710" i="1"/>
  <c r="AW708" i="1"/>
  <c r="AW707" i="1"/>
  <c r="AW706" i="1"/>
  <c r="AW705" i="1"/>
  <c r="AW704" i="1"/>
  <c r="AW702" i="1"/>
  <c r="AW701" i="1"/>
  <c r="AW700" i="1"/>
  <c r="AW699" i="1"/>
  <c r="AW698" i="1"/>
  <c r="AW695" i="1"/>
  <c r="AW694" i="1"/>
  <c r="AW692" i="1"/>
  <c r="AW691" i="1"/>
  <c r="AW690" i="1"/>
  <c r="AW689" i="1"/>
  <c r="AW688" i="1"/>
  <c r="AW686" i="1"/>
  <c r="AW685" i="1"/>
  <c r="AW684" i="1"/>
  <c r="AW683" i="1"/>
  <c r="AW682" i="1"/>
  <c r="AW679" i="1"/>
  <c r="AW678" i="1"/>
  <c r="AW676" i="1"/>
  <c r="AW675" i="1"/>
  <c r="AW674" i="1"/>
  <c r="AW673" i="1"/>
  <c r="AW672" i="1"/>
  <c r="AW670" i="1"/>
  <c r="AW669" i="1"/>
  <c r="AW668" i="1"/>
  <c r="AW667" i="1"/>
  <c r="AW666" i="1"/>
  <c r="AW663" i="1"/>
  <c r="AW662" i="1"/>
  <c r="AW660" i="1"/>
  <c r="AW659" i="1"/>
  <c r="AW658" i="1"/>
  <c r="AW657" i="1"/>
  <c r="AW656" i="1"/>
  <c r="AW655" i="1"/>
  <c r="AW654" i="1"/>
  <c r="AW653" i="1"/>
  <c r="AW652" i="1"/>
  <c r="AW651" i="1"/>
  <c r="AW650" i="1"/>
  <c r="AW649" i="1"/>
  <c r="AW648" i="1"/>
  <c r="AW646" i="1"/>
  <c r="AW645" i="1"/>
  <c r="AW644" i="1"/>
  <c r="AW642" i="1"/>
  <c r="AW641" i="1"/>
  <c r="AW640" i="1"/>
  <c r="AW639" i="1"/>
  <c r="AW638" i="1"/>
  <c r="AW637" i="1"/>
  <c r="AW636" i="1"/>
  <c r="AW635" i="1"/>
  <c r="AW634" i="1"/>
  <c r="AW633" i="1"/>
  <c r="AW632" i="1"/>
  <c r="AW631" i="1"/>
  <c r="AW630" i="1"/>
  <c r="AW629" i="1"/>
  <c r="AW628" i="1"/>
  <c r="AW627" i="1"/>
  <c r="AW626" i="1"/>
  <c r="AW625" i="1"/>
  <c r="AW624" i="1"/>
  <c r="AW623" i="1"/>
  <c r="AW622" i="1"/>
  <c r="AW621" i="1"/>
  <c r="AW620" i="1"/>
  <c r="AW619" i="1"/>
  <c r="AW618" i="1"/>
  <c r="AW617" i="1"/>
  <c r="AW616" i="1"/>
  <c r="AW615" i="1"/>
  <c r="AW614" i="1"/>
  <c r="AW613" i="1"/>
  <c r="AW612" i="1"/>
  <c r="AW610" i="1"/>
  <c r="AW609" i="1"/>
  <c r="AW608" i="1"/>
  <c r="AW607" i="1"/>
  <c r="AW606" i="1"/>
  <c r="AW605" i="1"/>
  <c r="AW604" i="1"/>
  <c r="AW603" i="1"/>
  <c r="AW602" i="1"/>
  <c r="AW601" i="1"/>
  <c r="AW600" i="1"/>
  <c r="AW599" i="1"/>
  <c r="K4" i="1" l="1"/>
  <c r="F6" i="1"/>
  <c r="O4" i="1"/>
  <c r="AO5" i="1"/>
  <c r="J4" i="1"/>
  <c r="F142" i="3"/>
  <c r="D150" i="3"/>
  <c r="F136" i="3"/>
  <c r="D144" i="3"/>
  <c r="D137" i="3"/>
  <c r="F129" i="3"/>
  <c r="D116" i="3"/>
  <c r="D123" i="3"/>
  <c r="F115" i="3"/>
  <c r="F122" i="3"/>
  <c r="D130" i="3"/>
  <c r="L4" i="1"/>
  <c r="N4" i="1"/>
  <c r="D9" i="3"/>
  <c r="D16" i="3"/>
  <c r="D24" i="3" s="1"/>
  <c r="F16" i="3"/>
  <c r="D30" i="3"/>
  <c r="F22" i="3"/>
  <c r="F9" i="3"/>
  <c r="E6" i="1"/>
  <c r="AN6" i="1" s="1"/>
  <c r="AO6" i="1" s="1"/>
  <c r="AT6" i="1"/>
  <c r="AS5" i="1"/>
  <c r="AZ5" i="1"/>
  <c r="AW1626" i="1"/>
  <c r="AW1630" i="1"/>
  <c r="AW1634" i="1"/>
  <c r="AW1641" i="1"/>
  <c r="AW1801" i="1"/>
  <c r="AW1646" i="1"/>
  <c r="AW1650" i="1"/>
  <c r="AW1642" i="1"/>
  <c r="AW1654" i="1"/>
  <c r="AW1658" i="1"/>
  <c r="AW1793" i="1"/>
  <c r="AW1662" i="1"/>
  <c r="AW1666" i="1"/>
  <c r="AW1777" i="1"/>
  <c r="AW1674" i="1"/>
  <c r="AW1618" i="1"/>
  <c r="AW1682" i="1"/>
  <c r="AW1785" i="1"/>
  <c r="AW671" i="1"/>
  <c r="AW751" i="1"/>
  <c r="AW824" i="1"/>
  <c r="AW872" i="1"/>
  <c r="AW885" i="1"/>
  <c r="AW1127" i="1"/>
  <c r="AW1257" i="1"/>
  <c r="AW1394" i="1"/>
  <c r="AW944" i="1"/>
  <c r="AW983" i="1"/>
  <c r="AW992" i="1"/>
  <c r="AW1031" i="1"/>
  <c r="AW1041" i="1"/>
  <c r="AW1069" i="1"/>
  <c r="AW1352" i="1"/>
  <c r="AW1586" i="1"/>
  <c r="AW680" i="1"/>
  <c r="AW697" i="1"/>
  <c r="AW709" i="1"/>
  <c r="AW735" i="1"/>
  <c r="AW760" i="1"/>
  <c r="AW777" i="1"/>
  <c r="AW825" i="1"/>
  <c r="AW847" i="1"/>
  <c r="AW856" i="1"/>
  <c r="AW913" i="1"/>
  <c r="AW935" i="1"/>
  <c r="AW945" i="1"/>
  <c r="AW973" i="1"/>
  <c r="AW1104" i="1"/>
  <c r="AW1143" i="1"/>
  <c r="AW1152" i="1"/>
  <c r="AW1269" i="1"/>
  <c r="AW1368" i="1"/>
  <c r="AW1410" i="1"/>
  <c r="AW1426" i="1"/>
  <c r="AW1467" i="1"/>
  <c r="AW1560" i="1"/>
  <c r="AW1602" i="1"/>
  <c r="AW664" i="1"/>
  <c r="AW681" i="1"/>
  <c r="AW693" i="1"/>
  <c r="AW719" i="1"/>
  <c r="AW799" i="1"/>
  <c r="AW1008" i="1"/>
  <c r="AW1047" i="1"/>
  <c r="AW1056" i="1"/>
  <c r="AW1095" i="1"/>
  <c r="AW1105" i="1"/>
  <c r="AW1133" i="1"/>
  <c r="AW1400" i="1"/>
  <c r="AW1452" i="1"/>
  <c r="AW1468" i="1"/>
  <c r="AW1487" i="1"/>
  <c r="AW1535" i="1"/>
  <c r="AW696" i="1"/>
  <c r="AW815" i="1"/>
  <c r="AW912" i="1"/>
  <c r="AW1079" i="1"/>
  <c r="AW776" i="1"/>
  <c r="AW744" i="1"/>
  <c r="AW773" i="1"/>
  <c r="AW960" i="1"/>
  <c r="AW999" i="1"/>
  <c r="AW1037" i="1"/>
  <c r="AW1148" i="1"/>
  <c r="AW1214" i="1"/>
  <c r="AW1266" i="1"/>
  <c r="AW677" i="1"/>
  <c r="AW728" i="1"/>
  <c r="AW831" i="1"/>
  <c r="AW919" i="1"/>
  <c r="AW1608" i="1"/>
  <c r="AW611" i="1"/>
  <c r="AW661" i="1"/>
  <c r="AW792" i="1"/>
  <c r="AW840" i="1"/>
  <c r="AW853" i="1"/>
  <c r="AW889" i="1"/>
  <c r="AW928" i="1"/>
  <c r="AW976" i="1"/>
  <c r="AW1015" i="1"/>
  <c r="AW1024" i="1"/>
  <c r="AW1063" i="1"/>
  <c r="AW1073" i="1"/>
  <c r="AW1101" i="1"/>
  <c r="AW1158" i="1"/>
  <c r="AW1262" i="1"/>
  <c r="AW1339" i="1"/>
  <c r="AW1371" i="1"/>
  <c r="AW1402" i="1"/>
  <c r="AW1522" i="1"/>
  <c r="AW713" i="1"/>
  <c r="AW903" i="1"/>
  <c r="AW1040" i="1"/>
  <c r="AW1088" i="1"/>
  <c r="AW1137" i="1"/>
  <c r="AW1232" i="1"/>
  <c r="AW1330" i="1"/>
  <c r="AW1420" i="1"/>
  <c r="AW808" i="1"/>
  <c r="AW879" i="1"/>
  <c r="AW897" i="1"/>
  <c r="AW951" i="1"/>
  <c r="AW1009" i="1"/>
  <c r="AW1248" i="1"/>
  <c r="AW1498" i="1"/>
  <c r="AW665" i="1"/>
  <c r="AW703" i="1"/>
  <c r="AW745" i="1"/>
  <c r="AW783" i="1"/>
  <c r="AW893" i="1"/>
  <c r="AW941" i="1"/>
  <c r="AW1072" i="1"/>
  <c r="AW1111" i="1"/>
  <c r="AW1120" i="1"/>
  <c r="AW1182" i="1"/>
  <c r="AW1202" i="1"/>
  <c r="AW1308" i="1"/>
  <c r="AW1407" i="1"/>
  <c r="AW1499" i="1"/>
  <c r="AW643" i="1"/>
  <c r="AW647" i="1"/>
  <c r="AW687" i="1"/>
  <c r="AW712" i="1"/>
  <c r="AW729" i="1"/>
  <c r="AW741" i="1"/>
  <c r="AW767" i="1"/>
  <c r="AW863" i="1"/>
  <c r="AW884" i="1"/>
  <c r="AW967" i="1"/>
  <c r="AW977" i="1"/>
  <c r="AW1005" i="1"/>
  <c r="AW1136" i="1"/>
  <c r="AW1193" i="1"/>
  <c r="AW1216" i="1"/>
  <c r="AW1272" i="1"/>
  <c r="AW1388" i="1"/>
  <c r="AW1419" i="1"/>
  <c r="AW1455" i="1"/>
  <c r="AW1506" i="1"/>
  <c r="AW1579" i="1"/>
  <c r="AW1595" i="1"/>
  <c r="AW1331" i="1"/>
  <c r="AW1340" i="1"/>
  <c r="AW1375" i="1"/>
  <c r="AW1531" i="1"/>
  <c r="AW1547" i="1"/>
  <c r="AW1611" i="1"/>
  <c r="AW1176" i="1"/>
  <c r="AW1208" i="1"/>
  <c r="AW1288" i="1"/>
  <c r="AW1298" i="1"/>
  <c r="AW1370" i="1"/>
  <c r="AW1384" i="1"/>
  <c r="AW1459" i="1"/>
  <c r="AW1474" i="1"/>
  <c r="AW1194" i="1"/>
  <c r="AW1217" i="1"/>
  <c r="AW1346" i="1"/>
  <c r="AW1436" i="1"/>
  <c r="AW805" i="1"/>
  <c r="AW841" i="1"/>
  <c r="AW873" i="1"/>
  <c r="AW925" i="1"/>
  <c r="AW961" i="1"/>
  <c r="AW989" i="1"/>
  <c r="AW1025" i="1"/>
  <c r="AW1053" i="1"/>
  <c r="AW1089" i="1"/>
  <c r="AW1117" i="1"/>
  <c r="AW1186" i="1"/>
  <c r="AW1218" i="1"/>
  <c r="AW1253" i="1"/>
  <c r="AW1304" i="1"/>
  <c r="AW1323" i="1"/>
  <c r="AW1516" i="1"/>
  <c r="AW1544" i="1"/>
  <c r="AW1554" i="1"/>
  <c r="AW1258" i="1"/>
  <c r="AW1372" i="1"/>
  <c r="AW1496" i="1"/>
  <c r="AW1528" i="1"/>
  <c r="AW1587" i="1"/>
  <c r="AW1596" i="1"/>
  <c r="AW1149" i="1"/>
  <c r="AW1162" i="1"/>
  <c r="AW1166" i="1"/>
  <c r="AW1170" i="1"/>
  <c r="AW1181" i="1"/>
  <c r="AW1190" i="1"/>
  <c r="AW1222" i="1"/>
  <c r="AW1250" i="1"/>
  <c r="AW1254" i="1"/>
  <c r="AW1291" i="1"/>
  <c r="AW1355" i="1"/>
  <c r="AW1378" i="1"/>
  <c r="AW1451" i="1"/>
  <c r="AW1503" i="1"/>
  <c r="AW1512" i="1"/>
  <c r="AW1564" i="1"/>
  <c r="AW1583" i="1"/>
  <c r="AW1314" i="1"/>
  <c r="AW1435" i="1"/>
  <c r="AW1464" i="1"/>
  <c r="AW1490" i="1"/>
  <c r="AW1515" i="1"/>
  <c r="AW1532" i="1"/>
  <c r="AW1570" i="1"/>
  <c r="AW1282" i="1"/>
  <c r="AW1403" i="1"/>
  <c r="AW1432" i="1"/>
  <c r="AW1458" i="1"/>
  <c r="AW1483" i="1"/>
  <c r="AW1500" i="1"/>
  <c r="AW1538" i="1"/>
  <c r="AW1150" i="1"/>
  <c r="AW1238" i="1"/>
  <c r="AW1242" i="1"/>
  <c r="AW1274" i="1"/>
  <c r="AW1307" i="1"/>
  <c r="AW1324" i="1"/>
  <c r="AW1336" i="1"/>
  <c r="AW1362" i="1"/>
  <c r="AW1387" i="1"/>
  <c r="AW1404" i="1"/>
  <c r="AW1416" i="1"/>
  <c r="AW1442" i="1"/>
  <c r="AW1563" i="1"/>
  <c r="AW1580" i="1"/>
  <c r="AW1592" i="1"/>
  <c r="P4" i="1" l="1"/>
  <c r="I5" i="1" s="1"/>
  <c r="G6" i="1"/>
  <c r="H6" i="1" s="1"/>
  <c r="F7" i="1"/>
  <c r="G7" i="1" s="1"/>
  <c r="D131" i="3"/>
  <c r="F123" i="3"/>
  <c r="D117" i="3"/>
  <c r="F116" i="3"/>
  <c r="D124" i="3"/>
  <c r="F144" i="3"/>
  <c r="D152" i="3"/>
  <c r="F130" i="3"/>
  <c r="D138" i="3"/>
  <c r="F150" i="3"/>
  <c r="D158" i="3"/>
  <c r="D145" i="3"/>
  <c r="F137" i="3"/>
  <c r="D32" i="3"/>
  <c r="F24" i="3"/>
  <c r="D17" i="3"/>
  <c r="D10" i="3"/>
  <c r="F30" i="3"/>
  <c r="D38" i="3"/>
  <c r="E7" i="1"/>
  <c r="AN7" i="1" s="1"/>
  <c r="AO7" i="1" s="1"/>
  <c r="AZ6" i="1"/>
  <c r="AT7" i="1"/>
  <c r="AS6" i="1"/>
  <c r="M5" i="1" l="1"/>
  <c r="F8" i="1"/>
  <c r="G8" i="1" s="1"/>
  <c r="H7" i="1"/>
  <c r="F124" i="3"/>
  <c r="D132" i="3"/>
  <c r="F152" i="3"/>
  <c r="D160" i="3"/>
  <c r="D153" i="3"/>
  <c r="F145" i="3"/>
  <c r="F158" i="3"/>
  <c r="D166" i="3"/>
  <c r="D125" i="3"/>
  <c r="F117" i="3"/>
  <c r="F138" i="3"/>
  <c r="D146" i="3"/>
  <c r="D139" i="3"/>
  <c r="F131" i="3"/>
  <c r="D18" i="3"/>
  <c r="F10" i="3"/>
  <c r="D11" i="3"/>
  <c r="D25" i="3"/>
  <c r="F17" i="3"/>
  <c r="D40" i="3"/>
  <c r="F32" i="3"/>
  <c r="D46" i="3"/>
  <c r="F38" i="3"/>
  <c r="E8" i="1"/>
  <c r="AN8" i="1" s="1"/>
  <c r="AO8" i="1" s="1"/>
  <c r="AT8" i="1"/>
  <c r="AS7" i="1"/>
  <c r="AZ7" i="1"/>
  <c r="F9" i="1" l="1"/>
  <c r="G9" i="1" s="1"/>
  <c r="H8" i="1"/>
  <c r="F132" i="3"/>
  <c r="D140" i="3"/>
  <c r="D133" i="3"/>
  <c r="F125" i="3"/>
  <c r="F166" i="3"/>
  <c r="D174" i="3"/>
  <c r="D147" i="3"/>
  <c r="F139" i="3"/>
  <c r="D161" i="3"/>
  <c r="F153" i="3"/>
  <c r="F146" i="3"/>
  <c r="D154" i="3"/>
  <c r="F160" i="3"/>
  <c r="D168" i="3"/>
  <c r="D48" i="3"/>
  <c r="F40" i="3"/>
  <c r="D33" i="3"/>
  <c r="F25" i="3"/>
  <c r="D19" i="3"/>
  <c r="F11" i="3"/>
  <c r="D12" i="3"/>
  <c r="D26" i="3"/>
  <c r="F18" i="3"/>
  <c r="F46" i="3"/>
  <c r="D54" i="3"/>
  <c r="E9" i="1"/>
  <c r="AN9" i="1" s="1"/>
  <c r="AO9" i="1" s="1"/>
  <c r="AT9" i="1"/>
  <c r="AS8" i="1"/>
  <c r="AZ8" i="1"/>
  <c r="F10" i="1" l="1"/>
  <c r="G10" i="1" s="1"/>
  <c r="H9" i="1"/>
  <c r="D155" i="3"/>
  <c r="F147" i="3"/>
  <c r="F168" i="3"/>
  <c r="D176" i="3"/>
  <c r="F174" i="3"/>
  <c r="D182" i="3"/>
  <c r="F154" i="3"/>
  <c r="D162" i="3"/>
  <c r="D141" i="3"/>
  <c r="F133" i="3"/>
  <c r="F140" i="3"/>
  <c r="D148" i="3"/>
  <c r="D169" i="3"/>
  <c r="F161" i="3"/>
  <c r="D20" i="3"/>
  <c r="F12" i="3"/>
  <c r="D13" i="3"/>
  <c r="D27" i="3"/>
  <c r="F19" i="3"/>
  <c r="D34" i="3"/>
  <c r="F26" i="3"/>
  <c r="D41" i="3"/>
  <c r="F33" i="3"/>
  <c r="D56" i="3"/>
  <c r="F48" i="3"/>
  <c r="F54" i="3"/>
  <c r="D62" i="3"/>
  <c r="E10" i="1"/>
  <c r="AN10" i="1" s="1"/>
  <c r="AO10" i="1" s="1"/>
  <c r="AT10" i="1"/>
  <c r="AS9" i="1"/>
  <c r="AZ9" i="1"/>
  <c r="F11" i="1" l="1"/>
  <c r="G11" i="1" s="1"/>
  <c r="H10" i="1"/>
  <c r="F162" i="3"/>
  <c r="D170" i="3"/>
  <c r="F182" i="3"/>
  <c r="D190" i="3"/>
  <c r="D177" i="3"/>
  <c r="F169" i="3"/>
  <c r="F148" i="3"/>
  <c r="D156" i="3"/>
  <c r="F176" i="3"/>
  <c r="D184" i="3"/>
  <c r="D149" i="3"/>
  <c r="F141" i="3"/>
  <c r="D163" i="3"/>
  <c r="F155" i="3"/>
  <c r="D21" i="3"/>
  <c r="F13" i="3"/>
  <c r="D49" i="3"/>
  <c r="F41" i="3"/>
  <c r="D42" i="3"/>
  <c r="F34" i="3"/>
  <c r="D35" i="3"/>
  <c r="F27" i="3"/>
  <c r="D64" i="3"/>
  <c r="F56" i="3"/>
  <c r="F20" i="3"/>
  <c r="D28" i="3"/>
  <c r="F62" i="3"/>
  <c r="D70" i="3"/>
  <c r="E11" i="1"/>
  <c r="AN11" i="1" s="1"/>
  <c r="AO11" i="1" s="1"/>
  <c r="AT11" i="1"/>
  <c r="AS10" i="1"/>
  <c r="AZ10" i="1"/>
  <c r="F12" i="1" l="1"/>
  <c r="G12" i="1" s="1"/>
  <c r="H11" i="1"/>
  <c r="F156" i="3"/>
  <c r="D164" i="3"/>
  <c r="D171" i="3"/>
  <c r="F163" i="3"/>
  <c r="D185" i="3"/>
  <c r="F177" i="3"/>
  <c r="F184" i="3"/>
  <c r="D192" i="3"/>
  <c r="F170" i="3"/>
  <c r="D178" i="3"/>
  <c r="F190" i="3"/>
  <c r="D198" i="3"/>
  <c r="D157" i="3"/>
  <c r="F149" i="3"/>
  <c r="D43" i="3"/>
  <c r="F35" i="3"/>
  <c r="D50" i="3"/>
  <c r="F42" i="3"/>
  <c r="D36" i="3"/>
  <c r="F28" i="3"/>
  <c r="D57" i="3"/>
  <c r="F49" i="3"/>
  <c r="D72" i="3"/>
  <c r="F64" i="3"/>
  <c r="D29" i="3"/>
  <c r="F21" i="3"/>
  <c r="D78" i="3"/>
  <c r="F70" i="3"/>
  <c r="E12" i="1"/>
  <c r="AN12" i="1" s="1"/>
  <c r="AO12" i="1" s="1"/>
  <c r="AZ11" i="1"/>
  <c r="AT12" i="1"/>
  <c r="AS11" i="1"/>
  <c r="F13" i="1" l="1"/>
  <c r="G13" i="1" s="1"/>
  <c r="H12" i="1"/>
  <c r="F164" i="3"/>
  <c r="D172" i="3"/>
  <c r="F192" i="3"/>
  <c r="D200" i="3"/>
  <c r="D165" i="3"/>
  <c r="F157" i="3"/>
  <c r="D193" i="3"/>
  <c r="F185" i="3"/>
  <c r="F178" i="3"/>
  <c r="D186" i="3"/>
  <c r="F198" i="3"/>
  <c r="D206" i="3"/>
  <c r="F206" i="3" s="1"/>
  <c r="D179" i="3"/>
  <c r="F171" i="3"/>
  <c r="F36" i="3"/>
  <c r="D44" i="3"/>
  <c r="D58" i="3"/>
  <c r="F50" i="3"/>
  <c r="D65" i="3"/>
  <c r="F57" i="3"/>
  <c r="F29" i="3"/>
  <c r="D37" i="3"/>
  <c r="D80" i="3"/>
  <c r="F72" i="3"/>
  <c r="D51" i="3"/>
  <c r="F43" i="3"/>
  <c r="F78" i="3"/>
  <c r="D86" i="3"/>
  <c r="E13" i="1"/>
  <c r="AN13" i="1" s="1"/>
  <c r="AO13" i="1" s="1"/>
  <c r="AT13" i="1"/>
  <c r="AS12" i="1"/>
  <c r="AZ12" i="1"/>
  <c r="F14" i="1" l="1"/>
  <c r="G14" i="1" s="1"/>
  <c r="H13" i="1"/>
  <c r="F186" i="3"/>
  <c r="D194" i="3"/>
  <c r="F172" i="3"/>
  <c r="D180" i="3"/>
  <c r="D201" i="3"/>
  <c r="F193" i="3"/>
  <c r="D187" i="3"/>
  <c r="F179" i="3"/>
  <c r="D173" i="3"/>
  <c r="F165" i="3"/>
  <c r="F200" i="3"/>
  <c r="D208" i="3"/>
  <c r="F208" i="3" s="1"/>
  <c r="D73" i="3"/>
  <c r="F65" i="3"/>
  <c r="F37" i="3"/>
  <c r="D45" i="3"/>
  <c r="D59" i="3"/>
  <c r="F51" i="3"/>
  <c r="D66" i="3"/>
  <c r="F58" i="3"/>
  <c r="D52" i="3"/>
  <c r="F44" i="3"/>
  <c r="D88" i="3"/>
  <c r="F80" i="3"/>
  <c r="F86" i="3"/>
  <c r="D94" i="3"/>
  <c r="E14" i="1"/>
  <c r="AN14" i="1" s="1"/>
  <c r="AO14" i="1" s="1"/>
  <c r="AT14" i="1"/>
  <c r="AS13" i="1"/>
  <c r="AZ13" i="1"/>
  <c r="F15" i="1" l="1"/>
  <c r="G15" i="1" s="1"/>
  <c r="H14" i="1"/>
  <c r="F180" i="3"/>
  <c r="D188" i="3"/>
  <c r="F194" i="3"/>
  <c r="D202" i="3"/>
  <c r="D181" i="3"/>
  <c r="F173" i="3"/>
  <c r="D195" i="3"/>
  <c r="F187" i="3"/>
  <c r="D209" i="3"/>
  <c r="F209" i="3" s="1"/>
  <c r="F201" i="3"/>
  <c r="D67" i="3"/>
  <c r="F59" i="3"/>
  <c r="D53" i="3"/>
  <c r="F45" i="3"/>
  <c r="D74" i="3"/>
  <c r="F66" i="3"/>
  <c r="D96" i="3"/>
  <c r="F88" i="3"/>
  <c r="F52" i="3"/>
  <c r="D60" i="3"/>
  <c r="D81" i="3"/>
  <c r="F73" i="3"/>
  <c r="F94" i="3"/>
  <c r="D102" i="3"/>
  <c r="F102" i="3" s="1"/>
  <c r="E15" i="1"/>
  <c r="AN15" i="1" s="1"/>
  <c r="AO15" i="1" s="1"/>
  <c r="AZ14" i="1"/>
  <c r="AT15" i="1"/>
  <c r="AS14" i="1"/>
  <c r="F16" i="1" l="1"/>
  <c r="G16" i="1" s="1"/>
  <c r="H15" i="1"/>
  <c r="D203" i="3"/>
  <c r="F195" i="3"/>
  <c r="D189" i="3"/>
  <c r="F181" i="3"/>
  <c r="F188" i="3"/>
  <c r="D196" i="3"/>
  <c r="F202" i="3"/>
  <c r="D210" i="3"/>
  <c r="F210" i="3" s="1"/>
  <c r="D82" i="3"/>
  <c r="F74" i="3"/>
  <c r="D89" i="3"/>
  <c r="F81" i="3"/>
  <c r="F53" i="3"/>
  <c r="D61" i="3"/>
  <c r="D68" i="3"/>
  <c r="F60" i="3"/>
  <c r="D104" i="3"/>
  <c r="F104" i="3" s="1"/>
  <c r="F96" i="3"/>
  <c r="D75" i="3"/>
  <c r="F67" i="3"/>
  <c r="E16" i="1"/>
  <c r="AN16" i="1" s="1"/>
  <c r="AO16" i="1" s="1"/>
  <c r="AZ15" i="1"/>
  <c r="AT16" i="1"/>
  <c r="AS15" i="1"/>
  <c r="F17" i="1" l="1"/>
  <c r="G17" i="1" s="1"/>
  <c r="H16" i="1"/>
  <c r="D211" i="3"/>
  <c r="F211" i="3" s="1"/>
  <c r="F203" i="3"/>
  <c r="F196" i="3"/>
  <c r="D204" i="3"/>
  <c r="D197" i="3"/>
  <c r="F189" i="3"/>
  <c r="D76" i="3"/>
  <c r="F68" i="3"/>
  <c r="D69" i="3"/>
  <c r="F61" i="3"/>
  <c r="D83" i="3"/>
  <c r="F75" i="3"/>
  <c r="D97" i="3"/>
  <c r="F89" i="3"/>
  <c r="D90" i="3"/>
  <c r="F82" i="3"/>
  <c r="E17" i="1"/>
  <c r="AN17" i="1" s="1"/>
  <c r="AO17" i="1" s="1"/>
  <c r="AT17" i="1"/>
  <c r="AS16" i="1"/>
  <c r="AZ16" i="1"/>
  <c r="F18" i="1" l="1"/>
  <c r="G18" i="1" s="1"/>
  <c r="H17" i="1"/>
  <c r="D205" i="3"/>
  <c r="F197" i="3"/>
  <c r="F204" i="3"/>
  <c r="D212" i="3"/>
  <c r="F212" i="3" s="1"/>
  <c r="D91" i="3"/>
  <c r="F83" i="3"/>
  <c r="D105" i="3"/>
  <c r="F105" i="3" s="1"/>
  <c r="F97" i="3"/>
  <c r="D77" i="3"/>
  <c r="F69" i="3"/>
  <c r="D98" i="3"/>
  <c r="F90" i="3"/>
  <c r="F76" i="3"/>
  <c r="D84" i="3"/>
  <c r="E18" i="1"/>
  <c r="AN18" i="1" s="1"/>
  <c r="AO18" i="1" s="1"/>
  <c r="AZ17" i="1"/>
  <c r="AT18" i="1"/>
  <c r="AS17" i="1"/>
  <c r="F19" i="1" l="1"/>
  <c r="G19" i="1" s="1"/>
  <c r="H18" i="1"/>
  <c r="D213" i="3"/>
  <c r="F213" i="3" s="1"/>
  <c r="F205" i="3"/>
  <c r="F77" i="3"/>
  <c r="D85" i="3"/>
  <c r="D92" i="3"/>
  <c r="F84" i="3"/>
  <c r="D106" i="3"/>
  <c r="F106" i="3" s="1"/>
  <c r="F98" i="3"/>
  <c r="D99" i="3"/>
  <c r="F91" i="3"/>
  <c r="E19" i="1"/>
  <c r="AN19" i="1" s="1"/>
  <c r="AO19" i="1" s="1"/>
  <c r="AZ18" i="1"/>
  <c r="AT19" i="1"/>
  <c r="AS18" i="1"/>
  <c r="F20" i="1" l="1"/>
  <c r="G20" i="1" s="1"/>
  <c r="H19" i="1"/>
  <c r="D107" i="3"/>
  <c r="F107" i="3" s="1"/>
  <c r="F99" i="3"/>
  <c r="F92" i="3"/>
  <c r="D100" i="3"/>
  <c r="D93" i="3"/>
  <c r="F85" i="3"/>
  <c r="E20" i="1"/>
  <c r="AN20" i="1" s="1"/>
  <c r="AO20" i="1" s="1"/>
  <c r="AT20" i="1"/>
  <c r="AS19" i="1"/>
  <c r="AZ19" i="1"/>
  <c r="F21" i="1" l="1"/>
  <c r="G21" i="1" s="1"/>
  <c r="H20" i="1"/>
  <c r="D101" i="3"/>
  <c r="F93" i="3"/>
  <c r="F100" i="3"/>
  <c r="D108" i="3"/>
  <c r="F108" i="3" s="1"/>
  <c r="E21" i="1"/>
  <c r="AN21" i="1" s="1"/>
  <c r="AO21" i="1" s="1"/>
  <c r="AZ20" i="1"/>
  <c r="AT21" i="1"/>
  <c r="AS20" i="1"/>
  <c r="F22" i="1" l="1"/>
  <c r="G22" i="1" s="1"/>
  <c r="H21" i="1"/>
  <c r="D109" i="3"/>
  <c r="F109" i="3" s="1"/>
  <c r="F101" i="3"/>
  <c r="E22" i="1"/>
  <c r="AN22" i="1" s="1"/>
  <c r="AO22" i="1" s="1"/>
  <c r="AZ21" i="1"/>
  <c r="AT22" i="1"/>
  <c r="AS21" i="1"/>
  <c r="F23" i="1" l="1"/>
  <c r="G23" i="1" s="1"/>
  <c r="H22" i="1"/>
  <c r="E23" i="1"/>
  <c r="AN23" i="1" s="1"/>
  <c r="AO23" i="1" s="1"/>
  <c r="AT23" i="1"/>
  <c r="AS22" i="1"/>
  <c r="AZ22" i="1"/>
  <c r="F24" i="1" l="1"/>
  <c r="G24" i="1" s="1"/>
  <c r="H23" i="1"/>
  <c r="E24" i="1"/>
  <c r="AN24" i="1" s="1"/>
  <c r="AO24" i="1" s="1"/>
  <c r="AZ23" i="1"/>
  <c r="AT24" i="1"/>
  <c r="AS23" i="1"/>
  <c r="F25" i="1" l="1"/>
  <c r="G25" i="1" s="1"/>
  <c r="H24" i="1"/>
  <c r="E25" i="1"/>
  <c r="AN25" i="1" s="1"/>
  <c r="AO25" i="1" s="1"/>
  <c r="AT25" i="1"/>
  <c r="AS24" i="1"/>
  <c r="AZ24" i="1"/>
  <c r="F26" i="1" l="1"/>
  <c r="G26" i="1" s="1"/>
  <c r="H25" i="1"/>
  <c r="E26" i="1"/>
  <c r="AN26" i="1" s="1"/>
  <c r="AO26" i="1" s="1"/>
  <c r="AZ25" i="1"/>
  <c r="AT26" i="1"/>
  <c r="AS25" i="1"/>
  <c r="F27" i="1" l="1"/>
  <c r="G27" i="1" s="1"/>
  <c r="H26" i="1"/>
  <c r="E27" i="1"/>
  <c r="AN27" i="1" s="1"/>
  <c r="AO27" i="1" s="1"/>
  <c r="AT27" i="1"/>
  <c r="AS26" i="1"/>
  <c r="AZ26" i="1"/>
  <c r="F28" i="1" l="1"/>
  <c r="G28" i="1" s="1"/>
  <c r="H27" i="1"/>
  <c r="E28" i="1"/>
  <c r="AN28" i="1" s="1"/>
  <c r="AO28" i="1" s="1"/>
  <c r="AZ27" i="1"/>
  <c r="AT28" i="1"/>
  <c r="AS27" i="1"/>
  <c r="F29" i="1" l="1"/>
  <c r="G29" i="1" s="1"/>
  <c r="H28" i="1"/>
  <c r="E29" i="1"/>
  <c r="AN29" i="1" s="1"/>
  <c r="AO29" i="1" s="1"/>
  <c r="AT29" i="1"/>
  <c r="AS28" i="1"/>
  <c r="AZ28" i="1"/>
  <c r="F30" i="1" l="1"/>
  <c r="G30" i="1" s="1"/>
  <c r="H29" i="1"/>
  <c r="E30" i="1"/>
  <c r="AN30" i="1" s="1"/>
  <c r="AO30" i="1" s="1"/>
  <c r="AZ29" i="1"/>
  <c r="AT30" i="1"/>
  <c r="AS29" i="1"/>
  <c r="F31" i="1" l="1"/>
  <c r="G31" i="1" s="1"/>
  <c r="H30" i="1"/>
  <c r="E31" i="1"/>
  <c r="AN31" i="1" s="1"/>
  <c r="AO31" i="1" s="1"/>
  <c r="AT31" i="1"/>
  <c r="AS30" i="1"/>
  <c r="AZ30" i="1"/>
  <c r="F32" i="1" l="1"/>
  <c r="G32" i="1" s="1"/>
  <c r="H31" i="1"/>
  <c r="E32" i="1"/>
  <c r="AN32" i="1" s="1"/>
  <c r="AO32" i="1" s="1"/>
  <c r="AZ31" i="1"/>
  <c r="AT32" i="1"/>
  <c r="AS31" i="1"/>
  <c r="F33" i="1" l="1"/>
  <c r="G33" i="1" s="1"/>
  <c r="H32" i="1"/>
  <c r="E33" i="1"/>
  <c r="AN33" i="1" s="1"/>
  <c r="AO33" i="1" s="1"/>
  <c r="AT33" i="1"/>
  <c r="AS32" i="1"/>
  <c r="AZ32" i="1"/>
  <c r="F34" i="1" l="1"/>
  <c r="G34" i="1" s="1"/>
  <c r="H33" i="1"/>
  <c r="E34" i="1"/>
  <c r="AN34" i="1" s="1"/>
  <c r="AO34" i="1" s="1"/>
  <c r="AZ33" i="1"/>
  <c r="AT34" i="1"/>
  <c r="AS33" i="1"/>
  <c r="F35" i="1" l="1"/>
  <c r="G35" i="1" s="1"/>
  <c r="H34" i="1"/>
  <c r="E35" i="1"/>
  <c r="AN35" i="1" s="1"/>
  <c r="AO35" i="1" s="1"/>
  <c r="AT35" i="1"/>
  <c r="AS34" i="1"/>
  <c r="AZ34" i="1"/>
  <c r="F36" i="1" l="1"/>
  <c r="G36" i="1" s="1"/>
  <c r="H35" i="1"/>
  <c r="E36" i="1"/>
  <c r="AN36" i="1" s="1"/>
  <c r="AO36" i="1" s="1"/>
  <c r="AZ35" i="1"/>
  <c r="AT36" i="1"/>
  <c r="AS35" i="1"/>
  <c r="F37" i="1" l="1"/>
  <c r="G37" i="1" s="1"/>
  <c r="H36" i="1"/>
  <c r="E37" i="1"/>
  <c r="AN37" i="1" s="1"/>
  <c r="AO37" i="1" s="1"/>
  <c r="AT37" i="1"/>
  <c r="AS36" i="1"/>
  <c r="AZ36" i="1"/>
  <c r="F38" i="1" l="1"/>
  <c r="G38" i="1" s="1"/>
  <c r="H37" i="1"/>
  <c r="E38" i="1"/>
  <c r="AN38" i="1" s="1"/>
  <c r="AO38" i="1" s="1"/>
  <c r="AZ37" i="1"/>
  <c r="AT38" i="1"/>
  <c r="AS37" i="1"/>
  <c r="F39" i="1" l="1"/>
  <c r="G39" i="1" s="1"/>
  <c r="H38" i="1"/>
  <c r="E39" i="1"/>
  <c r="AN39" i="1" s="1"/>
  <c r="AO39" i="1" s="1"/>
  <c r="AT39" i="1"/>
  <c r="AS38" i="1"/>
  <c r="AZ38" i="1"/>
  <c r="F40" i="1" l="1"/>
  <c r="G40" i="1" s="1"/>
  <c r="H39" i="1"/>
  <c r="E40" i="1"/>
  <c r="AN40" i="1" s="1"/>
  <c r="AO40" i="1" s="1"/>
  <c r="AZ39" i="1"/>
  <c r="AT40" i="1"/>
  <c r="AS39" i="1"/>
  <c r="F41" i="1" l="1"/>
  <c r="G41" i="1" s="1"/>
  <c r="H40" i="1"/>
  <c r="E41" i="1"/>
  <c r="AN41" i="1" s="1"/>
  <c r="AO41" i="1" s="1"/>
  <c r="AT41" i="1"/>
  <c r="AS40" i="1"/>
  <c r="AZ40" i="1"/>
  <c r="F42" i="1" l="1"/>
  <c r="G42" i="1" s="1"/>
  <c r="H41" i="1"/>
  <c r="E42" i="1"/>
  <c r="AN42" i="1" s="1"/>
  <c r="AO42" i="1" s="1"/>
  <c r="AZ41" i="1"/>
  <c r="AT42" i="1"/>
  <c r="AS41" i="1"/>
  <c r="F43" i="1" l="1"/>
  <c r="G43" i="1" s="1"/>
  <c r="H42" i="1"/>
  <c r="E43" i="1"/>
  <c r="AN43" i="1" s="1"/>
  <c r="AO43" i="1" s="1"/>
  <c r="AT43" i="1"/>
  <c r="AS42" i="1"/>
  <c r="AZ42" i="1"/>
  <c r="F44" i="1" l="1"/>
  <c r="G44" i="1" s="1"/>
  <c r="H43" i="1"/>
  <c r="E44" i="1"/>
  <c r="AN44" i="1" s="1"/>
  <c r="AO44" i="1" s="1"/>
  <c r="AZ43" i="1"/>
  <c r="AT44" i="1"/>
  <c r="AS43" i="1"/>
  <c r="F45" i="1" l="1"/>
  <c r="G45" i="1" s="1"/>
  <c r="H44" i="1"/>
  <c r="E45" i="1"/>
  <c r="AN45" i="1" s="1"/>
  <c r="AO45" i="1" s="1"/>
  <c r="AT45" i="1"/>
  <c r="AS44" i="1"/>
  <c r="AZ44" i="1"/>
  <c r="F46" i="1" l="1"/>
  <c r="G46" i="1" s="1"/>
  <c r="H45" i="1"/>
  <c r="E46" i="1"/>
  <c r="AN46" i="1" s="1"/>
  <c r="AO46" i="1" s="1"/>
  <c r="AZ45" i="1"/>
  <c r="AT46" i="1"/>
  <c r="AS45" i="1"/>
  <c r="F47" i="1" l="1"/>
  <c r="G47" i="1" s="1"/>
  <c r="H46" i="1"/>
  <c r="E47" i="1"/>
  <c r="AN47" i="1" s="1"/>
  <c r="AO47" i="1" s="1"/>
  <c r="AT47" i="1"/>
  <c r="AS46" i="1"/>
  <c r="AZ46" i="1"/>
  <c r="F48" i="1" l="1"/>
  <c r="G48" i="1" s="1"/>
  <c r="H47" i="1"/>
  <c r="E48" i="1"/>
  <c r="AN48" i="1" s="1"/>
  <c r="AO48" i="1" s="1"/>
  <c r="AZ47" i="1"/>
  <c r="AT48" i="1"/>
  <c r="AS47" i="1"/>
  <c r="F49" i="1" l="1"/>
  <c r="G49" i="1" s="1"/>
  <c r="H48" i="1"/>
  <c r="E49" i="1"/>
  <c r="AN49" i="1" s="1"/>
  <c r="AO49" i="1" s="1"/>
  <c r="AT49" i="1"/>
  <c r="AS48" i="1"/>
  <c r="AZ48" i="1"/>
  <c r="F50" i="1" l="1"/>
  <c r="G50" i="1" s="1"/>
  <c r="H49" i="1"/>
  <c r="E50" i="1"/>
  <c r="AN50" i="1" s="1"/>
  <c r="AO50" i="1" s="1"/>
  <c r="AZ49" i="1"/>
  <c r="AT50" i="1"/>
  <c r="AS49" i="1"/>
  <c r="F51" i="1" l="1"/>
  <c r="G51" i="1" s="1"/>
  <c r="H50" i="1"/>
  <c r="E51" i="1"/>
  <c r="AN51" i="1" s="1"/>
  <c r="AO51" i="1" s="1"/>
  <c r="AT51" i="1"/>
  <c r="AS50" i="1"/>
  <c r="AZ50" i="1"/>
  <c r="F52" i="1" l="1"/>
  <c r="G52" i="1" s="1"/>
  <c r="H51" i="1"/>
  <c r="E52" i="1"/>
  <c r="AN52" i="1" s="1"/>
  <c r="AO52" i="1" s="1"/>
  <c r="AZ51" i="1"/>
  <c r="AT52" i="1"/>
  <c r="AS51" i="1"/>
  <c r="F53" i="1" l="1"/>
  <c r="G53" i="1" s="1"/>
  <c r="H52" i="1"/>
  <c r="E53" i="1"/>
  <c r="AN53" i="1" s="1"/>
  <c r="AO53" i="1" s="1"/>
  <c r="AT53" i="1"/>
  <c r="AS52" i="1"/>
  <c r="AZ52" i="1"/>
  <c r="F54" i="1" l="1"/>
  <c r="G54" i="1" s="1"/>
  <c r="H53" i="1"/>
  <c r="E54" i="1"/>
  <c r="AN54" i="1" s="1"/>
  <c r="AO54" i="1" s="1"/>
  <c r="AZ53" i="1"/>
  <c r="AT54" i="1"/>
  <c r="AS53" i="1"/>
  <c r="F55" i="1" l="1"/>
  <c r="G55" i="1" s="1"/>
  <c r="H54" i="1"/>
  <c r="E55" i="1"/>
  <c r="AN55" i="1" s="1"/>
  <c r="AO55" i="1" s="1"/>
  <c r="AT55" i="1"/>
  <c r="AS54" i="1"/>
  <c r="AZ54" i="1"/>
  <c r="BK53" i="1"/>
  <c r="BJ53" i="1"/>
  <c r="BH53" i="1"/>
  <c r="BL53" i="1"/>
  <c r="BI53" i="1"/>
  <c r="F56" i="1" l="1"/>
  <c r="G56" i="1" s="1"/>
  <c r="H55" i="1"/>
  <c r="E56" i="1"/>
  <c r="AN56" i="1" s="1"/>
  <c r="AO56" i="1" s="1"/>
  <c r="AZ55" i="1"/>
  <c r="BI54" i="1"/>
  <c r="BA54" i="1"/>
  <c r="BG54" i="1"/>
  <c r="BF54" i="1"/>
  <c r="BL54" i="1"/>
  <c r="BD54" i="1"/>
  <c r="BB54" i="1"/>
  <c r="BK54" i="1"/>
  <c r="BJ54" i="1"/>
  <c r="BE54" i="1"/>
  <c r="BH54" i="1"/>
  <c r="BC54" i="1"/>
  <c r="AT56" i="1"/>
  <c r="AS55" i="1"/>
  <c r="F57" i="1" l="1"/>
  <c r="G57" i="1" s="1"/>
  <c r="H56" i="1"/>
  <c r="E57" i="1"/>
  <c r="AN57" i="1" s="1"/>
  <c r="AO57" i="1" s="1"/>
  <c r="BM54" i="1"/>
  <c r="AT57" i="1"/>
  <c r="AS56" i="1"/>
  <c r="AZ56" i="1"/>
  <c r="BE55" i="1"/>
  <c r="BK55" i="1"/>
  <c r="BC55" i="1"/>
  <c r="BJ55" i="1"/>
  <c r="BB55" i="1"/>
  <c r="BH55" i="1"/>
  <c r="BF55" i="1"/>
  <c r="BD55" i="1"/>
  <c r="BA55" i="1"/>
  <c r="BI55" i="1"/>
  <c r="BL55" i="1"/>
  <c r="BG55" i="1"/>
  <c r="F58" i="1" l="1"/>
  <c r="G58" i="1" s="1"/>
  <c r="H57" i="1"/>
  <c r="E58" i="1"/>
  <c r="AN58" i="1" s="1"/>
  <c r="AO58" i="1" s="1"/>
  <c r="AZ57" i="1"/>
  <c r="BI56" i="1"/>
  <c r="BA56" i="1"/>
  <c r="BG56" i="1"/>
  <c r="BF56" i="1"/>
  <c r="BL56" i="1"/>
  <c r="BD56" i="1"/>
  <c r="BJ56" i="1"/>
  <c r="BH56" i="1"/>
  <c r="BE56" i="1"/>
  <c r="BC56" i="1"/>
  <c r="BB56" i="1"/>
  <c r="BK56" i="1"/>
  <c r="AT58" i="1"/>
  <c r="AS57" i="1"/>
  <c r="BM55" i="1"/>
  <c r="F59" i="1" l="1"/>
  <c r="G59" i="1" s="1"/>
  <c r="H58" i="1"/>
  <c r="E59" i="1"/>
  <c r="AN59" i="1" s="1"/>
  <c r="AO59" i="1" s="1"/>
  <c r="BM56" i="1"/>
  <c r="AT59" i="1"/>
  <c r="AS58" i="1"/>
  <c r="AZ58" i="1"/>
  <c r="BE57" i="1"/>
  <c r="BK57" i="1"/>
  <c r="BC57" i="1"/>
  <c r="BJ57" i="1"/>
  <c r="BB57" i="1"/>
  <c r="BH57" i="1"/>
  <c r="BL57" i="1"/>
  <c r="BI57" i="1"/>
  <c r="BG57" i="1"/>
  <c r="BF57" i="1"/>
  <c r="BA57" i="1"/>
  <c r="BD57" i="1"/>
  <c r="F60" i="1" l="1"/>
  <c r="G60" i="1" s="1"/>
  <c r="H59" i="1"/>
  <c r="E60" i="1"/>
  <c r="AN60" i="1" s="1"/>
  <c r="AO60" i="1" s="1"/>
  <c r="BM57" i="1"/>
  <c r="AT60" i="1"/>
  <c r="AS59" i="1"/>
  <c r="AZ59" i="1"/>
  <c r="BI58" i="1"/>
  <c r="BA58" i="1"/>
  <c r="BG58" i="1"/>
  <c r="BF58" i="1"/>
  <c r="BL58" i="1"/>
  <c r="BD58" i="1"/>
  <c r="BB58" i="1"/>
  <c r="BK58" i="1"/>
  <c r="BJ58" i="1"/>
  <c r="BE58" i="1"/>
  <c r="BH58" i="1"/>
  <c r="BC58" i="1"/>
  <c r="F61" i="1" l="1"/>
  <c r="G61" i="1" s="1"/>
  <c r="H60" i="1"/>
  <c r="E61" i="1"/>
  <c r="AN61" i="1" s="1"/>
  <c r="AO61" i="1" s="1"/>
  <c r="BM58" i="1"/>
  <c r="AZ60" i="1"/>
  <c r="BE59" i="1"/>
  <c r="BK59" i="1"/>
  <c r="BC59" i="1"/>
  <c r="BJ59" i="1"/>
  <c r="BB59" i="1"/>
  <c r="BH59" i="1"/>
  <c r="BF59" i="1"/>
  <c r="BD59" i="1"/>
  <c r="BA59" i="1"/>
  <c r="BI59" i="1"/>
  <c r="BL59" i="1"/>
  <c r="BG59" i="1"/>
  <c r="AT61" i="1"/>
  <c r="AS60" i="1"/>
  <c r="F62" i="1" l="1"/>
  <c r="G62" i="1" s="1"/>
  <c r="H61" i="1"/>
  <c r="E62" i="1"/>
  <c r="AN62" i="1" s="1"/>
  <c r="AO62" i="1" s="1"/>
  <c r="AZ61" i="1"/>
  <c r="BI60" i="1"/>
  <c r="BA60" i="1"/>
  <c r="BG60" i="1"/>
  <c r="BF60" i="1"/>
  <c r="BL60" i="1"/>
  <c r="BD60" i="1"/>
  <c r="BJ60" i="1"/>
  <c r="BH60" i="1"/>
  <c r="BE60" i="1"/>
  <c r="BC60" i="1"/>
  <c r="BB60" i="1"/>
  <c r="BK60" i="1"/>
  <c r="AT62" i="1"/>
  <c r="AS61" i="1"/>
  <c r="BM59" i="1"/>
  <c r="F63" i="1" l="1"/>
  <c r="G63" i="1" s="1"/>
  <c r="H62" i="1"/>
  <c r="E63" i="1"/>
  <c r="AN63" i="1" s="1"/>
  <c r="AO63" i="1" s="1"/>
  <c r="AT63" i="1"/>
  <c r="AS62" i="1"/>
  <c r="BM60" i="1"/>
  <c r="AZ62" i="1"/>
  <c r="BE61" i="1"/>
  <c r="BK61" i="1"/>
  <c r="BC61" i="1"/>
  <c r="BJ61" i="1"/>
  <c r="BB61" i="1"/>
  <c r="BH61" i="1"/>
  <c r="BL61" i="1"/>
  <c r="BI61" i="1"/>
  <c r="BG61" i="1"/>
  <c r="BF61" i="1"/>
  <c r="BA61" i="1"/>
  <c r="BD61" i="1"/>
  <c r="F64" i="1" l="1"/>
  <c r="G64" i="1" s="1"/>
  <c r="H63" i="1"/>
  <c r="E64" i="1"/>
  <c r="AN64" i="1" s="1"/>
  <c r="AO64" i="1" s="1"/>
  <c r="BM61" i="1"/>
  <c r="AZ63" i="1"/>
  <c r="BI62" i="1"/>
  <c r="BA62" i="1"/>
  <c r="BG62" i="1"/>
  <c r="BF62" i="1"/>
  <c r="BL62" i="1"/>
  <c r="BD62" i="1"/>
  <c r="BB62" i="1"/>
  <c r="BK62" i="1"/>
  <c r="BJ62" i="1"/>
  <c r="BE62" i="1"/>
  <c r="BH62" i="1"/>
  <c r="BC62" i="1"/>
  <c r="AT64" i="1"/>
  <c r="AS63" i="1"/>
  <c r="F65" i="1" l="1"/>
  <c r="G65" i="1" s="1"/>
  <c r="H64" i="1"/>
  <c r="E65" i="1"/>
  <c r="AN65" i="1" s="1"/>
  <c r="AO65" i="1" s="1"/>
  <c r="BM62" i="1"/>
  <c r="AT65" i="1"/>
  <c r="AS64" i="1"/>
  <c r="AZ64" i="1"/>
  <c r="BE63" i="1"/>
  <c r="BK63" i="1"/>
  <c r="BC63" i="1"/>
  <c r="BJ63" i="1"/>
  <c r="BB63" i="1"/>
  <c r="BH63" i="1"/>
  <c r="BF63" i="1"/>
  <c r="BD63" i="1"/>
  <c r="BA63" i="1"/>
  <c r="BI63" i="1"/>
  <c r="BL63" i="1"/>
  <c r="BG63" i="1"/>
  <c r="F66" i="1" l="1"/>
  <c r="G66" i="1" s="1"/>
  <c r="H65" i="1"/>
  <c r="E66" i="1"/>
  <c r="AN66" i="1" s="1"/>
  <c r="AO66" i="1" s="1"/>
  <c r="BM63" i="1"/>
  <c r="AT66" i="1"/>
  <c r="AS65" i="1"/>
  <c r="AZ65" i="1"/>
  <c r="BI64" i="1"/>
  <c r="BA64" i="1"/>
  <c r="BG64" i="1"/>
  <c r="BF64" i="1"/>
  <c r="BL64" i="1"/>
  <c r="BD64" i="1"/>
  <c r="BJ64" i="1"/>
  <c r="BH64" i="1"/>
  <c r="BE64" i="1"/>
  <c r="BC64" i="1"/>
  <c r="BB64" i="1"/>
  <c r="BK64" i="1"/>
  <c r="F67" i="1" l="1"/>
  <c r="G67" i="1" s="1"/>
  <c r="H66" i="1"/>
  <c r="E67" i="1"/>
  <c r="AN67" i="1" s="1"/>
  <c r="AO67" i="1" s="1"/>
  <c r="BM64" i="1"/>
  <c r="AZ66" i="1"/>
  <c r="BE65" i="1"/>
  <c r="BK65" i="1"/>
  <c r="BC65" i="1"/>
  <c r="BJ65" i="1"/>
  <c r="BB65" i="1"/>
  <c r="BH65" i="1"/>
  <c r="BL65" i="1"/>
  <c r="BI65" i="1"/>
  <c r="BG65" i="1"/>
  <c r="BF65" i="1"/>
  <c r="BA65" i="1"/>
  <c r="BD65" i="1"/>
  <c r="AT67" i="1"/>
  <c r="AS66" i="1"/>
  <c r="F68" i="1" l="1"/>
  <c r="G68" i="1" s="1"/>
  <c r="H67" i="1"/>
  <c r="E68" i="1"/>
  <c r="AN68" i="1" s="1"/>
  <c r="AO68" i="1" s="1"/>
  <c r="AT68" i="1"/>
  <c r="AS67" i="1"/>
  <c r="AZ67" i="1"/>
  <c r="BI66" i="1"/>
  <c r="BA66" i="1"/>
  <c r="BG66" i="1"/>
  <c r="BF66" i="1"/>
  <c r="BL66" i="1"/>
  <c r="BD66" i="1"/>
  <c r="BB66" i="1"/>
  <c r="BK66" i="1"/>
  <c r="BJ66" i="1"/>
  <c r="BE66" i="1"/>
  <c r="BH66" i="1"/>
  <c r="BC66" i="1"/>
  <c r="BM65" i="1"/>
  <c r="F69" i="1" l="1"/>
  <c r="G69" i="1" s="1"/>
  <c r="H68" i="1"/>
  <c r="E69" i="1"/>
  <c r="AN69" i="1" s="1"/>
  <c r="AO69" i="1" s="1"/>
  <c r="BM66" i="1"/>
  <c r="AZ68" i="1"/>
  <c r="BE67" i="1"/>
  <c r="BK67" i="1"/>
  <c r="BC67" i="1"/>
  <c r="BJ67" i="1"/>
  <c r="BB67" i="1"/>
  <c r="BH67" i="1"/>
  <c r="BF67" i="1"/>
  <c r="BD67" i="1"/>
  <c r="BA67" i="1"/>
  <c r="BI67" i="1"/>
  <c r="BL67" i="1"/>
  <c r="BG67" i="1"/>
  <c r="AT69" i="1"/>
  <c r="AS68" i="1"/>
  <c r="F70" i="1" l="1"/>
  <c r="G70" i="1" s="1"/>
  <c r="H69" i="1"/>
  <c r="E70" i="1"/>
  <c r="AN70" i="1" s="1"/>
  <c r="AO70" i="1" s="1"/>
  <c r="AT70" i="1"/>
  <c r="AS69" i="1"/>
  <c r="BM67" i="1"/>
  <c r="AZ69" i="1"/>
  <c r="BI68" i="1"/>
  <c r="BA68" i="1"/>
  <c r="BG68" i="1"/>
  <c r="BF68" i="1"/>
  <c r="BL68" i="1"/>
  <c r="BD68" i="1"/>
  <c r="BJ68" i="1"/>
  <c r="BH68" i="1"/>
  <c r="BE68" i="1"/>
  <c r="BC68" i="1"/>
  <c r="BB68" i="1"/>
  <c r="BK68" i="1"/>
  <c r="F71" i="1" l="1"/>
  <c r="G71" i="1" s="1"/>
  <c r="H70" i="1"/>
  <c r="E71" i="1"/>
  <c r="AN71" i="1" s="1"/>
  <c r="AO71" i="1" s="1"/>
  <c r="AZ70" i="1"/>
  <c r="BE69" i="1"/>
  <c r="BK69" i="1"/>
  <c r="BC69" i="1"/>
  <c r="BJ69" i="1"/>
  <c r="BB69" i="1"/>
  <c r="BH69" i="1"/>
  <c r="BL69" i="1"/>
  <c r="BI69" i="1"/>
  <c r="BG69" i="1"/>
  <c r="BF69" i="1"/>
  <c r="BA69" i="1"/>
  <c r="BD69" i="1"/>
  <c r="BM68" i="1"/>
  <c r="AT71" i="1"/>
  <c r="AS70" i="1"/>
  <c r="F72" i="1" l="1"/>
  <c r="G72" i="1" s="1"/>
  <c r="H71" i="1"/>
  <c r="E72" i="1"/>
  <c r="AN72" i="1" s="1"/>
  <c r="AO72" i="1" s="1"/>
  <c r="AT72" i="1"/>
  <c r="AS71" i="1"/>
  <c r="BM69" i="1"/>
  <c r="AZ71" i="1"/>
  <c r="BI70" i="1"/>
  <c r="BA70" i="1"/>
  <c r="BG70" i="1"/>
  <c r="BF70" i="1"/>
  <c r="BL70" i="1"/>
  <c r="BD70" i="1"/>
  <c r="BB70" i="1"/>
  <c r="BK70" i="1"/>
  <c r="BJ70" i="1"/>
  <c r="BE70" i="1"/>
  <c r="BH70" i="1"/>
  <c r="BC70" i="1"/>
  <c r="F73" i="1" l="1"/>
  <c r="G73" i="1" s="1"/>
  <c r="H72" i="1"/>
  <c r="E73" i="1"/>
  <c r="AN73" i="1" s="1"/>
  <c r="AO73" i="1" s="1"/>
  <c r="BM70" i="1"/>
  <c r="AZ72" i="1"/>
  <c r="BE71" i="1"/>
  <c r="BK71" i="1"/>
  <c r="BC71" i="1"/>
  <c r="BJ71" i="1"/>
  <c r="BB71" i="1"/>
  <c r="BH71" i="1"/>
  <c r="BF71" i="1"/>
  <c r="BD71" i="1"/>
  <c r="BA71" i="1"/>
  <c r="BI71" i="1"/>
  <c r="BL71" i="1"/>
  <c r="BG71" i="1"/>
  <c r="AT73" i="1"/>
  <c r="AS72" i="1"/>
  <c r="F74" i="1" l="1"/>
  <c r="G74" i="1" s="1"/>
  <c r="H73" i="1"/>
  <c r="E74" i="1"/>
  <c r="AN74" i="1" s="1"/>
  <c r="AO74" i="1" s="1"/>
  <c r="AT74" i="1"/>
  <c r="AS73" i="1"/>
  <c r="AZ73" i="1"/>
  <c r="BI72" i="1"/>
  <c r="BA72" i="1"/>
  <c r="BG72" i="1"/>
  <c r="BF72" i="1"/>
  <c r="BL72" i="1"/>
  <c r="BD72" i="1"/>
  <c r="BJ72" i="1"/>
  <c r="BH72" i="1"/>
  <c r="BE72" i="1"/>
  <c r="BC72" i="1"/>
  <c r="BB72" i="1"/>
  <c r="BK72" i="1"/>
  <c r="BM71" i="1"/>
  <c r="F75" i="1" l="1"/>
  <c r="G75" i="1" s="1"/>
  <c r="H74" i="1"/>
  <c r="E75" i="1"/>
  <c r="AN75" i="1" s="1"/>
  <c r="AO75" i="1" s="1"/>
  <c r="AZ74" i="1"/>
  <c r="BE73" i="1"/>
  <c r="BK73" i="1"/>
  <c r="BC73" i="1"/>
  <c r="BJ73" i="1"/>
  <c r="BB73" i="1"/>
  <c r="BH73" i="1"/>
  <c r="BL73" i="1"/>
  <c r="BI73" i="1"/>
  <c r="BG73" i="1"/>
  <c r="BF73" i="1"/>
  <c r="BA73" i="1"/>
  <c r="BD73" i="1"/>
  <c r="BM72" i="1"/>
  <c r="AT75" i="1"/>
  <c r="AS74" i="1"/>
  <c r="F76" i="1" l="1"/>
  <c r="G76" i="1" s="1"/>
  <c r="H75" i="1"/>
  <c r="E76" i="1"/>
  <c r="AN76" i="1" s="1"/>
  <c r="AO76" i="1" s="1"/>
  <c r="BM73" i="1"/>
  <c r="AT76" i="1"/>
  <c r="AS75" i="1"/>
  <c r="AZ75" i="1"/>
  <c r="BG74" i="1"/>
  <c r="BK74" i="1"/>
  <c r="BC74" i="1"/>
  <c r="BL74" i="1"/>
  <c r="BA74" i="1"/>
  <c r="BI74" i="1"/>
  <c r="BH74" i="1"/>
  <c r="BE74" i="1"/>
  <c r="BB74" i="1"/>
  <c r="BF74" i="1"/>
  <c r="BJ74" i="1"/>
  <c r="BD74" i="1"/>
  <c r="F77" i="1" l="1"/>
  <c r="G77" i="1" s="1"/>
  <c r="H76" i="1"/>
  <c r="E77" i="1"/>
  <c r="AN77" i="1" s="1"/>
  <c r="AO77" i="1" s="1"/>
  <c r="AZ76" i="1"/>
  <c r="BK75" i="1"/>
  <c r="BC75" i="1"/>
  <c r="BG75" i="1"/>
  <c r="BJ75" i="1"/>
  <c r="BH75" i="1"/>
  <c r="BF75" i="1"/>
  <c r="BD75" i="1"/>
  <c r="BL75" i="1"/>
  <c r="BI75" i="1"/>
  <c r="BE75" i="1"/>
  <c r="BB75" i="1"/>
  <c r="BA75" i="1"/>
  <c r="AT77" i="1"/>
  <c r="AS76" i="1"/>
  <c r="BM74" i="1"/>
  <c r="F78" i="1" l="1"/>
  <c r="G78" i="1" s="1"/>
  <c r="H77" i="1"/>
  <c r="E78" i="1"/>
  <c r="AN78" i="1" s="1"/>
  <c r="AO78" i="1" s="1"/>
  <c r="AT78" i="1"/>
  <c r="AS77" i="1"/>
  <c r="BM75" i="1"/>
  <c r="AZ77" i="1"/>
  <c r="BG76" i="1"/>
  <c r="BK76" i="1"/>
  <c r="BC76" i="1"/>
  <c r="BI76" i="1"/>
  <c r="BF76" i="1"/>
  <c r="BE76" i="1"/>
  <c r="BB76" i="1"/>
  <c r="BL76" i="1"/>
  <c r="BJ76" i="1"/>
  <c r="BD76" i="1"/>
  <c r="BH76" i="1"/>
  <c r="BA76" i="1"/>
  <c r="F79" i="1" l="1"/>
  <c r="G79" i="1" s="1"/>
  <c r="H78" i="1"/>
  <c r="E79" i="1"/>
  <c r="AN79" i="1" s="1"/>
  <c r="AO79" i="1" s="1"/>
  <c r="BM76" i="1"/>
  <c r="AZ78" i="1"/>
  <c r="BK77" i="1"/>
  <c r="BC77" i="1"/>
  <c r="BG77" i="1"/>
  <c r="BH77" i="1"/>
  <c r="BE77" i="1"/>
  <c r="BD77" i="1"/>
  <c r="BL77" i="1"/>
  <c r="BA77" i="1"/>
  <c r="BI77" i="1"/>
  <c r="BF77" i="1"/>
  <c r="BB77" i="1"/>
  <c r="BJ77" i="1"/>
  <c r="AT79" i="1"/>
  <c r="AS78" i="1"/>
  <c r="F80" i="1" l="1"/>
  <c r="G80" i="1" s="1"/>
  <c r="H79" i="1"/>
  <c r="E80" i="1"/>
  <c r="AN80" i="1" s="1"/>
  <c r="AO80" i="1" s="1"/>
  <c r="AT80" i="1"/>
  <c r="AS79" i="1"/>
  <c r="BM77" i="1"/>
  <c r="AZ79" i="1"/>
  <c r="BG78" i="1"/>
  <c r="BK78" i="1"/>
  <c r="BC78" i="1"/>
  <c r="BF78" i="1"/>
  <c r="BD78" i="1"/>
  <c r="BB78" i="1"/>
  <c r="BJ78" i="1"/>
  <c r="BL78" i="1"/>
  <c r="BI78" i="1"/>
  <c r="BH78" i="1"/>
  <c r="BA78" i="1"/>
  <c r="BE78" i="1"/>
  <c r="F81" i="1" l="1"/>
  <c r="G81" i="1" s="1"/>
  <c r="H80" i="1"/>
  <c r="E81" i="1"/>
  <c r="AN81" i="1" s="1"/>
  <c r="AO81" i="1" s="1"/>
  <c r="AZ80" i="1"/>
  <c r="BK79" i="1"/>
  <c r="BC79" i="1"/>
  <c r="BG79" i="1"/>
  <c r="BE79" i="1"/>
  <c r="BB79" i="1"/>
  <c r="BL79" i="1"/>
  <c r="BA79" i="1"/>
  <c r="BI79" i="1"/>
  <c r="BF79" i="1"/>
  <c r="BD79" i="1"/>
  <c r="BJ79" i="1"/>
  <c r="BH79" i="1"/>
  <c r="BM78" i="1"/>
  <c r="AT81" i="1"/>
  <c r="AS80" i="1"/>
  <c r="F82" i="1" l="1"/>
  <c r="G82" i="1" s="1"/>
  <c r="H81" i="1"/>
  <c r="E82" i="1"/>
  <c r="AN82" i="1" s="1"/>
  <c r="AO82" i="1" s="1"/>
  <c r="BM79" i="1"/>
  <c r="AT82" i="1"/>
  <c r="AS81" i="1"/>
  <c r="AZ81" i="1"/>
  <c r="BG80" i="1"/>
  <c r="BK80" i="1"/>
  <c r="BC80" i="1"/>
  <c r="BD80" i="1"/>
  <c r="BL80" i="1"/>
  <c r="BA80" i="1"/>
  <c r="BJ80" i="1"/>
  <c r="BH80" i="1"/>
  <c r="BI80" i="1"/>
  <c r="BF80" i="1"/>
  <c r="BE80" i="1"/>
  <c r="BB80" i="1"/>
  <c r="F83" i="1" l="1"/>
  <c r="G83" i="1" s="1"/>
  <c r="H82" i="1"/>
  <c r="E83" i="1"/>
  <c r="AN83" i="1" s="1"/>
  <c r="AO83" i="1" s="1"/>
  <c r="AZ82" i="1"/>
  <c r="BK81" i="1"/>
  <c r="BC81" i="1"/>
  <c r="BJ81" i="1"/>
  <c r="BB81" i="1"/>
  <c r="BG81" i="1"/>
  <c r="BD81" i="1"/>
  <c r="BL81" i="1"/>
  <c r="BH81" i="1"/>
  <c r="BE81" i="1"/>
  <c r="BA81" i="1"/>
  <c r="BI81" i="1"/>
  <c r="BF81" i="1"/>
  <c r="BM80" i="1"/>
  <c r="AT83" i="1"/>
  <c r="AS82" i="1"/>
  <c r="F84" i="1" l="1"/>
  <c r="G84" i="1" s="1"/>
  <c r="H83" i="1"/>
  <c r="E84" i="1"/>
  <c r="AN84" i="1" s="1"/>
  <c r="AO84" i="1" s="1"/>
  <c r="AT84" i="1"/>
  <c r="AS83" i="1"/>
  <c r="BM81" i="1"/>
  <c r="AZ83" i="1"/>
  <c r="BG82" i="1"/>
  <c r="BF82" i="1"/>
  <c r="BK82" i="1"/>
  <c r="BC82" i="1"/>
  <c r="BD82" i="1"/>
  <c r="BA82" i="1"/>
  <c r="BL82" i="1"/>
  <c r="BI82" i="1"/>
  <c r="BJ82" i="1"/>
  <c r="BH82" i="1"/>
  <c r="BE82" i="1"/>
  <c r="BB82" i="1"/>
  <c r="F85" i="1" l="1"/>
  <c r="G85" i="1" s="1"/>
  <c r="H84" i="1"/>
  <c r="E85" i="1"/>
  <c r="AN85" i="1" s="1"/>
  <c r="AO85" i="1" s="1"/>
  <c r="AZ84" i="1"/>
  <c r="BK83" i="1"/>
  <c r="BC83" i="1"/>
  <c r="BJ83" i="1"/>
  <c r="BB83" i="1"/>
  <c r="BG83" i="1"/>
  <c r="BE83" i="1"/>
  <c r="BA83" i="1"/>
  <c r="BI83" i="1"/>
  <c r="BF83" i="1"/>
  <c r="BD83" i="1"/>
  <c r="BL83" i="1"/>
  <c r="BH83" i="1"/>
  <c r="BM82" i="1"/>
  <c r="AT85" i="1"/>
  <c r="AS84" i="1"/>
  <c r="F86" i="1" l="1"/>
  <c r="G86" i="1" s="1"/>
  <c r="H85" i="1"/>
  <c r="E86" i="1"/>
  <c r="AN86" i="1" s="1"/>
  <c r="AO86" i="1" s="1"/>
  <c r="BM83" i="1"/>
  <c r="AT86" i="1"/>
  <c r="AS85" i="1"/>
  <c r="AZ85" i="1"/>
  <c r="BG84" i="1"/>
  <c r="BF84" i="1"/>
  <c r="BK84" i="1"/>
  <c r="BC84" i="1"/>
  <c r="BE84" i="1"/>
  <c r="BB84" i="1"/>
  <c r="BA84" i="1"/>
  <c r="BJ84" i="1"/>
  <c r="BL84" i="1"/>
  <c r="BI84" i="1"/>
  <c r="BH84" i="1"/>
  <c r="BD84" i="1"/>
  <c r="F87" i="1" l="1"/>
  <c r="G87" i="1" s="1"/>
  <c r="H86" i="1"/>
  <c r="E87" i="1"/>
  <c r="AN87" i="1" s="1"/>
  <c r="AO87" i="1" s="1"/>
  <c r="AZ86" i="1"/>
  <c r="BK85" i="1"/>
  <c r="BC85" i="1"/>
  <c r="BJ85" i="1"/>
  <c r="BB85" i="1"/>
  <c r="BG85" i="1"/>
  <c r="BF85" i="1"/>
  <c r="BD85" i="1"/>
  <c r="BA85" i="1"/>
  <c r="BL85" i="1"/>
  <c r="BH85" i="1"/>
  <c r="BE85" i="1"/>
  <c r="BI85" i="1"/>
  <c r="BM84" i="1"/>
  <c r="AT87" i="1"/>
  <c r="AS86" i="1"/>
  <c r="F88" i="1" l="1"/>
  <c r="G88" i="1" s="1"/>
  <c r="H87" i="1"/>
  <c r="E88" i="1"/>
  <c r="AN88" i="1" s="1"/>
  <c r="AO88" i="1" s="1"/>
  <c r="AT88" i="1"/>
  <c r="AS87" i="1"/>
  <c r="BM85" i="1"/>
  <c r="AZ87" i="1"/>
  <c r="BG86" i="1"/>
  <c r="BF86" i="1"/>
  <c r="BK86" i="1"/>
  <c r="BC86" i="1"/>
  <c r="BH86" i="1"/>
  <c r="BD86" i="1"/>
  <c r="BB86" i="1"/>
  <c r="BL86" i="1"/>
  <c r="BJ86" i="1"/>
  <c r="BI86" i="1"/>
  <c r="BA86" i="1"/>
  <c r="BE86" i="1"/>
  <c r="F89" i="1" l="1"/>
  <c r="G89" i="1" s="1"/>
  <c r="H88" i="1"/>
  <c r="E89" i="1"/>
  <c r="AN89" i="1" s="1"/>
  <c r="AO89" i="1" s="1"/>
  <c r="AZ88" i="1"/>
  <c r="BK87" i="1"/>
  <c r="BC87" i="1"/>
  <c r="BJ87" i="1"/>
  <c r="BB87" i="1"/>
  <c r="BG87" i="1"/>
  <c r="BH87" i="1"/>
  <c r="BE87" i="1"/>
  <c r="BD87" i="1"/>
  <c r="BI87" i="1"/>
  <c r="BF87" i="1"/>
  <c r="BA87" i="1"/>
  <c r="BL87" i="1"/>
  <c r="BM86" i="1"/>
  <c r="AT89" i="1"/>
  <c r="AS88" i="1"/>
  <c r="F90" i="1" l="1"/>
  <c r="G90" i="1" s="1"/>
  <c r="H89" i="1"/>
  <c r="E90" i="1"/>
  <c r="AN90" i="1" s="1"/>
  <c r="AO90" i="1" s="1"/>
  <c r="AT90" i="1"/>
  <c r="AS89" i="1"/>
  <c r="BM87" i="1"/>
  <c r="AZ89" i="1"/>
  <c r="BG88" i="1"/>
  <c r="BF88" i="1"/>
  <c r="BK88" i="1"/>
  <c r="BC88" i="1"/>
  <c r="BI88" i="1"/>
  <c r="BE88" i="1"/>
  <c r="BD88" i="1"/>
  <c r="BA88" i="1"/>
  <c r="BL88" i="1"/>
  <c r="BJ88" i="1"/>
  <c r="BB88" i="1"/>
  <c r="BH88" i="1"/>
  <c r="F91" i="1" l="1"/>
  <c r="G91" i="1" s="1"/>
  <c r="H90" i="1"/>
  <c r="E91" i="1"/>
  <c r="AZ90" i="1"/>
  <c r="BL89" i="1"/>
  <c r="BK89" i="1"/>
  <c r="BC89" i="1"/>
  <c r="BJ89" i="1"/>
  <c r="BB89" i="1"/>
  <c r="BG89" i="1"/>
  <c r="BI89" i="1"/>
  <c r="BF89" i="1"/>
  <c r="BE89" i="1"/>
  <c r="BA89" i="1"/>
  <c r="BH89" i="1"/>
  <c r="BD89" i="1"/>
  <c r="BM88" i="1"/>
  <c r="AT91" i="1"/>
  <c r="AS90" i="1"/>
  <c r="F92" i="1" l="1"/>
  <c r="G92" i="1" s="1"/>
  <c r="H91" i="1"/>
  <c r="E92" i="1"/>
  <c r="AT92" i="1"/>
  <c r="AS91" i="1"/>
  <c r="BM89" i="1"/>
  <c r="AZ91" i="1"/>
  <c r="BH90" i="1"/>
  <c r="BG90" i="1"/>
  <c r="BF90" i="1"/>
  <c r="BK90" i="1"/>
  <c r="BC90" i="1"/>
  <c r="BJ90" i="1"/>
  <c r="BI90" i="1"/>
  <c r="BD90" i="1"/>
  <c r="BA90" i="1"/>
  <c r="BE90" i="1"/>
  <c r="BL90" i="1"/>
  <c r="BB90" i="1"/>
  <c r="F93" i="1" l="1"/>
  <c r="G93" i="1" s="1"/>
  <c r="H92" i="1"/>
  <c r="E93" i="1"/>
  <c r="AZ92" i="1"/>
  <c r="BL91" i="1"/>
  <c r="BD91" i="1"/>
  <c r="BK91" i="1"/>
  <c r="BC91" i="1"/>
  <c r="BJ91" i="1"/>
  <c r="BB91" i="1"/>
  <c r="BG91" i="1"/>
  <c r="BA91" i="1"/>
  <c r="BH91" i="1"/>
  <c r="BI91" i="1"/>
  <c r="BF91" i="1"/>
  <c r="BE91" i="1"/>
  <c r="BM90" i="1"/>
  <c r="AT93" i="1"/>
  <c r="AS92" i="1"/>
  <c r="H93" i="1" l="1"/>
  <c r="F94" i="1"/>
  <c r="G94" i="1" s="1"/>
  <c r="E94" i="1"/>
  <c r="AT94" i="1"/>
  <c r="AS93" i="1"/>
  <c r="BM91" i="1"/>
  <c r="AZ93" i="1"/>
  <c r="BH92" i="1"/>
  <c r="BG92" i="1"/>
  <c r="BF92" i="1"/>
  <c r="BK92" i="1"/>
  <c r="BC92" i="1"/>
  <c r="BE92" i="1"/>
  <c r="BB92" i="1"/>
  <c r="BA92" i="1"/>
  <c r="BL92" i="1"/>
  <c r="BI92" i="1"/>
  <c r="BD92" i="1"/>
  <c r="BJ92" i="1"/>
  <c r="H94" i="1" l="1"/>
  <c r="F95" i="1"/>
  <c r="G95" i="1" s="1"/>
  <c r="E95" i="1"/>
  <c r="BM92" i="1"/>
  <c r="AZ94" i="1"/>
  <c r="BL93" i="1"/>
  <c r="BD93" i="1"/>
  <c r="BK93" i="1"/>
  <c r="BC93" i="1"/>
  <c r="BJ93" i="1"/>
  <c r="BB93" i="1"/>
  <c r="BG93" i="1"/>
  <c r="BI93" i="1"/>
  <c r="BF93" i="1"/>
  <c r="BE93" i="1"/>
  <c r="BA93" i="1"/>
  <c r="BH93" i="1"/>
  <c r="AT95" i="1"/>
  <c r="AS94" i="1"/>
  <c r="H95" i="1" l="1"/>
  <c r="F96" i="1"/>
  <c r="G96" i="1" s="1"/>
  <c r="E96" i="1"/>
  <c r="AT96" i="1"/>
  <c r="AS95" i="1"/>
  <c r="BM93" i="1"/>
  <c r="AZ95" i="1"/>
  <c r="BH94" i="1"/>
  <c r="BG94" i="1"/>
  <c r="BF94" i="1"/>
  <c r="BK94" i="1"/>
  <c r="BC94" i="1"/>
  <c r="BJ94" i="1"/>
  <c r="BI94" i="1"/>
  <c r="BD94" i="1"/>
  <c r="BL94" i="1"/>
  <c r="BE94" i="1"/>
  <c r="BB94" i="1"/>
  <c r="BA94" i="1"/>
  <c r="H96" i="1" l="1"/>
  <c r="F97" i="1"/>
  <c r="G97" i="1" s="1"/>
  <c r="E97" i="1"/>
  <c r="BM94" i="1"/>
  <c r="AZ96" i="1"/>
  <c r="BL95" i="1"/>
  <c r="BD95" i="1"/>
  <c r="BK95" i="1"/>
  <c r="BC95" i="1"/>
  <c r="BJ95" i="1"/>
  <c r="BB95" i="1"/>
  <c r="BG95" i="1"/>
  <c r="BA95" i="1"/>
  <c r="BH95" i="1"/>
  <c r="BE95" i="1"/>
  <c r="BI95" i="1"/>
  <c r="BF95" i="1"/>
  <c r="AT97" i="1"/>
  <c r="AS96" i="1"/>
  <c r="H97" i="1" l="1"/>
  <c r="F98" i="1"/>
  <c r="G98" i="1" s="1"/>
  <c r="E98" i="1"/>
  <c r="AT98" i="1"/>
  <c r="AS97" i="1"/>
  <c r="BM95" i="1"/>
  <c r="AZ97" i="1"/>
  <c r="BH96" i="1"/>
  <c r="BG96" i="1"/>
  <c r="BF96" i="1"/>
  <c r="BK96" i="1"/>
  <c r="BC96" i="1"/>
  <c r="BE96" i="1"/>
  <c r="BB96" i="1"/>
  <c r="BA96" i="1"/>
  <c r="BL96" i="1"/>
  <c r="BJ96" i="1"/>
  <c r="BI96" i="1"/>
  <c r="BD96" i="1"/>
  <c r="H98" i="1" l="1"/>
  <c r="F99" i="1"/>
  <c r="E99" i="1"/>
  <c r="BM96" i="1"/>
  <c r="AZ98" i="1"/>
  <c r="BI97" i="1"/>
  <c r="BH97" i="1"/>
  <c r="BF97" i="1"/>
  <c r="BD97" i="1"/>
  <c r="BC97" i="1"/>
  <c r="BB97" i="1"/>
  <c r="BJ97" i="1"/>
  <c r="BL97" i="1"/>
  <c r="BG97" i="1"/>
  <c r="BE97" i="1"/>
  <c r="BK97" i="1"/>
  <c r="BA97" i="1"/>
  <c r="AT99" i="1"/>
  <c r="AS98" i="1"/>
  <c r="G99" i="1" l="1"/>
  <c r="H99" i="1" s="1"/>
  <c r="F100" i="1"/>
  <c r="E100" i="1"/>
  <c r="AT100" i="1"/>
  <c r="AS99" i="1"/>
  <c r="AZ99" i="1"/>
  <c r="BE98" i="1"/>
  <c r="BL98" i="1"/>
  <c r="BD98" i="1"/>
  <c r="BJ98" i="1"/>
  <c r="BB98" i="1"/>
  <c r="BF98" i="1"/>
  <c r="BC98" i="1"/>
  <c r="BA98" i="1"/>
  <c r="BI98" i="1"/>
  <c r="BK98" i="1"/>
  <c r="BG98" i="1"/>
  <c r="BH98" i="1"/>
  <c r="BM97" i="1"/>
  <c r="G100" i="1" l="1"/>
  <c r="H100" i="1" s="1"/>
  <c r="F101" i="1"/>
  <c r="E101" i="1"/>
  <c r="BM98" i="1"/>
  <c r="AZ100" i="1"/>
  <c r="BI99" i="1"/>
  <c r="BA99" i="1"/>
  <c r="BH99" i="1"/>
  <c r="BF99" i="1"/>
  <c r="BE99" i="1"/>
  <c r="BD99" i="1"/>
  <c r="BC99" i="1"/>
  <c r="BK99" i="1"/>
  <c r="BJ99" i="1"/>
  <c r="BG99" i="1"/>
  <c r="BB99" i="1"/>
  <c r="BL99" i="1"/>
  <c r="AT101" i="1"/>
  <c r="AS100" i="1"/>
  <c r="G101" i="1" l="1"/>
  <c r="H101" i="1" s="1"/>
  <c r="F102" i="1"/>
  <c r="E102" i="1"/>
  <c r="AT102" i="1"/>
  <c r="AS101" i="1"/>
  <c r="BM99" i="1"/>
  <c r="AZ101" i="1"/>
  <c r="BE100" i="1"/>
  <c r="BL100" i="1"/>
  <c r="BD100" i="1"/>
  <c r="BJ100" i="1"/>
  <c r="BB100" i="1"/>
  <c r="BG100" i="1"/>
  <c r="BF100" i="1"/>
  <c r="BC100" i="1"/>
  <c r="BK100" i="1"/>
  <c r="BA100" i="1"/>
  <c r="BI100" i="1"/>
  <c r="BH100" i="1"/>
  <c r="G102" i="1" l="1"/>
  <c r="H102" i="1" s="1"/>
  <c r="F103" i="1"/>
  <c r="E103" i="1"/>
  <c r="BM100" i="1"/>
  <c r="AZ102" i="1"/>
  <c r="BI101" i="1"/>
  <c r="BA101" i="1"/>
  <c r="BH101" i="1"/>
  <c r="BF101" i="1"/>
  <c r="BG101" i="1"/>
  <c r="BE101" i="1"/>
  <c r="BD101" i="1"/>
  <c r="BL101" i="1"/>
  <c r="BK101" i="1"/>
  <c r="BJ101" i="1"/>
  <c r="BB101" i="1"/>
  <c r="BC101" i="1"/>
  <c r="AT103" i="1"/>
  <c r="AS102" i="1"/>
  <c r="G103" i="1" l="1"/>
  <c r="H103" i="1" s="1"/>
  <c r="F104" i="1"/>
  <c r="E104" i="1"/>
  <c r="BM101" i="1"/>
  <c r="AT104" i="1"/>
  <c r="AS103" i="1"/>
  <c r="AZ103" i="1"/>
  <c r="BE102" i="1"/>
  <c r="BL102" i="1"/>
  <c r="BD102" i="1"/>
  <c r="BJ102" i="1"/>
  <c r="BB102" i="1"/>
  <c r="BH102" i="1"/>
  <c r="BG102" i="1"/>
  <c r="BF102" i="1"/>
  <c r="BC102" i="1"/>
  <c r="BI102" i="1"/>
  <c r="BA102" i="1"/>
  <c r="BK102" i="1"/>
  <c r="G104" i="1" l="1"/>
  <c r="H104" i="1" s="1"/>
  <c r="F105" i="1"/>
  <c r="E105" i="1"/>
  <c r="BM102" i="1"/>
  <c r="AZ104" i="1"/>
  <c r="BI103" i="1"/>
  <c r="BA103" i="1"/>
  <c r="BH103" i="1"/>
  <c r="BF103" i="1"/>
  <c r="BJ103" i="1"/>
  <c r="BG103" i="1"/>
  <c r="BE103" i="1"/>
  <c r="BB103" i="1"/>
  <c r="BL103" i="1"/>
  <c r="BK103" i="1"/>
  <c r="BC103" i="1"/>
  <c r="BD103" i="1"/>
  <c r="AT105" i="1"/>
  <c r="AS104" i="1"/>
  <c r="G105" i="1" l="1"/>
  <c r="H105" i="1" s="1"/>
  <c r="F106" i="1"/>
  <c r="E106" i="1"/>
  <c r="BM103" i="1"/>
  <c r="AT106" i="1"/>
  <c r="AS105" i="1"/>
  <c r="AZ105" i="1"/>
  <c r="BE104" i="1"/>
  <c r="BL104" i="1"/>
  <c r="BD104" i="1"/>
  <c r="BJ104" i="1"/>
  <c r="BB104" i="1"/>
  <c r="BI104" i="1"/>
  <c r="BH104" i="1"/>
  <c r="BG104" i="1"/>
  <c r="BA104" i="1"/>
  <c r="BF104" i="1"/>
  <c r="BK104" i="1"/>
  <c r="BC104" i="1"/>
  <c r="G106" i="1" l="1"/>
  <c r="H106" i="1" s="1"/>
  <c r="F107" i="1"/>
  <c r="E107" i="1"/>
  <c r="AZ106" i="1"/>
  <c r="BI105" i="1"/>
  <c r="BA105" i="1"/>
  <c r="BH105" i="1"/>
  <c r="BF105" i="1"/>
  <c r="BK105" i="1"/>
  <c r="BJ105" i="1"/>
  <c r="BG105" i="1"/>
  <c r="BC105" i="1"/>
  <c r="BL105" i="1"/>
  <c r="BD105" i="1"/>
  <c r="BE105" i="1"/>
  <c r="BB105" i="1"/>
  <c r="AT107" i="1"/>
  <c r="AS106" i="1"/>
  <c r="BM104" i="1"/>
  <c r="G107" i="1" l="1"/>
  <c r="H107" i="1" s="1"/>
  <c r="F108" i="1"/>
  <c r="E108" i="1"/>
  <c r="BM105" i="1"/>
  <c r="AT108" i="1"/>
  <c r="AS107" i="1"/>
  <c r="AZ107" i="1"/>
  <c r="BE106" i="1"/>
  <c r="BL106" i="1"/>
  <c r="BD106" i="1"/>
  <c r="BJ106" i="1"/>
  <c r="BB106" i="1"/>
  <c r="BK106" i="1"/>
  <c r="BI106" i="1"/>
  <c r="BH106" i="1"/>
  <c r="BC106" i="1"/>
  <c r="BG106" i="1"/>
  <c r="BA106" i="1"/>
  <c r="BF106" i="1"/>
  <c r="G108" i="1" l="1"/>
  <c r="H108" i="1" s="1"/>
  <c r="F109" i="1"/>
  <c r="E109" i="1"/>
  <c r="BM106" i="1"/>
  <c r="AZ108" i="1"/>
  <c r="BI107" i="1"/>
  <c r="BA107" i="1"/>
  <c r="BH107" i="1"/>
  <c r="BF107" i="1"/>
  <c r="BL107" i="1"/>
  <c r="BK107" i="1"/>
  <c r="BJ107" i="1"/>
  <c r="BD107" i="1"/>
  <c r="BE107" i="1"/>
  <c r="BB107" i="1"/>
  <c r="BG107" i="1"/>
  <c r="BC107" i="1"/>
  <c r="AT109" i="1"/>
  <c r="AS108" i="1"/>
  <c r="G109" i="1" l="1"/>
  <c r="H109" i="1" s="1"/>
  <c r="F110" i="1"/>
  <c r="E110" i="1"/>
  <c r="AT110" i="1"/>
  <c r="AS109" i="1"/>
  <c r="BM107" i="1"/>
  <c r="AZ109" i="1"/>
  <c r="BE108" i="1"/>
  <c r="BL108" i="1"/>
  <c r="BD108" i="1"/>
  <c r="BJ108" i="1"/>
  <c r="BB108" i="1"/>
  <c r="BK108" i="1"/>
  <c r="BI108" i="1"/>
  <c r="BF108" i="1"/>
  <c r="BH108" i="1"/>
  <c r="BC108" i="1"/>
  <c r="BA108" i="1"/>
  <c r="BG108" i="1"/>
  <c r="G110" i="1" l="1"/>
  <c r="H110" i="1" s="1"/>
  <c r="F111" i="1"/>
  <c r="E111" i="1"/>
  <c r="AZ110" i="1"/>
  <c r="BI109" i="1"/>
  <c r="BA109" i="1"/>
  <c r="BH109" i="1"/>
  <c r="BF109" i="1"/>
  <c r="BB109" i="1"/>
  <c r="BL109" i="1"/>
  <c r="BK109" i="1"/>
  <c r="BE109" i="1"/>
  <c r="BG109" i="1"/>
  <c r="BJ109" i="1"/>
  <c r="BD109" i="1"/>
  <c r="BC109" i="1"/>
  <c r="BM108" i="1"/>
  <c r="AT111" i="1"/>
  <c r="AS110" i="1"/>
  <c r="G111" i="1" l="1"/>
  <c r="H111" i="1" s="1"/>
  <c r="F112" i="1"/>
  <c r="E112" i="1"/>
  <c r="AT112" i="1"/>
  <c r="AS111" i="1"/>
  <c r="BM109" i="1"/>
  <c r="AZ111" i="1"/>
  <c r="BE110" i="1"/>
  <c r="BL110" i="1"/>
  <c r="BD110" i="1"/>
  <c r="BJ110" i="1"/>
  <c r="BB110" i="1"/>
  <c r="BA110" i="1"/>
  <c r="BK110" i="1"/>
  <c r="BG110" i="1"/>
  <c r="BI110" i="1"/>
  <c r="BF110" i="1"/>
  <c r="BC110" i="1"/>
  <c r="BH110" i="1"/>
  <c r="G112" i="1" l="1"/>
  <c r="H112" i="1" s="1"/>
  <c r="F113" i="1"/>
  <c r="E113" i="1"/>
  <c r="AZ112" i="1"/>
  <c r="BI111" i="1"/>
  <c r="BA111" i="1"/>
  <c r="BH111" i="1"/>
  <c r="BF111" i="1"/>
  <c r="BC111" i="1"/>
  <c r="BB111" i="1"/>
  <c r="BL111" i="1"/>
  <c r="BG111" i="1"/>
  <c r="BJ111" i="1"/>
  <c r="BD111" i="1"/>
  <c r="BK111" i="1"/>
  <c r="BE111" i="1"/>
  <c r="BM110" i="1"/>
  <c r="AT113" i="1"/>
  <c r="AS112" i="1"/>
  <c r="G113" i="1" l="1"/>
  <c r="H113" i="1" s="1"/>
  <c r="F114" i="1"/>
  <c r="E114" i="1"/>
  <c r="AT114" i="1"/>
  <c r="AS113" i="1"/>
  <c r="BM111" i="1"/>
  <c r="AZ113" i="1"/>
  <c r="BE112" i="1"/>
  <c r="BL112" i="1"/>
  <c r="BD112" i="1"/>
  <c r="BJ112" i="1"/>
  <c r="BB112" i="1"/>
  <c r="BC112" i="1"/>
  <c r="BA112" i="1"/>
  <c r="BH112" i="1"/>
  <c r="BK112" i="1"/>
  <c r="BG112" i="1"/>
  <c r="BF112" i="1"/>
  <c r="BI112" i="1"/>
  <c r="G114" i="1" l="1"/>
  <c r="H114" i="1" s="1"/>
  <c r="F115" i="1"/>
  <c r="E115" i="1"/>
  <c r="AZ114" i="1"/>
  <c r="BI113" i="1"/>
  <c r="BA113" i="1"/>
  <c r="BH113" i="1"/>
  <c r="BF113" i="1"/>
  <c r="BD113" i="1"/>
  <c r="BC113" i="1"/>
  <c r="BB113" i="1"/>
  <c r="BJ113" i="1"/>
  <c r="BK113" i="1"/>
  <c r="BL113" i="1"/>
  <c r="BG113" i="1"/>
  <c r="BE113" i="1"/>
  <c r="BM112" i="1"/>
  <c r="AT115" i="1"/>
  <c r="AS114" i="1"/>
  <c r="G115" i="1" l="1"/>
  <c r="H115" i="1" s="1"/>
  <c r="F116" i="1"/>
  <c r="E116" i="1"/>
  <c r="AT116" i="1"/>
  <c r="AS115" i="1"/>
  <c r="BM113" i="1"/>
  <c r="AZ115" i="1"/>
  <c r="BE114" i="1"/>
  <c r="BL114" i="1"/>
  <c r="BD114" i="1"/>
  <c r="BJ114" i="1"/>
  <c r="BB114" i="1"/>
  <c r="BF114" i="1"/>
  <c r="BC114" i="1"/>
  <c r="BA114" i="1"/>
  <c r="BI114" i="1"/>
  <c r="BH114" i="1"/>
  <c r="BG114" i="1"/>
  <c r="BK114" i="1"/>
  <c r="G116" i="1" l="1"/>
  <c r="H116" i="1" s="1"/>
  <c r="F117" i="1"/>
  <c r="E117" i="1"/>
  <c r="AZ116" i="1"/>
  <c r="BI115" i="1"/>
  <c r="BA115" i="1"/>
  <c r="BH115" i="1"/>
  <c r="BF115" i="1"/>
  <c r="BE115" i="1"/>
  <c r="BD115" i="1"/>
  <c r="BC115" i="1"/>
  <c r="BK115" i="1"/>
  <c r="BB115" i="1"/>
  <c r="BL115" i="1"/>
  <c r="BG115" i="1"/>
  <c r="BJ115" i="1"/>
  <c r="BM114" i="1"/>
  <c r="AT117" i="1"/>
  <c r="AS116" i="1"/>
  <c r="G117" i="1" l="1"/>
  <c r="H117" i="1" s="1"/>
  <c r="F118" i="1"/>
  <c r="E118" i="1"/>
  <c r="AT118" i="1"/>
  <c r="AS117" i="1"/>
  <c r="BM115" i="1"/>
  <c r="AZ117" i="1"/>
  <c r="BE116" i="1"/>
  <c r="BL116" i="1"/>
  <c r="BD116" i="1"/>
  <c r="BJ116" i="1"/>
  <c r="BB116" i="1"/>
  <c r="BG116" i="1"/>
  <c r="BF116" i="1"/>
  <c r="BC116" i="1"/>
  <c r="BK116" i="1"/>
  <c r="BI116" i="1"/>
  <c r="BH116" i="1"/>
  <c r="BA116" i="1"/>
  <c r="G118" i="1" l="1"/>
  <c r="H118" i="1" s="1"/>
  <c r="F119" i="1"/>
  <c r="E119" i="1"/>
  <c r="BM116" i="1"/>
  <c r="AZ118" i="1"/>
  <c r="BI117" i="1"/>
  <c r="BA117" i="1"/>
  <c r="BH117" i="1"/>
  <c r="BF117" i="1"/>
  <c r="BG117" i="1"/>
  <c r="BE117" i="1"/>
  <c r="BD117" i="1"/>
  <c r="BL117" i="1"/>
  <c r="BC117" i="1"/>
  <c r="BK117" i="1"/>
  <c r="BJ117" i="1"/>
  <c r="BB117" i="1"/>
  <c r="AT119" i="1"/>
  <c r="AS118" i="1"/>
  <c r="G119" i="1" l="1"/>
  <c r="H119" i="1" s="1"/>
  <c r="F120" i="1"/>
  <c r="E120" i="1"/>
  <c r="BM117" i="1"/>
  <c r="AT120" i="1"/>
  <c r="AS119" i="1"/>
  <c r="AZ119" i="1"/>
  <c r="BE118" i="1"/>
  <c r="BL118" i="1"/>
  <c r="BD118" i="1"/>
  <c r="BJ118" i="1"/>
  <c r="BB118" i="1"/>
  <c r="BH118" i="1"/>
  <c r="BG118" i="1"/>
  <c r="BF118" i="1"/>
  <c r="BK118" i="1"/>
  <c r="BI118" i="1"/>
  <c r="BA118" i="1"/>
  <c r="BC118" i="1"/>
  <c r="G120" i="1" l="1"/>
  <c r="H120" i="1" s="1"/>
  <c r="F121" i="1"/>
  <c r="E121" i="1"/>
  <c r="AZ120" i="1"/>
  <c r="BI119" i="1"/>
  <c r="BA119" i="1"/>
  <c r="BH119" i="1"/>
  <c r="BF119" i="1"/>
  <c r="BJ119" i="1"/>
  <c r="BG119" i="1"/>
  <c r="BE119" i="1"/>
  <c r="BB119" i="1"/>
  <c r="BD119" i="1"/>
  <c r="BK119" i="1"/>
  <c r="BC119" i="1"/>
  <c r="BL119" i="1"/>
  <c r="BM118" i="1"/>
  <c r="AT121" i="1"/>
  <c r="AS120" i="1"/>
  <c r="G121" i="1" l="1"/>
  <c r="H121" i="1" s="1"/>
  <c r="F122" i="1"/>
  <c r="E122" i="1"/>
  <c r="AT122" i="1"/>
  <c r="AS121" i="1"/>
  <c r="BM119" i="1"/>
  <c r="AZ121" i="1"/>
  <c r="BE120" i="1"/>
  <c r="BL120" i="1"/>
  <c r="BD120" i="1"/>
  <c r="BJ120" i="1"/>
  <c r="BB120" i="1"/>
  <c r="BI120" i="1"/>
  <c r="BH120" i="1"/>
  <c r="BG120" i="1"/>
  <c r="BA120" i="1"/>
  <c r="BK120" i="1"/>
  <c r="BC120" i="1"/>
  <c r="BF120" i="1"/>
  <c r="G122" i="1" l="1"/>
  <c r="H122" i="1" s="1"/>
  <c r="F123" i="1"/>
  <c r="E123" i="1"/>
  <c r="AZ122" i="1"/>
  <c r="BI121" i="1"/>
  <c r="BA121" i="1"/>
  <c r="BH121" i="1"/>
  <c r="BF121" i="1"/>
  <c r="BK121" i="1"/>
  <c r="BJ121" i="1"/>
  <c r="BG121" i="1"/>
  <c r="BC121" i="1"/>
  <c r="BE121" i="1"/>
  <c r="BB121" i="1"/>
  <c r="BL121" i="1"/>
  <c r="BD121" i="1"/>
  <c r="BM120" i="1"/>
  <c r="AT123" i="1"/>
  <c r="AS122" i="1"/>
  <c r="G123" i="1" l="1"/>
  <c r="H123" i="1" s="1"/>
  <c r="F124" i="1"/>
  <c r="E124" i="1"/>
  <c r="AT124" i="1"/>
  <c r="AS123" i="1"/>
  <c r="BM121" i="1"/>
  <c r="AZ123" i="1"/>
  <c r="BE122" i="1"/>
  <c r="BL122" i="1"/>
  <c r="BD122" i="1"/>
  <c r="BJ122" i="1"/>
  <c r="BB122" i="1"/>
  <c r="BK122" i="1"/>
  <c r="BI122" i="1"/>
  <c r="BH122" i="1"/>
  <c r="BC122" i="1"/>
  <c r="BF122" i="1"/>
  <c r="BG122" i="1"/>
  <c r="BA122" i="1"/>
  <c r="G124" i="1" l="1"/>
  <c r="H124" i="1" s="1"/>
  <c r="F125" i="1"/>
  <c r="E125" i="1"/>
  <c r="BM122" i="1"/>
  <c r="AZ124" i="1"/>
  <c r="BI123" i="1"/>
  <c r="BA123" i="1"/>
  <c r="BH123" i="1"/>
  <c r="BF123" i="1"/>
  <c r="BL123" i="1"/>
  <c r="BK123" i="1"/>
  <c r="BJ123" i="1"/>
  <c r="BD123" i="1"/>
  <c r="BG123" i="1"/>
  <c r="BC123" i="1"/>
  <c r="BB123" i="1"/>
  <c r="BE123" i="1"/>
  <c r="AT125" i="1"/>
  <c r="AS124" i="1"/>
  <c r="G125" i="1" l="1"/>
  <c r="H125" i="1" s="1"/>
  <c r="F126" i="1"/>
  <c r="E126" i="1"/>
  <c r="BM123" i="1"/>
  <c r="AT126" i="1"/>
  <c r="AS125" i="1"/>
  <c r="AZ125" i="1"/>
  <c r="BE124" i="1"/>
  <c r="BL124" i="1"/>
  <c r="BD124" i="1"/>
  <c r="BJ124" i="1"/>
  <c r="BB124" i="1"/>
  <c r="BK124" i="1"/>
  <c r="BI124" i="1"/>
  <c r="BF124" i="1"/>
  <c r="BG124" i="1"/>
  <c r="BA124" i="1"/>
  <c r="BH124" i="1"/>
  <c r="BC124" i="1"/>
  <c r="G126" i="1" l="1"/>
  <c r="H126" i="1" s="1"/>
  <c r="F127" i="1"/>
  <c r="E127" i="1"/>
  <c r="AZ126" i="1"/>
  <c r="BI125" i="1"/>
  <c r="BA125" i="1"/>
  <c r="BH125" i="1"/>
  <c r="BF125" i="1"/>
  <c r="BB125" i="1"/>
  <c r="BL125" i="1"/>
  <c r="BK125" i="1"/>
  <c r="BE125" i="1"/>
  <c r="BJ125" i="1"/>
  <c r="BD125" i="1"/>
  <c r="BC125" i="1"/>
  <c r="BG125" i="1"/>
  <c r="AT127" i="1"/>
  <c r="AS126" i="1"/>
  <c r="BM124" i="1"/>
  <c r="G127" i="1" l="1"/>
  <c r="H127" i="1" s="1"/>
  <c r="F128" i="1"/>
  <c r="E128" i="1"/>
  <c r="BM125" i="1"/>
  <c r="AT128" i="1"/>
  <c r="AS127" i="1"/>
  <c r="AZ127" i="1"/>
  <c r="BE126" i="1"/>
  <c r="BL126" i="1"/>
  <c r="BD126" i="1"/>
  <c r="BJ126" i="1"/>
  <c r="BB126" i="1"/>
  <c r="BA126" i="1"/>
  <c r="BK126" i="1"/>
  <c r="BG126" i="1"/>
  <c r="BH126" i="1"/>
  <c r="BI126" i="1"/>
  <c r="BF126" i="1"/>
  <c r="BC126" i="1"/>
  <c r="G128" i="1" l="1"/>
  <c r="H128" i="1" s="1"/>
  <c r="F129" i="1"/>
  <c r="E129" i="1"/>
  <c r="AZ128" i="1"/>
  <c r="BI127" i="1"/>
  <c r="BA127" i="1"/>
  <c r="BH127" i="1"/>
  <c r="BF127" i="1"/>
  <c r="BC127" i="1"/>
  <c r="BB127" i="1"/>
  <c r="BL127" i="1"/>
  <c r="BG127" i="1"/>
  <c r="BK127" i="1"/>
  <c r="BE127" i="1"/>
  <c r="BD127" i="1"/>
  <c r="BJ127" i="1"/>
  <c r="BM126" i="1"/>
  <c r="AT129" i="1"/>
  <c r="AS128" i="1"/>
  <c r="G129" i="1" l="1"/>
  <c r="H129" i="1" s="1"/>
  <c r="F130" i="1"/>
  <c r="E130" i="1"/>
  <c r="AT130" i="1"/>
  <c r="AS129" i="1"/>
  <c r="BM127" i="1"/>
  <c r="AZ129" i="1"/>
  <c r="BE128" i="1"/>
  <c r="BL128" i="1"/>
  <c r="BD128" i="1"/>
  <c r="BJ128" i="1"/>
  <c r="BB128" i="1"/>
  <c r="BC128" i="1"/>
  <c r="BA128" i="1"/>
  <c r="BH128" i="1"/>
  <c r="BI128" i="1"/>
  <c r="BF128" i="1"/>
  <c r="BK128" i="1"/>
  <c r="BG128" i="1"/>
  <c r="G130" i="1" l="1"/>
  <c r="H130" i="1" s="1"/>
  <c r="F131" i="1"/>
  <c r="E131" i="1"/>
  <c r="AZ130" i="1"/>
  <c r="BI129" i="1"/>
  <c r="BA129" i="1"/>
  <c r="BH129" i="1"/>
  <c r="BF129" i="1"/>
  <c r="BD129" i="1"/>
  <c r="BC129" i="1"/>
  <c r="BB129" i="1"/>
  <c r="BJ129" i="1"/>
  <c r="BL129" i="1"/>
  <c r="BG129" i="1"/>
  <c r="BE129" i="1"/>
  <c r="BK129" i="1"/>
  <c r="BM128" i="1"/>
  <c r="AT131" i="1"/>
  <c r="AS130" i="1"/>
  <c r="G131" i="1" l="1"/>
  <c r="H131" i="1" s="1"/>
  <c r="F132" i="1"/>
  <c r="E132" i="1"/>
  <c r="AT132" i="1"/>
  <c r="AS131" i="1"/>
  <c r="BM129" i="1"/>
  <c r="AZ131" i="1"/>
  <c r="BE130" i="1"/>
  <c r="BL130" i="1"/>
  <c r="BD130" i="1"/>
  <c r="BJ130" i="1"/>
  <c r="BB130" i="1"/>
  <c r="BF130" i="1"/>
  <c r="BC130" i="1"/>
  <c r="BA130" i="1"/>
  <c r="BI130" i="1"/>
  <c r="BK130" i="1"/>
  <c r="BH130" i="1"/>
  <c r="BG130" i="1"/>
  <c r="G132" i="1" l="1"/>
  <c r="H132" i="1" s="1"/>
  <c r="F133" i="1"/>
  <c r="E133" i="1"/>
  <c r="AZ132" i="1"/>
  <c r="BI131" i="1"/>
  <c r="BA131" i="1"/>
  <c r="BH131" i="1"/>
  <c r="BF131" i="1"/>
  <c r="BE131" i="1"/>
  <c r="BD131" i="1"/>
  <c r="BC131" i="1"/>
  <c r="BK131" i="1"/>
  <c r="BJ131" i="1"/>
  <c r="BG131" i="1"/>
  <c r="BL131" i="1"/>
  <c r="BB131" i="1"/>
  <c r="BM130" i="1"/>
  <c r="AT133" i="1"/>
  <c r="AS132" i="1"/>
  <c r="G133" i="1" l="1"/>
  <c r="H133" i="1" s="1"/>
  <c r="F134" i="1"/>
  <c r="E134" i="1"/>
  <c r="AT134" i="1"/>
  <c r="AS133" i="1"/>
  <c r="BM131" i="1"/>
  <c r="AZ133" i="1"/>
  <c r="BE132" i="1"/>
  <c r="BL132" i="1"/>
  <c r="BD132" i="1"/>
  <c r="BJ132" i="1"/>
  <c r="BB132" i="1"/>
  <c r="BH132" i="1"/>
  <c r="BG132" i="1"/>
  <c r="BF132" i="1"/>
  <c r="BC132" i="1"/>
  <c r="BA132" i="1"/>
  <c r="BK132" i="1"/>
  <c r="BI132" i="1"/>
  <c r="G134" i="1" l="1"/>
  <c r="H134" i="1" s="1"/>
  <c r="F135" i="1"/>
  <c r="E135" i="1"/>
  <c r="BM132" i="1"/>
  <c r="AZ134" i="1"/>
  <c r="BI133" i="1"/>
  <c r="BA133" i="1"/>
  <c r="BH133" i="1"/>
  <c r="BF133" i="1"/>
  <c r="BJ133" i="1"/>
  <c r="BG133" i="1"/>
  <c r="BE133" i="1"/>
  <c r="BD133" i="1"/>
  <c r="BC133" i="1"/>
  <c r="BL133" i="1"/>
  <c r="BB133" i="1"/>
  <c r="BK133" i="1"/>
  <c r="AT135" i="1"/>
  <c r="AS134" i="1"/>
  <c r="G135" i="1" l="1"/>
  <c r="H135" i="1" s="1"/>
  <c r="F136" i="1"/>
  <c r="E136" i="1"/>
  <c r="AT136" i="1"/>
  <c r="AS135" i="1"/>
  <c r="BM133" i="1"/>
  <c r="AZ135" i="1"/>
  <c r="BE134" i="1"/>
  <c r="BL134" i="1"/>
  <c r="BD134" i="1"/>
  <c r="BJ134" i="1"/>
  <c r="BB134" i="1"/>
  <c r="BI134" i="1"/>
  <c r="BH134" i="1"/>
  <c r="BG134" i="1"/>
  <c r="BF134" i="1"/>
  <c r="BC134" i="1"/>
  <c r="BA134" i="1"/>
  <c r="BK134" i="1"/>
  <c r="G136" i="1" l="1"/>
  <c r="H136" i="1" s="1"/>
  <c r="F137" i="1"/>
  <c r="E137" i="1"/>
  <c r="BM134" i="1"/>
  <c r="AZ136" i="1"/>
  <c r="BI135" i="1"/>
  <c r="BA135" i="1"/>
  <c r="BH135" i="1"/>
  <c r="BF135" i="1"/>
  <c r="BK135" i="1"/>
  <c r="BJ135" i="1"/>
  <c r="BG135" i="1"/>
  <c r="BE135" i="1"/>
  <c r="BD135" i="1"/>
  <c r="BB135" i="1"/>
  <c r="BL135" i="1"/>
  <c r="BC135" i="1"/>
  <c r="AT137" i="1"/>
  <c r="AS136" i="1"/>
  <c r="G137" i="1" l="1"/>
  <c r="H137" i="1" s="1"/>
  <c r="F138" i="1"/>
  <c r="E138" i="1"/>
  <c r="BM135" i="1"/>
  <c r="AT138" i="1"/>
  <c r="AS137" i="1"/>
  <c r="AZ137" i="1"/>
  <c r="BE136" i="1"/>
  <c r="BL136" i="1"/>
  <c r="BD136" i="1"/>
  <c r="BJ136" i="1"/>
  <c r="BB136" i="1"/>
  <c r="BK136" i="1"/>
  <c r="BI136" i="1"/>
  <c r="BH136" i="1"/>
  <c r="BG136" i="1"/>
  <c r="BF136" i="1"/>
  <c r="BA136" i="1"/>
  <c r="BC136" i="1"/>
  <c r="G138" i="1" l="1"/>
  <c r="H138" i="1" s="1"/>
  <c r="F139" i="1"/>
  <c r="E139" i="1"/>
  <c r="BM136" i="1"/>
  <c r="AZ138" i="1"/>
  <c r="BI137" i="1"/>
  <c r="BA137" i="1"/>
  <c r="BH137" i="1"/>
  <c r="BF137" i="1"/>
  <c r="BL137" i="1"/>
  <c r="BK137" i="1"/>
  <c r="BJ137" i="1"/>
  <c r="BG137" i="1"/>
  <c r="BE137" i="1"/>
  <c r="BC137" i="1"/>
  <c r="BB137" i="1"/>
  <c r="BD137" i="1"/>
  <c r="AT139" i="1"/>
  <c r="AS138" i="1"/>
  <c r="G139" i="1" l="1"/>
  <c r="H139" i="1" s="1"/>
  <c r="F140" i="1"/>
  <c r="E140" i="1"/>
  <c r="AT140" i="1"/>
  <c r="AS139" i="1"/>
  <c r="BM137" i="1"/>
  <c r="AZ139" i="1"/>
  <c r="BE138" i="1"/>
  <c r="BL138" i="1"/>
  <c r="BD138" i="1"/>
  <c r="BJ138" i="1"/>
  <c r="BB138" i="1"/>
  <c r="BK138" i="1"/>
  <c r="BI138" i="1"/>
  <c r="BH138" i="1"/>
  <c r="BG138" i="1"/>
  <c r="BC138" i="1"/>
  <c r="BF138" i="1"/>
  <c r="BA138" i="1"/>
  <c r="G140" i="1" l="1"/>
  <c r="H140" i="1" s="1"/>
  <c r="F141" i="1"/>
  <c r="E141" i="1"/>
  <c r="BM138" i="1"/>
  <c r="AZ140" i="1"/>
  <c r="BI139" i="1"/>
  <c r="BA139" i="1"/>
  <c r="BH139" i="1"/>
  <c r="BF139" i="1"/>
  <c r="BB139" i="1"/>
  <c r="BL139" i="1"/>
  <c r="BK139" i="1"/>
  <c r="BJ139" i="1"/>
  <c r="BG139" i="1"/>
  <c r="BD139" i="1"/>
  <c r="BE139" i="1"/>
  <c r="BC139" i="1"/>
  <c r="AT141" i="1"/>
  <c r="AS140" i="1"/>
  <c r="G141" i="1" l="1"/>
  <c r="H141" i="1" s="1"/>
  <c r="F142" i="1"/>
  <c r="E142" i="1"/>
  <c r="BM139" i="1"/>
  <c r="AT142" i="1"/>
  <c r="AS141" i="1"/>
  <c r="AZ141" i="1"/>
  <c r="BE140" i="1"/>
  <c r="BL140" i="1"/>
  <c r="BD140" i="1"/>
  <c r="BJ140" i="1"/>
  <c r="BB140" i="1"/>
  <c r="BA140" i="1"/>
  <c r="BK140" i="1"/>
  <c r="BI140" i="1"/>
  <c r="BH140" i="1"/>
  <c r="BF140" i="1"/>
  <c r="BC140" i="1"/>
  <c r="BG140" i="1"/>
  <c r="G142" i="1" l="1"/>
  <c r="H142" i="1" s="1"/>
  <c r="F143" i="1"/>
  <c r="E143" i="1"/>
  <c r="AZ142" i="1"/>
  <c r="BI141" i="1"/>
  <c r="BA141" i="1"/>
  <c r="BH141" i="1"/>
  <c r="BF141" i="1"/>
  <c r="BC141" i="1"/>
  <c r="BB141" i="1"/>
  <c r="BL141" i="1"/>
  <c r="BK141" i="1"/>
  <c r="BJ141" i="1"/>
  <c r="BE141" i="1"/>
  <c r="BD141" i="1"/>
  <c r="BG141" i="1"/>
  <c r="BM140" i="1"/>
  <c r="AT143" i="1"/>
  <c r="AS142" i="1"/>
  <c r="G143" i="1" l="1"/>
  <c r="H143" i="1" s="1"/>
  <c r="F144" i="1"/>
  <c r="E144" i="1"/>
  <c r="AT144" i="1"/>
  <c r="AS143" i="1"/>
  <c r="BM141" i="1"/>
  <c r="AZ143" i="1"/>
  <c r="BE142" i="1"/>
  <c r="BL142" i="1"/>
  <c r="BD142" i="1"/>
  <c r="BJ142" i="1"/>
  <c r="BB142" i="1"/>
  <c r="BC142" i="1"/>
  <c r="BA142" i="1"/>
  <c r="BK142" i="1"/>
  <c r="BI142" i="1"/>
  <c r="BG142" i="1"/>
  <c r="BH142" i="1"/>
  <c r="BF142" i="1"/>
  <c r="G144" i="1" l="1"/>
  <c r="H144" i="1" s="1"/>
  <c r="F145" i="1"/>
  <c r="E145" i="1"/>
  <c r="BM142" i="1"/>
  <c r="AZ144" i="1"/>
  <c r="BI143" i="1"/>
  <c r="BA143" i="1"/>
  <c r="BH143" i="1"/>
  <c r="BF143" i="1"/>
  <c r="BD143" i="1"/>
  <c r="BC143" i="1"/>
  <c r="BB143" i="1"/>
  <c r="BL143" i="1"/>
  <c r="BK143" i="1"/>
  <c r="BG143" i="1"/>
  <c r="BJ143" i="1"/>
  <c r="BE143" i="1"/>
  <c r="AT145" i="1"/>
  <c r="AS144" i="1"/>
  <c r="G145" i="1" l="1"/>
  <c r="H145" i="1" s="1"/>
  <c r="F146" i="1"/>
  <c r="E146" i="1"/>
  <c r="AZ145" i="1"/>
  <c r="BE144" i="1"/>
  <c r="BL144" i="1"/>
  <c r="BD144" i="1"/>
  <c r="BJ144" i="1"/>
  <c r="BB144" i="1"/>
  <c r="BF144" i="1"/>
  <c r="BC144" i="1"/>
  <c r="BA144" i="1"/>
  <c r="BK144" i="1"/>
  <c r="BH144" i="1"/>
  <c r="BG144" i="1"/>
  <c r="BI144" i="1"/>
  <c r="AT146" i="1"/>
  <c r="AS145" i="1"/>
  <c r="BM143" i="1"/>
  <c r="G146" i="1" l="1"/>
  <c r="H146" i="1" s="1"/>
  <c r="F147" i="1"/>
  <c r="E147" i="1"/>
  <c r="AT147" i="1"/>
  <c r="AS146" i="1"/>
  <c r="BM144" i="1"/>
  <c r="AZ146" i="1"/>
  <c r="BI145" i="1"/>
  <c r="BA145" i="1"/>
  <c r="BH145" i="1"/>
  <c r="BF145" i="1"/>
  <c r="BE145" i="1"/>
  <c r="BD145" i="1"/>
  <c r="BC145" i="1"/>
  <c r="BB145" i="1"/>
  <c r="BL145" i="1"/>
  <c r="BJ145" i="1"/>
  <c r="BG145" i="1"/>
  <c r="BK145" i="1"/>
  <c r="G147" i="1" l="1"/>
  <c r="H147" i="1" s="1"/>
  <c r="F148" i="1"/>
  <c r="E148" i="1"/>
  <c r="BM145" i="1"/>
  <c r="AZ147" i="1"/>
  <c r="BH146" i="1"/>
  <c r="BE146" i="1"/>
  <c r="BL146" i="1"/>
  <c r="BD146" i="1"/>
  <c r="BK146" i="1"/>
  <c r="BC146" i="1"/>
  <c r="BJ146" i="1"/>
  <c r="BB146" i="1"/>
  <c r="BI146" i="1"/>
  <c r="BG146" i="1"/>
  <c r="BF146" i="1"/>
  <c r="BA146" i="1"/>
  <c r="AT148" i="1"/>
  <c r="AS147" i="1"/>
  <c r="G148" i="1" l="1"/>
  <c r="H148" i="1" s="1"/>
  <c r="F149" i="1"/>
  <c r="E149" i="1"/>
  <c r="AT149" i="1"/>
  <c r="AS148" i="1"/>
  <c r="BM146" i="1"/>
  <c r="AZ148" i="1"/>
  <c r="BL147" i="1"/>
  <c r="BD147" i="1"/>
  <c r="BI147" i="1"/>
  <c r="BA147" i="1"/>
  <c r="BH147" i="1"/>
  <c r="BG147" i="1"/>
  <c r="BF147" i="1"/>
  <c r="BK147" i="1"/>
  <c r="BJ147" i="1"/>
  <c r="BC147" i="1"/>
  <c r="BE147" i="1"/>
  <c r="BB147" i="1"/>
  <c r="G149" i="1" l="1"/>
  <c r="H149" i="1" s="1"/>
  <c r="F150" i="1"/>
  <c r="E150" i="1"/>
  <c r="BM147" i="1"/>
  <c r="AZ149" i="1"/>
  <c r="BH148" i="1"/>
  <c r="BE148" i="1"/>
  <c r="BL148" i="1"/>
  <c r="BD148" i="1"/>
  <c r="BK148" i="1"/>
  <c r="BC148" i="1"/>
  <c r="BJ148" i="1"/>
  <c r="BB148" i="1"/>
  <c r="BG148" i="1"/>
  <c r="BF148" i="1"/>
  <c r="BA148" i="1"/>
  <c r="BI148" i="1"/>
  <c r="AT150" i="1"/>
  <c r="AS149" i="1"/>
  <c r="G150" i="1" l="1"/>
  <c r="H150" i="1" s="1"/>
  <c r="F151" i="1"/>
  <c r="E151" i="1"/>
  <c r="BM148" i="1"/>
  <c r="AZ150" i="1"/>
  <c r="BL149" i="1"/>
  <c r="BD149" i="1"/>
  <c r="BI149" i="1"/>
  <c r="BA149" i="1"/>
  <c r="BH149" i="1"/>
  <c r="BG149" i="1"/>
  <c r="BF149" i="1"/>
  <c r="BK149" i="1"/>
  <c r="BJ149" i="1"/>
  <c r="BE149" i="1"/>
  <c r="BB149" i="1"/>
  <c r="BC149" i="1"/>
  <c r="AT151" i="1"/>
  <c r="AS150" i="1"/>
  <c r="G151" i="1" l="1"/>
  <c r="H151" i="1" s="1"/>
  <c r="F152" i="1"/>
  <c r="E152" i="1"/>
  <c r="AT152" i="1"/>
  <c r="AS151" i="1"/>
  <c r="BH150" i="1"/>
  <c r="BE150" i="1"/>
  <c r="BL150" i="1"/>
  <c r="BD150" i="1"/>
  <c r="BK150" i="1"/>
  <c r="BC150" i="1"/>
  <c r="BJ150" i="1"/>
  <c r="BB150" i="1"/>
  <c r="BF150" i="1"/>
  <c r="BA150" i="1"/>
  <c r="BI150" i="1"/>
  <c r="BG150" i="1"/>
  <c r="AZ151" i="1"/>
  <c r="BM149" i="1"/>
  <c r="G152" i="1" l="1"/>
  <c r="H152" i="1" s="1"/>
  <c r="F153" i="1"/>
  <c r="E153" i="1"/>
  <c r="AZ152" i="1"/>
  <c r="BL151" i="1"/>
  <c r="BD151" i="1"/>
  <c r="BI151" i="1"/>
  <c r="BA151" i="1"/>
  <c r="BH151" i="1"/>
  <c r="BG151" i="1"/>
  <c r="BF151" i="1"/>
  <c r="BK151" i="1"/>
  <c r="BJ151" i="1"/>
  <c r="BE151" i="1"/>
  <c r="BC151" i="1"/>
  <c r="BB151" i="1"/>
  <c r="BM150" i="1"/>
  <c r="AT153" i="1"/>
  <c r="AS152" i="1"/>
  <c r="G153" i="1" l="1"/>
  <c r="H153" i="1" s="1"/>
  <c r="F154" i="1"/>
  <c r="E154" i="1"/>
  <c r="AT154" i="1"/>
  <c r="AS153" i="1"/>
  <c r="BM151" i="1"/>
  <c r="AZ153" i="1"/>
  <c r="BH152" i="1"/>
  <c r="BE152" i="1"/>
  <c r="BL152" i="1"/>
  <c r="BD152" i="1"/>
  <c r="BK152" i="1"/>
  <c r="BC152" i="1"/>
  <c r="BJ152" i="1"/>
  <c r="BB152" i="1"/>
  <c r="BA152" i="1"/>
  <c r="BG152" i="1"/>
  <c r="BF152" i="1"/>
  <c r="BI152" i="1"/>
  <c r="G154" i="1" l="1"/>
  <c r="H154" i="1" s="1"/>
  <c r="F155" i="1"/>
  <c r="E155" i="1"/>
  <c r="BL153" i="1"/>
  <c r="BD153" i="1"/>
  <c r="BI153" i="1"/>
  <c r="BA153" i="1"/>
  <c r="BH153" i="1"/>
  <c r="BG153" i="1"/>
  <c r="BF153" i="1"/>
  <c r="BK153" i="1"/>
  <c r="BJ153" i="1"/>
  <c r="BE153" i="1"/>
  <c r="BC153" i="1"/>
  <c r="BB153" i="1"/>
  <c r="BM152" i="1"/>
  <c r="AT155" i="1"/>
  <c r="AS154" i="1"/>
  <c r="G155" i="1" l="1"/>
  <c r="H155" i="1" s="1"/>
  <c r="F156" i="1"/>
  <c r="E156" i="1"/>
  <c r="BM153" i="1"/>
  <c r="AT156" i="1"/>
  <c r="AS155" i="1"/>
  <c r="G156" i="1" l="1"/>
  <c r="H156" i="1" s="1"/>
  <c r="F157" i="1"/>
  <c r="E157" i="1"/>
  <c r="AT157" i="1"/>
  <c r="AS156" i="1"/>
  <c r="G157" i="1" l="1"/>
  <c r="H157" i="1" s="1"/>
  <c r="F158" i="1"/>
  <c r="E158" i="1"/>
  <c r="AT158" i="1"/>
  <c r="AS157" i="1"/>
  <c r="G158" i="1" l="1"/>
  <c r="H158" i="1" s="1"/>
  <c r="F159" i="1"/>
  <c r="E159" i="1"/>
  <c r="AT159" i="1"/>
  <c r="AS158" i="1"/>
  <c r="G159" i="1" l="1"/>
  <c r="H159" i="1" s="1"/>
  <c r="F160" i="1"/>
  <c r="E160" i="1"/>
  <c r="AT160" i="1"/>
  <c r="AS159" i="1"/>
  <c r="G160" i="1" l="1"/>
  <c r="H160" i="1" s="1"/>
  <c r="F161" i="1"/>
  <c r="E161" i="1"/>
  <c r="AT161" i="1"/>
  <c r="AS160" i="1"/>
  <c r="G161" i="1" l="1"/>
  <c r="H161" i="1" s="1"/>
  <c r="F162" i="1"/>
  <c r="E162" i="1"/>
  <c r="AT162" i="1"/>
  <c r="AS161" i="1"/>
  <c r="G162" i="1" l="1"/>
  <c r="H162" i="1" s="1"/>
  <c r="F163" i="1"/>
  <c r="E163" i="1"/>
  <c r="AT163" i="1"/>
  <c r="AS162" i="1"/>
  <c r="G163" i="1" l="1"/>
  <c r="H163" i="1" s="1"/>
  <c r="F164" i="1"/>
  <c r="E164" i="1"/>
  <c r="AT164" i="1"/>
  <c r="AS163" i="1"/>
  <c r="G164" i="1" l="1"/>
  <c r="H164" i="1" s="1"/>
  <c r="F165" i="1"/>
  <c r="E165" i="1"/>
  <c r="AT165" i="1"/>
  <c r="AS164" i="1"/>
  <c r="G165" i="1" l="1"/>
  <c r="H165" i="1" s="1"/>
  <c r="F166" i="1"/>
  <c r="E166" i="1"/>
  <c r="AT166" i="1"/>
  <c r="AS165" i="1"/>
  <c r="G166" i="1" l="1"/>
  <c r="H166" i="1" s="1"/>
  <c r="F167" i="1"/>
  <c r="E167" i="1"/>
  <c r="AT167" i="1"/>
  <c r="AS166" i="1"/>
  <c r="G167" i="1" l="1"/>
  <c r="H167" i="1" s="1"/>
  <c r="F168" i="1"/>
  <c r="E168" i="1"/>
  <c r="AT168" i="1"/>
  <c r="AS167" i="1"/>
  <c r="G168" i="1" l="1"/>
  <c r="H168" i="1" s="1"/>
  <c r="F169" i="1"/>
  <c r="E169" i="1"/>
  <c r="AT169" i="1"/>
  <c r="AS168" i="1"/>
  <c r="G169" i="1" l="1"/>
  <c r="H169" i="1" s="1"/>
  <c r="F170" i="1"/>
  <c r="E170" i="1"/>
  <c r="AT170" i="1"/>
  <c r="AS169" i="1"/>
  <c r="G170" i="1" l="1"/>
  <c r="H170" i="1" s="1"/>
  <c r="F171" i="1"/>
  <c r="E171" i="1"/>
  <c r="AT171" i="1"/>
  <c r="AS170" i="1"/>
  <c r="G171" i="1" l="1"/>
  <c r="H171" i="1" s="1"/>
  <c r="F172" i="1"/>
  <c r="E172" i="1"/>
  <c r="AT172" i="1"/>
  <c r="AS171" i="1"/>
  <c r="G172" i="1" l="1"/>
  <c r="H172" i="1" s="1"/>
  <c r="F173" i="1"/>
  <c r="E173" i="1"/>
  <c r="AT173" i="1"/>
  <c r="AS172" i="1"/>
  <c r="G173" i="1" l="1"/>
  <c r="H173" i="1" s="1"/>
  <c r="F174" i="1"/>
  <c r="E174" i="1"/>
  <c r="AT174" i="1"/>
  <c r="AS173" i="1"/>
  <c r="G174" i="1" l="1"/>
  <c r="H174" i="1" s="1"/>
  <c r="F175" i="1"/>
  <c r="E175" i="1"/>
  <c r="AT175" i="1"/>
  <c r="AS174" i="1"/>
  <c r="G175" i="1" l="1"/>
  <c r="H175" i="1" s="1"/>
  <c r="F176" i="1"/>
  <c r="E176" i="1"/>
  <c r="AT176" i="1"/>
  <c r="AS175" i="1"/>
  <c r="G176" i="1" l="1"/>
  <c r="H176" i="1" s="1"/>
  <c r="F177" i="1"/>
  <c r="E177" i="1"/>
  <c r="AT177" i="1"/>
  <c r="AS176" i="1"/>
  <c r="G177" i="1" l="1"/>
  <c r="H177" i="1" s="1"/>
  <c r="F178" i="1"/>
  <c r="E178" i="1"/>
  <c r="AT178" i="1"/>
  <c r="AS177" i="1"/>
  <c r="G178" i="1" l="1"/>
  <c r="H178" i="1" s="1"/>
  <c r="F179" i="1"/>
  <c r="E179" i="1"/>
  <c r="AT179" i="1"/>
  <c r="AS178" i="1"/>
  <c r="G179" i="1" l="1"/>
  <c r="H179" i="1" s="1"/>
  <c r="F180" i="1"/>
  <c r="E180" i="1"/>
  <c r="AT180" i="1"/>
  <c r="AS179" i="1"/>
  <c r="G180" i="1" l="1"/>
  <c r="H180" i="1" s="1"/>
  <c r="F181" i="1"/>
  <c r="E181" i="1"/>
  <c r="AT181" i="1"/>
  <c r="AS180" i="1"/>
  <c r="G181" i="1" l="1"/>
  <c r="H181" i="1" s="1"/>
  <c r="F182" i="1"/>
  <c r="E182" i="1"/>
  <c r="AT182" i="1"/>
  <c r="AS181" i="1"/>
  <c r="G182" i="1" l="1"/>
  <c r="H182" i="1" s="1"/>
  <c r="F183" i="1"/>
  <c r="E183" i="1"/>
  <c r="AT183" i="1"/>
  <c r="AS182" i="1"/>
  <c r="G183" i="1" l="1"/>
  <c r="H183" i="1" s="1"/>
  <c r="F184" i="1"/>
  <c r="E184" i="1"/>
  <c r="AT184" i="1"/>
  <c r="AS183" i="1"/>
  <c r="G184" i="1" l="1"/>
  <c r="H184" i="1" s="1"/>
  <c r="F185" i="1"/>
  <c r="E185" i="1"/>
  <c r="AT185" i="1"/>
  <c r="AS184" i="1"/>
  <c r="G185" i="1" l="1"/>
  <c r="H185" i="1" s="1"/>
  <c r="F186" i="1"/>
  <c r="E186" i="1"/>
  <c r="AT186" i="1"/>
  <c r="AS185" i="1"/>
  <c r="G186" i="1" l="1"/>
  <c r="H186" i="1" s="1"/>
  <c r="F187" i="1"/>
  <c r="E187" i="1"/>
  <c r="AT187" i="1"/>
  <c r="AS186" i="1"/>
  <c r="G187" i="1" l="1"/>
  <c r="H187" i="1" s="1"/>
  <c r="F188" i="1"/>
  <c r="E188" i="1"/>
  <c r="AT188" i="1"/>
  <c r="AS187" i="1"/>
  <c r="G188" i="1" l="1"/>
  <c r="H188" i="1" s="1"/>
  <c r="F189" i="1"/>
  <c r="E189" i="1"/>
  <c r="AT189" i="1"/>
  <c r="AS188" i="1"/>
  <c r="G189" i="1" l="1"/>
  <c r="H189" i="1" s="1"/>
  <c r="F190" i="1"/>
  <c r="E190" i="1"/>
  <c r="AT190" i="1"/>
  <c r="AS189" i="1"/>
  <c r="G190" i="1" l="1"/>
  <c r="H190" i="1" s="1"/>
  <c r="F191" i="1"/>
  <c r="E191" i="1"/>
  <c r="AT191" i="1"/>
  <c r="AS190" i="1"/>
  <c r="G191" i="1" l="1"/>
  <c r="H191" i="1" s="1"/>
  <c r="F192" i="1"/>
  <c r="E192" i="1"/>
  <c r="AT192" i="1"/>
  <c r="AS191" i="1"/>
  <c r="G192" i="1" l="1"/>
  <c r="H192" i="1" s="1"/>
  <c r="F193" i="1"/>
  <c r="E193" i="1"/>
  <c r="AT193" i="1"/>
  <c r="AS192" i="1"/>
  <c r="G193" i="1" l="1"/>
  <c r="H193" i="1" s="1"/>
  <c r="F194" i="1"/>
  <c r="E194" i="1"/>
  <c r="AT194" i="1"/>
  <c r="AS193" i="1"/>
  <c r="G194" i="1" l="1"/>
  <c r="H194" i="1" s="1"/>
  <c r="F195" i="1"/>
  <c r="E195" i="1"/>
  <c r="AT195" i="1"/>
  <c r="AS194" i="1"/>
  <c r="G195" i="1" l="1"/>
  <c r="H195" i="1" s="1"/>
  <c r="F196" i="1"/>
  <c r="E196" i="1"/>
  <c r="AT196" i="1"/>
  <c r="AS195" i="1"/>
  <c r="G196" i="1" l="1"/>
  <c r="H196" i="1" s="1"/>
  <c r="F197" i="1"/>
  <c r="E197" i="1"/>
  <c r="AT197" i="1"/>
  <c r="AS196" i="1"/>
  <c r="G197" i="1" l="1"/>
  <c r="H197" i="1" s="1"/>
  <c r="F198" i="1"/>
  <c r="E198" i="1"/>
  <c r="AT198" i="1"/>
  <c r="AS197" i="1"/>
  <c r="G198" i="1" l="1"/>
  <c r="H198" i="1" s="1"/>
  <c r="F199" i="1"/>
  <c r="E199" i="1"/>
  <c r="AT199" i="1"/>
  <c r="AS198" i="1"/>
  <c r="G199" i="1" l="1"/>
  <c r="H199" i="1" s="1"/>
  <c r="F200" i="1"/>
  <c r="E200" i="1"/>
  <c r="AT200" i="1"/>
  <c r="AS199" i="1"/>
  <c r="G200" i="1" l="1"/>
  <c r="H200" i="1" s="1"/>
  <c r="F201" i="1"/>
  <c r="E201" i="1"/>
  <c r="AT201" i="1"/>
  <c r="AS200" i="1"/>
  <c r="G201" i="1" l="1"/>
  <c r="H201" i="1" s="1"/>
  <c r="F202" i="1"/>
  <c r="E202" i="1"/>
  <c r="AT202" i="1"/>
  <c r="AS201" i="1"/>
  <c r="G202" i="1" l="1"/>
  <c r="H202" i="1" s="1"/>
  <c r="F203" i="1"/>
  <c r="E203" i="1"/>
  <c r="AT203" i="1"/>
  <c r="AS202" i="1"/>
  <c r="G203" i="1" l="1"/>
  <c r="H203" i="1" s="1"/>
  <c r="F204" i="1"/>
  <c r="E204" i="1"/>
  <c r="AT204" i="1"/>
  <c r="AS203" i="1"/>
  <c r="G204" i="1" l="1"/>
  <c r="H204" i="1" s="1"/>
  <c r="F205" i="1"/>
  <c r="E205" i="1"/>
  <c r="AT205" i="1"/>
  <c r="AS204" i="1"/>
  <c r="G205" i="1" l="1"/>
  <c r="H205" i="1" s="1"/>
  <c r="F206" i="1"/>
  <c r="E206" i="1"/>
  <c r="AT206" i="1"/>
  <c r="AS205" i="1"/>
  <c r="G206" i="1" l="1"/>
  <c r="H206" i="1" s="1"/>
  <c r="F207" i="1"/>
  <c r="E207" i="1"/>
  <c r="AT207" i="1"/>
  <c r="AS206" i="1"/>
  <c r="G207" i="1" l="1"/>
  <c r="H207" i="1" s="1"/>
  <c r="F208" i="1"/>
  <c r="E208" i="1"/>
  <c r="AT208" i="1"/>
  <c r="AS207" i="1"/>
  <c r="G208" i="1" l="1"/>
  <c r="H208" i="1" s="1"/>
  <c r="F209" i="1"/>
  <c r="E209" i="1"/>
  <c r="AT209" i="1"/>
  <c r="AS208" i="1"/>
  <c r="G209" i="1" l="1"/>
  <c r="H209" i="1" s="1"/>
  <c r="F210" i="1"/>
  <c r="E210" i="1"/>
  <c r="AT210" i="1"/>
  <c r="AS209" i="1"/>
  <c r="G210" i="1" l="1"/>
  <c r="H210" i="1" s="1"/>
  <c r="F211" i="1"/>
  <c r="E211" i="1"/>
  <c r="AT211" i="1"/>
  <c r="AS210" i="1"/>
  <c r="G211" i="1" l="1"/>
  <c r="H211" i="1" s="1"/>
  <c r="F212" i="1"/>
  <c r="E212" i="1"/>
  <c r="AT212" i="1"/>
  <c r="AS211" i="1"/>
  <c r="G212" i="1" l="1"/>
  <c r="H212" i="1" s="1"/>
  <c r="F213" i="1"/>
  <c r="E213" i="1"/>
  <c r="AT213" i="1"/>
  <c r="AS212" i="1"/>
  <c r="G213" i="1" l="1"/>
  <c r="H213" i="1" s="1"/>
  <c r="F214" i="1"/>
  <c r="E214" i="1"/>
  <c r="AT214" i="1"/>
  <c r="AS213" i="1"/>
  <c r="G214" i="1" l="1"/>
  <c r="H214" i="1" s="1"/>
  <c r="F215" i="1"/>
  <c r="E215" i="1"/>
  <c r="AT215" i="1"/>
  <c r="AS214" i="1"/>
  <c r="G215" i="1" l="1"/>
  <c r="H215" i="1" s="1"/>
  <c r="F216" i="1"/>
  <c r="E216" i="1"/>
  <c r="AT216" i="1"/>
  <c r="AS215" i="1"/>
  <c r="G216" i="1" l="1"/>
  <c r="H216" i="1" s="1"/>
  <c r="F217" i="1"/>
  <c r="E217" i="1"/>
  <c r="AT217" i="1"/>
  <c r="AS216" i="1"/>
  <c r="G217" i="1" l="1"/>
  <c r="H217" i="1" s="1"/>
  <c r="F218" i="1"/>
  <c r="E218" i="1"/>
  <c r="AT218" i="1"/>
  <c r="AS217" i="1"/>
  <c r="G218" i="1" l="1"/>
  <c r="H218" i="1" s="1"/>
  <c r="F219" i="1"/>
  <c r="E219" i="1"/>
  <c r="AT219" i="1"/>
  <c r="AS218" i="1"/>
  <c r="G219" i="1" l="1"/>
  <c r="H219" i="1" s="1"/>
  <c r="F220" i="1"/>
  <c r="E220" i="1"/>
  <c r="AT220" i="1"/>
  <c r="AS219" i="1"/>
  <c r="G220" i="1" l="1"/>
  <c r="H220" i="1" s="1"/>
  <c r="F221" i="1"/>
  <c r="E221" i="1"/>
  <c r="AT221" i="1"/>
  <c r="AS220" i="1"/>
  <c r="G221" i="1" l="1"/>
  <c r="H221" i="1" s="1"/>
  <c r="F222" i="1"/>
  <c r="E222" i="1"/>
  <c r="AT222" i="1"/>
  <c r="AS221" i="1"/>
  <c r="G222" i="1" l="1"/>
  <c r="H222" i="1" s="1"/>
  <c r="F223" i="1"/>
  <c r="E223" i="1"/>
  <c r="AT223" i="1"/>
  <c r="AS222" i="1"/>
  <c r="G223" i="1" l="1"/>
  <c r="H223" i="1" s="1"/>
  <c r="F224" i="1"/>
  <c r="E224" i="1"/>
  <c r="AT224" i="1"/>
  <c r="AS223" i="1"/>
  <c r="G224" i="1" l="1"/>
  <c r="H224" i="1" s="1"/>
  <c r="F225" i="1"/>
  <c r="E225" i="1"/>
  <c r="AT225" i="1"/>
  <c r="AS224" i="1"/>
  <c r="G225" i="1" l="1"/>
  <c r="H225" i="1" s="1"/>
  <c r="F226" i="1"/>
  <c r="E226" i="1"/>
  <c r="AT226" i="1"/>
  <c r="AS225" i="1"/>
  <c r="G226" i="1" l="1"/>
  <c r="H226" i="1" s="1"/>
  <c r="F227" i="1"/>
  <c r="E227" i="1"/>
  <c r="AT227" i="1"/>
  <c r="AS226" i="1"/>
  <c r="G227" i="1" l="1"/>
  <c r="H227" i="1" s="1"/>
  <c r="F228" i="1"/>
  <c r="E228" i="1"/>
  <c r="AT228" i="1"/>
  <c r="AS227" i="1"/>
  <c r="G228" i="1" l="1"/>
  <c r="H228" i="1" s="1"/>
  <c r="F229" i="1"/>
  <c r="E229" i="1"/>
  <c r="AT229" i="1"/>
  <c r="AS228" i="1"/>
  <c r="G229" i="1" l="1"/>
  <c r="H229" i="1" s="1"/>
  <c r="F230" i="1"/>
  <c r="E230" i="1"/>
  <c r="AT230" i="1"/>
  <c r="AS229" i="1"/>
  <c r="G230" i="1" l="1"/>
  <c r="H230" i="1" s="1"/>
  <c r="F231" i="1"/>
  <c r="E231" i="1"/>
  <c r="AT231" i="1"/>
  <c r="AS230" i="1"/>
  <c r="G231" i="1" l="1"/>
  <c r="H231" i="1" s="1"/>
  <c r="F232" i="1"/>
  <c r="E232" i="1"/>
  <c r="AT232" i="1"/>
  <c r="AS231" i="1"/>
  <c r="G232" i="1" l="1"/>
  <c r="H232" i="1" s="1"/>
  <c r="F233" i="1"/>
  <c r="E233" i="1"/>
  <c r="AT233" i="1"/>
  <c r="AS232" i="1"/>
  <c r="G233" i="1" l="1"/>
  <c r="H233" i="1" s="1"/>
  <c r="F234" i="1"/>
  <c r="E234" i="1"/>
  <c r="AT234" i="1"/>
  <c r="AS233" i="1"/>
  <c r="G234" i="1" l="1"/>
  <c r="H234" i="1" s="1"/>
  <c r="F235" i="1"/>
  <c r="E235" i="1"/>
  <c r="AT235" i="1"/>
  <c r="AS234" i="1"/>
  <c r="G235" i="1" l="1"/>
  <c r="H235" i="1" s="1"/>
  <c r="F236" i="1"/>
  <c r="E236" i="1"/>
  <c r="AT236" i="1"/>
  <c r="AS235" i="1"/>
  <c r="G236" i="1" l="1"/>
  <c r="H236" i="1" s="1"/>
  <c r="F237" i="1"/>
  <c r="E237" i="1"/>
  <c r="AT237" i="1"/>
  <c r="AS236" i="1"/>
  <c r="G237" i="1" l="1"/>
  <c r="H237" i="1" s="1"/>
  <c r="F238" i="1"/>
  <c r="E238" i="1"/>
  <c r="AT238" i="1"/>
  <c r="AS237" i="1"/>
  <c r="G238" i="1" l="1"/>
  <c r="H238" i="1" s="1"/>
  <c r="F239" i="1"/>
  <c r="E239" i="1"/>
  <c r="AT239" i="1"/>
  <c r="AS238" i="1"/>
  <c r="G239" i="1" l="1"/>
  <c r="H239" i="1" s="1"/>
  <c r="F240" i="1"/>
  <c r="E240" i="1"/>
  <c r="AT240" i="1"/>
  <c r="AS239" i="1"/>
  <c r="G240" i="1" l="1"/>
  <c r="H240" i="1" s="1"/>
  <c r="F241" i="1"/>
  <c r="E241" i="1"/>
  <c r="AT241" i="1"/>
  <c r="AS240" i="1"/>
  <c r="G241" i="1" l="1"/>
  <c r="H241" i="1" s="1"/>
  <c r="F242" i="1"/>
  <c r="E242" i="1"/>
  <c r="AT242" i="1"/>
  <c r="AS241" i="1"/>
  <c r="G242" i="1" l="1"/>
  <c r="H242" i="1" s="1"/>
  <c r="F243" i="1"/>
  <c r="E243" i="1"/>
  <c r="AT243" i="1"/>
  <c r="AS242" i="1"/>
  <c r="G243" i="1" l="1"/>
  <c r="H243" i="1" s="1"/>
  <c r="F244" i="1"/>
  <c r="E244" i="1"/>
  <c r="AT244" i="1"/>
  <c r="AS243" i="1"/>
  <c r="G244" i="1" l="1"/>
  <c r="H244" i="1" s="1"/>
  <c r="F245" i="1"/>
  <c r="E245" i="1"/>
  <c r="AT245" i="1"/>
  <c r="AS244" i="1"/>
  <c r="G245" i="1" l="1"/>
  <c r="H245" i="1" s="1"/>
  <c r="F246" i="1"/>
  <c r="E246" i="1"/>
  <c r="AT246" i="1"/>
  <c r="AS245" i="1"/>
  <c r="G246" i="1" l="1"/>
  <c r="H246" i="1" s="1"/>
  <c r="F247" i="1"/>
  <c r="E247" i="1"/>
  <c r="AT247" i="1"/>
  <c r="AS246" i="1"/>
  <c r="G247" i="1" l="1"/>
  <c r="H247" i="1" s="1"/>
  <c r="F248" i="1"/>
  <c r="E248" i="1"/>
  <c r="AT248" i="1"/>
  <c r="AS247" i="1"/>
  <c r="G248" i="1" l="1"/>
  <c r="H248" i="1" s="1"/>
  <c r="F249" i="1"/>
  <c r="E249" i="1"/>
  <c r="AT249" i="1"/>
  <c r="AS248" i="1"/>
  <c r="G249" i="1" l="1"/>
  <c r="H249" i="1" s="1"/>
  <c r="F250" i="1"/>
  <c r="E250" i="1"/>
  <c r="AT250" i="1"/>
  <c r="AS249" i="1"/>
  <c r="G250" i="1" l="1"/>
  <c r="H250" i="1" s="1"/>
  <c r="F251" i="1"/>
  <c r="E251" i="1"/>
  <c r="AT251" i="1"/>
  <c r="AS250" i="1"/>
  <c r="G251" i="1" l="1"/>
  <c r="H251" i="1" s="1"/>
  <c r="F252" i="1"/>
  <c r="E252" i="1"/>
  <c r="AT252" i="1"/>
  <c r="AS251" i="1"/>
  <c r="G252" i="1" l="1"/>
  <c r="H252" i="1" s="1"/>
  <c r="F253" i="1"/>
  <c r="E253" i="1"/>
  <c r="AT253" i="1"/>
  <c r="AS252" i="1"/>
  <c r="G253" i="1" l="1"/>
  <c r="H253" i="1" s="1"/>
  <c r="F254" i="1"/>
  <c r="E254" i="1"/>
  <c r="AT254" i="1"/>
  <c r="AS253" i="1"/>
  <c r="G254" i="1" l="1"/>
  <c r="H254" i="1" s="1"/>
  <c r="F255" i="1"/>
  <c r="E255" i="1"/>
  <c r="AT255" i="1"/>
  <c r="AS254" i="1"/>
  <c r="G255" i="1" l="1"/>
  <c r="H255" i="1" s="1"/>
  <c r="F256" i="1"/>
  <c r="E256" i="1"/>
  <c r="AT256" i="1"/>
  <c r="AS255" i="1"/>
  <c r="G256" i="1" l="1"/>
  <c r="H256" i="1" s="1"/>
  <c r="F257" i="1"/>
  <c r="E257" i="1"/>
  <c r="AT257" i="1"/>
  <c r="AS256" i="1"/>
  <c r="G257" i="1" l="1"/>
  <c r="H257" i="1" s="1"/>
  <c r="F258" i="1"/>
  <c r="E258" i="1"/>
  <c r="AT258" i="1"/>
  <c r="AS257" i="1"/>
  <c r="G258" i="1" l="1"/>
  <c r="H258" i="1" s="1"/>
  <c r="F259" i="1"/>
  <c r="E259" i="1"/>
  <c r="AT259" i="1"/>
  <c r="AS258" i="1"/>
  <c r="G259" i="1" l="1"/>
  <c r="H259" i="1" s="1"/>
  <c r="F260" i="1"/>
  <c r="E260" i="1"/>
  <c r="AT260" i="1"/>
  <c r="AS259" i="1"/>
  <c r="G260" i="1" l="1"/>
  <c r="H260" i="1" s="1"/>
  <c r="F261" i="1"/>
  <c r="E261" i="1"/>
  <c r="AT261" i="1"/>
  <c r="AS260" i="1"/>
  <c r="G261" i="1" l="1"/>
  <c r="H261" i="1" s="1"/>
  <c r="F262" i="1"/>
  <c r="E262" i="1"/>
  <c r="AT262" i="1"/>
  <c r="AS261" i="1"/>
  <c r="G262" i="1" l="1"/>
  <c r="H262" i="1" s="1"/>
  <c r="F263" i="1"/>
  <c r="E263" i="1"/>
  <c r="AT263" i="1"/>
  <c r="AS262" i="1"/>
  <c r="G263" i="1" l="1"/>
  <c r="H263" i="1" s="1"/>
  <c r="F264" i="1"/>
  <c r="E264" i="1"/>
  <c r="AT264" i="1"/>
  <c r="AS263" i="1"/>
  <c r="G264" i="1" l="1"/>
  <c r="H264" i="1" s="1"/>
  <c r="F265" i="1"/>
  <c r="E265" i="1"/>
  <c r="AT265" i="1"/>
  <c r="AS264" i="1"/>
  <c r="G265" i="1" l="1"/>
  <c r="H265" i="1" s="1"/>
  <c r="F266" i="1"/>
  <c r="E266" i="1"/>
  <c r="AT266" i="1"/>
  <c r="AS265" i="1"/>
  <c r="G266" i="1" l="1"/>
  <c r="H266" i="1" s="1"/>
  <c r="F267" i="1"/>
  <c r="E267" i="1"/>
  <c r="AT267" i="1"/>
  <c r="AS266" i="1"/>
  <c r="G267" i="1" l="1"/>
  <c r="H267" i="1" s="1"/>
  <c r="F268" i="1"/>
  <c r="E268" i="1"/>
  <c r="AT268" i="1"/>
  <c r="AS267" i="1"/>
  <c r="G268" i="1" l="1"/>
  <c r="H268" i="1" s="1"/>
  <c r="F269" i="1"/>
  <c r="E269" i="1"/>
  <c r="AT269" i="1"/>
  <c r="AS268" i="1"/>
  <c r="G269" i="1" l="1"/>
  <c r="H269" i="1" s="1"/>
  <c r="F270" i="1"/>
  <c r="E270" i="1"/>
  <c r="AT270" i="1"/>
  <c r="AS269" i="1"/>
  <c r="G270" i="1" l="1"/>
  <c r="H270" i="1" s="1"/>
  <c r="F271" i="1"/>
  <c r="E271" i="1"/>
  <c r="AT271" i="1"/>
  <c r="AS270" i="1"/>
  <c r="G271" i="1" l="1"/>
  <c r="H271" i="1" s="1"/>
  <c r="F272" i="1"/>
  <c r="E272" i="1"/>
  <c r="AT272" i="1"/>
  <c r="AS271" i="1"/>
  <c r="G272" i="1" l="1"/>
  <c r="H272" i="1" s="1"/>
  <c r="F273" i="1"/>
  <c r="E273" i="1"/>
  <c r="AT273" i="1"/>
  <c r="AS272" i="1"/>
  <c r="G273" i="1" l="1"/>
  <c r="H273" i="1" s="1"/>
  <c r="F274" i="1"/>
  <c r="E274" i="1"/>
  <c r="AT274" i="1"/>
  <c r="AS273" i="1"/>
  <c r="G274" i="1" l="1"/>
  <c r="H274" i="1" s="1"/>
  <c r="F275" i="1"/>
  <c r="E275" i="1"/>
  <c r="AT275" i="1"/>
  <c r="AS274" i="1"/>
  <c r="G275" i="1" l="1"/>
  <c r="H275" i="1" s="1"/>
  <c r="F276" i="1"/>
  <c r="E276" i="1"/>
  <c r="AT276" i="1"/>
  <c r="AS275" i="1"/>
  <c r="G276" i="1" l="1"/>
  <c r="H276" i="1" s="1"/>
  <c r="F277" i="1"/>
  <c r="E277" i="1"/>
  <c r="AT277" i="1"/>
  <c r="AS276" i="1"/>
  <c r="G277" i="1" l="1"/>
  <c r="H277" i="1" s="1"/>
  <c r="F278" i="1"/>
  <c r="E278" i="1"/>
  <c r="AT278" i="1"/>
  <c r="AS277" i="1"/>
  <c r="G278" i="1" l="1"/>
  <c r="H278" i="1" s="1"/>
  <c r="F279" i="1"/>
  <c r="E279" i="1"/>
  <c r="AT279" i="1"/>
  <c r="AS278" i="1"/>
  <c r="G279" i="1" l="1"/>
  <c r="H279" i="1" s="1"/>
  <c r="F280" i="1"/>
  <c r="E280" i="1"/>
  <c r="AT280" i="1"/>
  <c r="AS279" i="1"/>
  <c r="G280" i="1" l="1"/>
  <c r="H280" i="1" s="1"/>
  <c r="F281" i="1"/>
  <c r="E281" i="1"/>
  <c r="AT281" i="1"/>
  <c r="AS280" i="1"/>
  <c r="G281" i="1" l="1"/>
  <c r="H281" i="1" s="1"/>
  <c r="F282" i="1"/>
  <c r="E282" i="1"/>
  <c r="AT282" i="1"/>
  <c r="AS281" i="1"/>
  <c r="G282" i="1" l="1"/>
  <c r="H282" i="1" s="1"/>
  <c r="F283" i="1"/>
  <c r="E283" i="1"/>
  <c r="AT283" i="1"/>
  <c r="AS282" i="1"/>
  <c r="G283" i="1" l="1"/>
  <c r="H283" i="1" s="1"/>
  <c r="F284" i="1"/>
  <c r="E284" i="1"/>
  <c r="AT284" i="1"/>
  <c r="AS283" i="1"/>
  <c r="G284" i="1" l="1"/>
  <c r="H284" i="1" s="1"/>
  <c r="F285" i="1"/>
  <c r="E285" i="1"/>
  <c r="AT285" i="1"/>
  <c r="AS284" i="1"/>
  <c r="G285" i="1" l="1"/>
  <c r="H285" i="1" s="1"/>
  <c r="F286" i="1"/>
  <c r="E286" i="1"/>
  <c r="AT286" i="1"/>
  <c r="AS285" i="1"/>
  <c r="G286" i="1" l="1"/>
  <c r="H286" i="1" s="1"/>
  <c r="F287" i="1"/>
  <c r="E287" i="1"/>
  <c r="AT287" i="1"/>
  <c r="AS286" i="1"/>
  <c r="G287" i="1" l="1"/>
  <c r="H287" i="1" s="1"/>
  <c r="F288" i="1"/>
  <c r="E288" i="1"/>
  <c r="AT288" i="1"/>
  <c r="AS287" i="1"/>
  <c r="G288" i="1" l="1"/>
  <c r="H288" i="1" s="1"/>
  <c r="F289" i="1"/>
  <c r="E289" i="1"/>
  <c r="AT289" i="1"/>
  <c r="AS288" i="1"/>
  <c r="G289" i="1" l="1"/>
  <c r="H289" i="1" s="1"/>
  <c r="F290" i="1"/>
  <c r="E290" i="1"/>
  <c r="AT290" i="1"/>
  <c r="AS289" i="1"/>
  <c r="G290" i="1" l="1"/>
  <c r="H290" i="1" s="1"/>
  <c r="F291" i="1"/>
  <c r="E291" i="1"/>
  <c r="AT291" i="1"/>
  <c r="AS290" i="1"/>
  <c r="G291" i="1" l="1"/>
  <c r="H291" i="1" s="1"/>
  <c r="F292" i="1"/>
  <c r="E292" i="1"/>
  <c r="AT292" i="1"/>
  <c r="AS291" i="1"/>
  <c r="G292" i="1" l="1"/>
  <c r="H292" i="1" s="1"/>
  <c r="F293" i="1"/>
  <c r="E293" i="1"/>
  <c r="AT293" i="1"/>
  <c r="AS292" i="1"/>
  <c r="G293" i="1" l="1"/>
  <c r="H293" i="1" s="1"/>
  <c r="F294" i="1"/>
  <c r="E294" i="1"/>
  <c r="AT294" i="1"/>
  <c r="AS293" i="1"/>
  <c r="G294" i="1" l="1"/>
  <c r="H294" i="1" s="1"/>
  <c r="F295" i="1"/>
  <c r="E295" i="1"/>
  <c r="AT295" i="1"/>
  <c r="AS294" i="1"/>
  <c r="G295" i="1" l="1"/>
  <c r="H295" i="1" s="1"/>
  <c r="F296" i="1"/>
  <c r="E296" i="1"/>
  <c r="AT296" i="1"/>
  <c r="AS295" i="1"/>
  <c r="G296" i="1" l="1"/>
  <c r="H296" i="1" s="1"/>
  <c r="F297" i="1"/>
  <c r="E297" i="1"/>
  <c r="AT297" i="1"/>
  <c r="AS296" i="1"/>
  <c r="G297" i="1" l="1"/>
  <c r="H297" i="1" s="1"/>
  <c r="F298" i="1"/>
  <c r="E298" i="1"/>
  <c r="AT298" i="1"/>
  <c r="AS297" i="1"/>
  <c r="G298" i="1" l="1"/>
  <c r="H298" i="1" s="1"/>
  <c r="F299" i="1"/>
  <c r="E299" i="1"/>
  <c r="AT299" i="1"/>
  <c r="AS298" i="1"/>
  <c r="G299" i="1" l="1"/>
  <c r="H299" i="1" s="1"/>
  <c r="F300" i="1"/>
  <c r="E300" i="1"/>
  <c r="AT300" i="1"/>
  <c r="AS299" i="1"/>
  <c r="G300" i="1" l="1"/>
  <c r="H300" i="1" s="1"/>
  <c r="F301" i="1"/>
  <c r="E301" i="1"/>
  <c r="AT301" i="1"/>
  <c r="AS300" i="1"/>
  <c r="G301" i="1" l="1"/>
  <c r="H301" i="1" s="1"/>
  <c r="F302" i="1"/>
  <c r="E302" i="1"/>
  <c r="AT302" i="1"/>
  <c r="AS301" i="1"/>
  <c r="G302" i="1" l="1"/>
  <c r="H302" i="1" s="1"/>
  <c r="F303" i="1"/>
  <c r="E303" i="1"/>
  <c r="AT303" i="1"/>
  <c r="AS302" i="1"/>
  <c r="G303" i="1" l="1"/>
  <c r="H303" i="1" s="1"/>
  <c r="F304" i="1"/>
  <c r="E304" i="1"/>
  <c r="AT304" i="1"/>
  <c r="AS303" i="1"/>
  <c r="G304" i="1" l="1"/>
  <c r="H304" i="1" s="1"/>
  <c r="F305" i="1"/>
  <c r="E305" i="1"/>
  <c r="AT305" i="1"/>
  <c r="AS304" i="1"/>
  <c r="G305" i="1" l="1"/>
  <c r="H305" i="1" s="1"/>
  <c r="F306" i="1"/>
  <c r="E306" i="1"/>
  <c r="AT306" i="1"/>
  <c r="AS305" i="1"/>
  <c r="G306" i="1" l="1"/>
  <c r="H306" i="1" s="1"/>
  <c r="F307" i="1"/>
  <c r="E307" i="1"/>
  <c r="AT307" i="1"/>
  <c r="AS306" i="1"/>
  <c r="G307" i="1" l="1"/>
  <c r="H307" i="1" s="1"/>
  <c r="F308" i="1"/>
  <c r="E308" i="1"/>
  <c r="AT308" i="1"/>
  <c r="AS307" i="1"/>
  <c r="G308" i="1" l="1"/>
  <c r="H308" i="1" s="1"/>
  <c r="F309" i="1"/>
  <c r="E309" i="1"/>
  <c r="AT309" i="1"/>
  <c r="AS308" i="1"/>
  <c r="G309" i="1" l="1"/>
  <c r="H309" i="1" s="1"/>
  <c r="F310" i="1"/>
  <c r="E310" i="1"/>
  <c r="AT310" i="1"/>
  <c r="AS309" i="1"/>
  <c r="G310" i="1" l="1"/>
  <c r="H310" i="1" s="1"/>
  <c r="F311" i="1"/>
  <c r="E311" i="1"/>
  <c r="AT311" i="1"/>
  <c r="AS310" i="1"/>
  <c r="G311" i="1" l="1"/>
  <c r="H311" i="1" s="1"/>
  <c r="F312" i="1"/>
  <c r="E312" i="1"/>
  <c r="AT312" i="1"/>
  <c r="AS311" i="1"/>
  <c r="G312" i="1" l="1"/>
  <c r="H312" i="1" s="1"/>
  <c r="F313" i="1"/>
  <c r="E313" i="1"/>
  <c r="AT313" i="1"/>
  <c r="AS312" i="1"/>
  <c r="G313" i="1" l="1"/>
  <c r="H313" i="1" s="1"/>
  <c r="F314" i="1"/>
  <c r="E314" i="1"/>
  <c r="AT314" i="1"/>
  <c r="AS313" i="1"/>
  <c r="G314" i="1" l="1"/>
  <c r="H314" i="1" s="1"/>
  <c r="F315" i="1"/>
  <c r="G315" i="1" s="1"/>
  <c r="E315" i="1"/>
  <c r="AT315" i="1"/>
  <c r="AS314" i="1"/>
  <c r="H315" i="1" l="1"/>
  <c r="F316" i="1"/>
  <c r="E316" i="1"/>
  <c r="AT316" i="1"/>
  <c r="AS315" i="1"/>
  <c r="G316" i="1" l="1"/>
  <c r="H316" i="1" s="1"/>
  <c r="F317" i="1"/>
  <c r="E317" i="1"/>
  <c r="AT317" i="1"/>
  <c r="AS316" i="1"/>
  <c r="G317" i="1" l="1"/>
  <c r="H317" i="1" s="1"/>
  <c r="F318" i="1"/>
  <c r="E318" i="1"/>
  <c r="AT318" i="1"/>
  <c r="AS317" i="1"/>
  <c r="G318" i="1" l="1"/>
  <c r="H318" i="1" s="1"/>
  <c r="F319" i="1"/>
  <c r="E319" i="1"/>
  <c r="AT319" i="1"/>
  <c r="AS318" i="1"/>
  <c r="G319" i="1" l="1"/>
  <c r="H319" i="1" s="1"/>
  <c r="F320" i="1"/>
  <c r="E320" i="1"/>
  <c r="AT320" i="1"/>
  <c r="AS319" i="1"/>
  <c r="G320" i="1" l="1"/>
  <c r="H320" i="1" s="1"/>
  <c r="F321" i="1"/>
  <c r="E321" i="1"/>
  <c r="AT321" i="1"/>
  <c r="AS320" i="1"/>
  <c r="G321" i="1" l="1"/>
  <c r="H321" i="1" s="1"/>
  <c r="F322" i="1"/>
  <c r="E322" i="1"/>
  <c r="AT322" i="1"/>
  <c r="AS321" i="1"/>
  <c r="G322" i="1" l="1"/>
  <c r="H322" i="1" s="1"/>
  <c r="F323" i="1"/>
  <c r="E323" i="1"/>
  <c r="AT323" i="1"/>
  <c r="AS322" i="1"/>
  <c r="G323" i="1" l="1"/>
  <c r="H323" i="1" s="1"/>
  <c r="F324" i="1"/>
  <c r="E324" i="1"/>
  <c r="AT324" i="1"/>
  <c r="AS323" i="1"/>
  <c r="G324" i="1" l="1"/>
  <c r="H324" i="1" s="1"/>
  <c r="F325" i="1"/>
  <c r="E325" i="1"/>
  <c r="AT325" i="1"/>
  <c r="AS324" i="1"/>
  <c r="G325" i="1" l="1"/>
  <c r="H325" i="1" s="1"/>
  <c r="F326" i="1"/>
  <c r="E326" i="1"/>
  <c r="AT326" i="1"/>
  <c r="AS325" i="1"/>
  <c r="G326" i="1" l="1"/>
  <c r="H326" i="1" s="1"/>
  <c r="F327" i="1"/>
  <c r="E327" i="1"/>
  <c r="AT327" i="1"/>
  <c r="AS326" i="1"/>
  <c r="G327" i="1" l="1"/>
  <c r="H327" i="1" s="1"/>
  <c r="F328" i="1"/>
  <c r="E328" i="1"/>
  <c r="AT328" i="1"/>
  <c r="AS327" i="1"/>
  <c r="G328" i="1" l="1"/>
  <c r="H328" i="1" s="1"/>
  <c r="F329" i="1"/>
  <c r="E329" i="1"/>
  <c r="AT329" i="1"/>
  <c r="AS328" i="1"/>
  <c r="G329" i="1" l="1"/>
  <c r="H329" i="1" s="1"/>
  <c r="F330" i="1"/>
  <c r="E330" i="1"/>
  <c r="AT330" i="1"/>
  <c r="AS329" i="1"/>
  <c r="G330" i="1" l="1"/>
  <c r="H330" i="1" s="1"/>
  <c r="F331" i="1"/>
  <c r="E331" i="1"/>
  <c r="AT331" i="1"/>
  <c r="AS330" i="1"/>
  <c r="G331" i="1" l="1"/>
  <c r="H331" i="1" s="1"/>
  <c r="F332" i="1"/>
  <c r="E332" i="1"/>
  <c r="AT332" i="1"/>
  <c r="AS331" i="1"/>
  <c r="G332" i="1" l="1"/>
  <c r="H332" i="1" s="1"/>
  <c r="F333" i="1"/>
  <c r="E333" i="1"/>
  <c r="AT333" i="1"/>
  <c r="AS332" i="1"/>
  <c r="G333" i="1" l="1"/>
  <c r="H333" i="1" s="1"/>
  <c r="F334" i="1"/>
  <c r="E334" i="1"/>
  <c r="AT334" i="1"/>
  <c r="AS333" i="1"/>
  <c r="G334" i="1" l="1"/>
  <c r="H334" i="1" s="1"/>
  <c r="F335" i="1"/>
  <c r="E335" i="1"/>
  <c r="AT335" i="1"/>
  <c r="AS334" i="1"/>
  <c r="G335" i="1" l="1"/>
  <c r="H335" i="1" s="1"/>
  <c r="F336" i="1"/>
  <c r="E336" i="1"/>
  <c r="AT336" i="1"/>
  <c r="AS335" i="1"/>
  <c r="G336" i="1" l="1"/>
  <c r="H336" i="1" s="1"/>
  <c r="F337" i="1"/>
  <c r="E337" i="1"/>
  <c r="AT337" i="1"/>
  <c r="AS336" i="1"/>
  <c r="G337" i="1" l="1"/>
  <c r="H337" i="1" s="1"/>
  <c r="F338" i="1"/>
  <c r="E338" i="1"/>
  <c r="AT338" i="1"/>
  <c r="AS337" i="1"/>
  <c r="G338" i="1" l="1"/>
  <c r="H338" i="1" s="1"/>
  <c r="F339" i="1"/>
  <c r="E339" i="1"/>
  <c r="AT339" i="1"/>
  <c r="AS338" i="1"/>
  <c r="G339" i="1" l="1"/>
  <c r="H339" i="1" s="1"/>
  <c r="F340" i="1"/>
  <c r="E340" i="1"/>
  <c r="AT340" i="1"/>
  <c r="AS339" i="1"/>
  <c r="G340" i="1" l="1"/>
  <c r="H340" i="1" s="1"/>
  <c r="F341" i="1"/>
  <c r="E341" i="1"/>
  <c r="AT341" i="1"/>
  <c r="AS340" i="1"/>
  <c r="G341" i="1" l="1"/>
  <c r="H341" i="1" s="1"/>
  <c r="F342" i="1"/>
  <c r="E342" i="1"/>
  <c r="AT342" i="1"/>
  <c r="AS341" i="1"/>
  <c r="G342" i="1" l="1"/>
  <c r="H342" i="1" s="1"/>
  <c r="F343" i="1"/>
  <c r="E343" i="1"/>
  <c r="AT343" i="1"/>
  <c r="AS342" i="1"/>
  <c r="G343" i="1" l="1"/>
  <c r="H343" i="1" s="1"/>
  <c r="F344" i="1"/>
  <c r="E344" i="1"/>
  <c r="AT344" i="1"/>
  <c r="AS343" i="1"/>
  <c r="G344" i="1" l="1"/>
  <c r="H344" i="1" s="1"/>
  <c r="F345" i="1"/>
  <c r="E345" i="1"/>
  <c r="AT345" i="1"/>
  <c r="AS344" i="1"/>
  <c r="G345" i="1" l="1"/>
  <c r="H345" i="1" s="1"/>
  <c r="F346" i="1"/>
  <c r="E346" i="1"/>
  <c r="AT346" i="1"/>
  <c r="AS345" i="1"/>
  <c r="G346" i="1" l="1"/>
  <c r="H346" i="1" s="1"/>
  <c r="F347" i="1"/>
  <c r="E347" i="1"/>
  <c r="AT347" i="1"/>
  <c r="AS346" i="1"/>
  <c r="G347" i="1" l="1"/>
  <c r="H347" i="1" s="1"/>
  <c r="F348" i="1"/>
  <c r="E348" i="1"/>
  <c r="AT348" i="1"/>
  <c r="AS347" i="1"/>
  <c r="G348" i="1" l="1"/>
  <c r="H348" i="1" s="1"/>
  <c r="F349" i="1"/>
  <c r="E349" i="1"/>
  <c r="AT349" i="1"/>
  <c r="AS348" i="1"/>
  <c r="G349" i="1" l="1"/>
  <c r="H349" i="1" s="1"/>
  <c r="F350" i="1"/>
  <c r="E350" i="1"/>
  <c r="AT350" i="1"/>
  <c r="AS349" i="1"/>
  <c r="G350" i="1" l="1"/>
  <c r="H350" i="1" s="1"/>
  <c r="F351" i="1"/>
  <c r="E351" i="1"/>
  <c r="AT351" i="1"/>
  <c r="AS350" i="1"/>
  <c r="G351" i="1" l="1"/>
  <c r="H351" i="1" s="1"/>
  <c r="F352" i="1"/>
  <c r="E352" i="1"/>
  <c r="AT352" i="1"/>
  <c r="AS351" i="1"/>
  <c r="G352" i="1" l="1"/>
  <c r="H352" i="1" s="1"/>
  <c r="F353" i="1"/>
  <c r="E353" i="1"/>
  <c r="AT353" i="1"/>
  <c r="AS352" i="1"/>
  <c r="G353" i="1" l="1"/>
  <c r="H353" i="1" s="1"/>
  <c r="F354" i="1"/>
  <c r="E354" i="1"/>
  <c r="AT354" i="1"/>
  <c r="AS353" i="1"/>
  <c r="G354" i="1" l="1"/>
  <c r="H354" i="1" s="1"/>
  <c r="F355" i="1"/>
  <c r="E355" i="1"/>
  <c r="AT355" i="1"/>
  <c r="AS354" i="1"/>
  <c r="G355" i="1" l="1"/>
  <c r="H355" i="1" s="1"/>
  <c r="F356" i="1"/>
  <c r="E356" i="1"/>
  <c r="AT356" i="1"/>
  <c r="AS355" i="1"/>
  <c r="G356" i="1" l="1"/>
  <c r="H356" i="1" s="1"/>
  <c r="F357" i="1"/>
  <c r="E357" i="1"/>
  <c r="AT357" i="1"/>
  <c r="AS356" i="1"/>
  <c r="G357" i="1" l="1"/>
  <c r="H357" i="1" s="1"/>
  <c r="F358" i="1"/>
  <c r="E358" i="1"/>
  <c r="AT358" i="1"/>
  <c r="AS357" i="1"/>
  <c r="G358" i="1" l="1"/>
  <c r="H358" i="1" s="1"/>
  <c r="F359" i="1"/>
  <c r="E359" i="1"/>
  <c r="AT359" i="1"/>
  <c r="AS358" i="1"/>
  <c r="G359" i="1" l="1"/>
  <c r="H359" i="1" s="1"/>
  <c r="F360" i="1"/>
  <c r="E360" i="1"/>
  <c r="AT360" i="1"/>
  <c r="AS359" i="1"/>
  <c r="G360" i="1" l="1"/>
  <c r="H360" i="1" s="1"/>
  <c r="F361" i="1"/>
  <c r="E361" i="1"/>
  <c r="AT361" i="1"/>
  <c r="AS360" i="1"/>
  <c r="G361" i="1" l="1"/>
  <c r="H361" i="1" s="1"/>
  <c r="F362" i="1"/>
  <c r="E362" i="1"/>
  <c r="AT362" i="1"/>
  <c r="AS361" i="1"/>
  <c r="G362" i="1" l="1"/>
  <c r="H362" i="1" s="1"/>
  <c r="F363" i="1"/>
  <c r="E363" i="1"/>
  <c r="AT363" i="1"/>
  <c r="AS362" i="1"/>
  <c r="G363" i="1" l="1"/>
  <c r="H363" i="1" s="1"/>
  <c r="F364" i="1"/>
  <c r="E364" i="1"/>
  <c r="AT364" i="1"/>
  <c r="AS363" i="1"/>
  <c r="G364" i="1" l="1"/>
  <c r="H364" i="1" s="1"/>
  <c r="F365" i="1"/>
  <c r="E365" i="1"/>
  <c r="AT365" i="1"/>
  <c r="AS364" i="1"/>
  <c r="G365" i="1" l="1"/>
  <c r="H365" i="1" s="1"/>
  <c r="F366" i="1"/>
  <c r="E366" i="1"/>
  <c r="AT366" i="1"/>
  <c r="AS365" i="1"/>
  <c r="G366" i="1" l="1"/>
  <c r="H366" i="1" s="1"/>
  <c r="F367" i="1"/>
  <c r="E367" i="1"/>
  <c r="AT367" i="1"/>
  <c r="AS366" i="1"/>
  <c r="G367" i="1" l="1"/>
  <c r="H367" i="1" s="1"/>
  <c r="F368" i="1"/>
  <c r="E368" i="1"/>
  <c r="AT368" i="1"/>
  <c r="AS367" i="1"/>
  <c r="G368" i="1" l="1"/>
  <c r="H368" i="1" s="1"/>
  <c r="F369" i="1"/>
  <c r="E369" i="1"/>
  <c r="AT369" i="1"/>
  <c r="AS368" i="1"/>
  <c r="G369" i="1" l="1"/>
  <c r="H369" i="1" s="1"/>
  <c r="F370" i="1"/>
  <c r="E370" i="1"/>
  <c r="AT370" i="1"/>
  <c r="AS369" i="1"/>
  <c r="G370" i="1" l="1"/>
  <c r="H370" i="1" s="1"/>
  <c r="F371" i="1"/>
  <c r="E371" i="1"/>
  <c r="AT371" i="1"/>
  <c r="AS370" i="1"/>
  <c r="G371" i="1" l="1"/>
  <c r="H371" i="1" s="1"/>
  <c r="F372" i="1"/>
  <c r="E372" i="1"/>
  <c r="AT372" i="1"/>
  <c r="AS371" i="1"/>
  <c r="G372" i="1" l="1"/>
  <c r="H372" i="1" s="1"/>
  <c r="F373" i="1"/>
  <c r="E373" i="1"/>
  <c r="AT373" i="1"/>
  <c r="AS372" i="1"/>
  <c r="G373" i="1" l="1"/>
  <c r="H373" i="1" s="1"/>
  <c r="F374" i="1"/>
  <c r="E374" i="1"/>
  <c r="AT374" i="1"/>
  <c r="AS373" i="1"/>
  <c r="G374" i="1" l="1"/>
  <c r="H374" i="1" s="1"/>
  <c r="F375" i="1"/>
  <c r="E375" i="1"/>
  <c r="AT375" i="1"/>
  <c r="AS374" i="1"/>
  <c r="G375" i="1" l="1"/>
  <c r="H375" i="1" s="1"/>
  <c r="F376" i="1"/>
  <c r="E376" i="1"/>
  <c r="AT376" i="1"/>
  <c r="AS375" i="1"/>
  <c r="G376" i="1" l="1"/>
  <c r="H376" i="1" s="1"/>
  <c r="F377" i="1"/>
  <c r="E377" i="1"/>
  <c r="AT377" i="1"/>
  <c r="AS376" i="1"/>
  <c r="G377" i="1" l="1"/>
  <c r="H377" i="1" s="1"/>
  <c r="F378" i="1"/>
  <c r="E378" i="1"/>
  <c r="AT378" i="1"/>
  <c r="AS377" i="1"/>
  <c r="G378" i="1" l="1"/>
  <c r="H378" i="1" s="1"/>
  <c r="F379" i="1"/>
  <c r="E379" i="1"/>
  <c r="AT379" i="1"/>
  <c r="AS378" i="1"/>
  <c r="G379" i="1" l="1"/>
  <c r="H379" i="1" s="1"/>
  <c r="F380" i="1"/>
  <c r="E380" i="1"/>
  <c r="AT380" i="1"/>
  <c r="AS379" i="1"/>
  <c r="G380" i="1" l="1"/>
  <c r="H380" i="1" s="1"/>
  <c r="F381" i="1"/>
  <c r="E381" i="1"/>
  <c r="AT381" i="1"/>
  <c r="AS380" i="1"/>
  <c r="G381" i="1" l="1"/>
  <c r="H381" i="1" s="1"/>
  <c r="F382" i="1"/>
  <c r="E382" i="1"/>
  <c r="AT382" i="1"/>
  <c r="AS381" i="1"/>
  <c r="G382" i="1" l="1"/>
  <c r="H382" i="1" s="1"/>
  <c r="F383" i="1"/>
  <c r="E383" i="1"/>
  <c r="AT383" i="1"/>
  <c r="AS382" i="1"/>
  <c r="G383" i="1" l="1"/>
  <c r="H383" i="1" s="1"/>
  <c r="F384" i="1"/>
  <c r="E384" i="1"/>
  <c r="AT384" i="1"/>
  <c r="AS383" i="1"/>
  <c r="G384" i="1" l="1"/>
  <c r="H384" i="1" s="1"/>
  <c r="F385" i="1"/>
  <c r="E385" i="1"/>
  <c r="AT385" i="1"/>
  <c r="AS384" i="1"/>
  <c r="G385" i="1" l="1"/>
  <c r="H385" i="1" s="1"/>
  <c r="F386" i="1"/>
  <c r="E386" i="1"/>
  <c r="AT386" i="1"/>
  <c r="AS385" i="1"/>
  <c r="G386" i="1" l="1"/>
  <c r="H386" i="1" s="1"/>
  <c r="F387" i="1"/>
  <c r="E387" i="1"/>
  <c r="AT387" i="1"/>
  <c r="AS386" i="1"/>
  <c r="G387" i="1" l="1"/>
  <c r="H387" i="1" s="1"/>
  <c r="F388" i="1"/>
  <c r="E388" i="1"/>
  <c r="AT388" i="1"/>
  <c r="AS387" i="1"/>
  <c r="G388" i="1" l="1"/>
  <c r="H388" i="1" s="1"/>
  <c r="F389" i="1"/>
  <c r="E389" i="1"/>
  <c r="AT389" i="1"/>
  <c r="AS388" i="1"/>
  <c r="G389" i="1" l="1"/>
  <c r="H389" i="1" s="1"/>
  <c r="F390" i="1"/>
  <c r="E390" i="1"/>
  <c r="AT390" i="1"/>
  <c r="AS389" i="1"/>
  <c r="G390" i="1" l="1"/>
  <c r="H390" i="1" s="1"/>
  <c r="F391" i="1"/>
  <c r="E391" i="1"/>
  <c r="AT391" i="1"/>
  <c r="AS390" i="1"/>
  <c r="G391" i="1" l="1"/>
  <c r="H391" i="1" s="1"/>
  <c r="F392" i="1"/>
  <c r="E392" i="1"/>
  <c r="AT392" i="1"/>
  <c r="AS391" i="1"/>
  <c r="G392" i="1" l="1"/>
  <c r="H392" i="1" s="1"/>
  <c r="F393" i="1"/>
  <c r="E393" i="1"/>
  <c r="AT393" i="1"/>
  <c r="AS392" i="1"/>
  <c r="G393" i="1" l="1"/>
  <c r="H393" i="1" s="1"/>
  <c r="F394" i="1"/>
  <c r="E394" i="1"/>
  <c r="AT394" i="1"/>
  <c r="AS393" i="1"/>
  <c r="G394" i="1" l="1"/>
  <c r="H394" i="1" s="1"/>
  <c r="F395" i="1"/>
  <c r="E395" i="1"/>
  <c r="AT395" i="1"/>
  <c r="AS394" i="1"/>
  <c r="G395" i="1" l="1"/>
  <c r="H395" i="1" s="1"/>
  <c r="F396" i="1"/>
  <c r="E396" i="1"/>
  <c r="AT396" i="1"/>
  <c r="AS395" i="1"/>
  <c r="G396" i="1" l="1"/>
  <c r="H396" i="1" s="1"/>
  <c r="F397" i="1"/>
  <c r="E397" i="1"/>
  <c r="AT397" i="1"/>
  <c r="AS396" i="1"/>
  <c r="G397" i="1" l="1"/>
  <c r="H397" i="1" s="1"/>
  <c r="F398" i="1"/>
  <c r="E398" i="1"/>
  <c r="AT398" i="1"/>
  <c r="AS397" i="1"/>
  <c r="G398" i="1" l="1"/>
  <c r="H398" i="1" s="1"/>
  <c r="F399" i="1"/>
  <c r="E399" i="1"/>
  <c r="AT399" i="1"/>
  <c r="AS398" i="1"/>
  <c r="G399" i="1" l="1"/>
  <c r="H399" i="1" s="1"/>
  <c r="F400" i="1"/>
  <c r="E400" i="1"/>
  <c r="AT400" i="1"/>
  <c r="AS399" i="1"/>
  <c r="G400" i="1" l="1"/>
  <c r="H400" i="1" s="1"/>
  <c r="F401" i="1"/>
  <c r="E401" i="1"/>
  <c r="AT401" i="1"/>
  <c r="AS400" i="1"/>
  <c r="G401" i="1" l="1"/>
  <c r="H401" i="1" s="1"/>
  <c r="F402" i="1"/>
  <c r="E402" i="1"/>
  <c r="AT402" i="1"/>
  <c r="AS401" i="1"/>
  <c r="G402" i="1" l="1"/>
  <c r="H402" i="1" s="1"/>
  <c r="F403" i="1"/>
  <c r="E403" i="1"/>
  <c r="AT403" i="1"/>
  <c r="AS402" i="1"/>
  <c r="G403" i="1" l="1"/>
  <c r="H403" i="1" s="1"/>
  <c r="F404" i="1"/>
  <c r="E404" i="1"/>
  <c r="AT404" i="1"/>
  <c r="AS403" i="1"/>
  <c r="G404" i="1" l="1"/>
  <c r="H404" i="1" s="1"/>
  <c r="F405" i="1"/>
  <c r="E405" i="1"/>
  <c r="AT405" i="1"/>
  <c r="AS404" i="1"/>
  <c r="G405" i="1" l="1"/>
  <c r="H405" i="1" s="1"/>
  <c r="F406" i="1"/>
  <c r="E406" i="1"/>
  <c r="AT406" i="1"/>
  <c r="AS405" i="1"/>
  <c r="G406" i="1" l="1"/>
  <c r="H406" i="1" s="1"/>
  <c r="F407" i="1"/>
  <c r="E407" i="1"/>
  <c r="AT407" i="1"/>
  <c r="AS406" i="1"/>
  <c r="G407" i="1" l="1"/>
  <c r="H407" i="1" s="1"/>
  <c r="F408" i="1"/>
  <c r="E408" i="1"/>
  <c r="AT408" i="1"/>
  <c r="AS407" i="1"/>
  <c r="G408" i="1" l="1"/>
  <c r="H408" i="1" s="1"/>
  <c r="F409" i="1"/>
  <c r="E409" i="1"/>
  <c r="AT409" i="1"/>
  <c r="AS408" i="1"/>
  <c r="G409" i="1" l="1"/>
  <c r="H409" i="1" s="1"/>
  <c r="F410" i="1"/>
  <c r="E410" i="1"/>
  <c r="AT410" i="1"/>
  <c r="AS409" i="1"/>
  <c r="G410" i="1" l="1"/>
  <c r="H410" i="1" s="1"/>
  <c r="F411" i="1"/>
  <c r="E411" i="1"/>
  <c r="AT411" i="1"/>
  <c r="AS410" i="1"/>
  <c r="G411" i="1" l="1"/>
  <c r="H411" i="1" s="1"/>
  <c r="F412" i="1"/>
  <c r="E412" i="1"/>
  <c r="AT412" i="1"/>
  <c r="AS411" i="1"/>
  <c r="G412" i="1" l="1"/>
  <c r="H412" i="1" s="1"/>
  <c r="F413" i="1"/>
  <c r="E413" i="1"/>
  <c r="AT413" i="1"/>
  <c r="AS412" i="1"/>
  <c r="G413" i="1" l="1"/>
  <c r="H413" i="1" s="1"/>
  <c r="F414" i="1"/>
  <c r="E414" i="1"/>
  <c r="AT414" i="1"/>
  <c r="AS413" i="1"/>
  <c r="G414" i="1" l="1"/>
  <c r="H414" i="1" s="1"/>
  <c r="F415" i="1"/>
  <c r="E415" i="1"/>
  <c r="AT415" i="1"/>
  <c r="AS414" i="1"/>
  <c r="G415" i="1" l="1"/>
  <c r="H415" i="1" s="1"/>
  <c r="F416" i="1"/>
  <c r="E416" i="1"/>
  <c r="AT416" i="1"/>
  <c r="AS415" i="1"/>
  <c r="G416" i="1" l="1"/>
  <c r="H416" i="1" s="1"/>
  <c r="F417" i="1"/>
  <c r="E417" i="1"/>
  <c r="AT417" i="1"/>
  <c r="AS416" i="1"/>
  <c r="G417" i="1" l="1"/>
  <c r="H417" i="1" s="1"/>
  <c r="F418" i="1"/>
  <c r="E418" i="1"/>
  <c r="AT418" i="1"/>
  <c r="AS417" i="1"/>
  <c r="G418" i="1" l="1"/>
  <c r="H418" i="1" s="1"/>
  <c r="F419" i="1"/>
  <c r="E419" i="1"/>
  <c r="AT419" i="1"/>
  <c r="AS418" i="1"/>
  <c r="G419" i="1" l="1"/>
  <c r="H419" i="1" s="1"/>
  <c r="F420" i="1"/>
  <c r="E420" i="1"/>
  <c r="AT420" i="1"/>
  <c r="AS419" i="1"/>
  <c r="G420" i="1" l="1"/>
  <c r="H420" i="1" s="1"/>
  <c r="F421" i="1"/>
  <c r="E421" i="1"/>
  <c r="AT421" i="1"/>
  <c r="AS420" i="1"/>
  <c r="G421" i="1" l="1"/>
  <c r="H421" i="1" s="1"/>
  <c r="F422" i="1"/>
  <c r="E422" i="1"/>
  <c r="AT422" i="1"/>
  <c r="AS421" i="1"/>
  <c r="G422" i="1" l="1"/>
  <c r="H422" i="1" s="1"/>
  <c r="F423" i="1"/>
  <c r="E423" i="1"/>
  <c r="AT423" i="1"/>
  <c r="AS422" i="1"/>
  <c r="G423" i="1" l="1"/>
  <c r="H423" i="1" s="1"/>
  <c r="F424" i="1"/>
  <c r="E424" i="1"/>
  <c r="AT424" i="1"/>
  <c r="AS423" i="1"/>
  <c r="G424" i="1" l="1"/>
  <c r="H424" i="1" s="1"/>
  <c r="F425" i="1"/>
  <c r="E425" i="1"/>
  <c r="AT425" i="1"/>
  <c r="AS424" i="1"/>
  <c r="G425" i="1" l="1"/>
  <c r="H425" i="1" s="1"/>
  <c r="F426" i="1"/>
  <c r="E426" i="1"/>
  <c r="AT426" i="1"/>
  <c r="AS425" i="1"/>
  <c r="G426" i="1" l="1"/>
  <c r="H426" i="1" s="1"/>
  <c r="F427" i="1"/>
  <c r="E427" i="1"/>
  <c r="AT427" i="1"/>
  <c r="AS426" i="1"/>
  <c r="G427" i="1" l="1"/>
  <c r="H427" i="1" s="1"/>
  <c r="F428" i="1"/>
  <c r="E428" i="1"/>
  <c r="AT428" i="1"/>
  <c r="AS427" i="1"/>
  <c r="G428" i="1" l="1"/>
  <c r="H428" i="1" s="1"/>
  <c r="F429" i="1"/>
  <c r="E429" i="1"/>
  <c r="AT429" i="1"/>
  <c r="AS428" i="1"/>
  <c r="G429" i="1" l="1"/>
  <c r="H429" i="1" s="1"/>
  <c r="F430" i="1"/>
  <c r="E430" i="1"/>
  <c r="AT430" i="1"/>
  <c r="AS429" i="1"/>
  <c r="G430" i="1" l="1"/>
  <c r="H430" i="1" s="1"/>
  <c r="F431" i="1"/>
  <c r="E431" i="1"/>
  <c r="AT431" i="1"/>
  <c r="AS430" i="1"/>
  <c r="G431" i="1" l="1"/>
  <c r="H431" i="1" s="1"/>
  <c r="F432" i="1"/>
  <c r="E432" i="1"/>
  <c r="AT432" i="1"/>
  <c r="AS431" i="1"/>
  <c r="G432" i="1" l="1"/>
  <c r="H432" i="1" s="1"/>
  <c r="F433" i="1"/>
  <c r="E433" i="1"/>
  <c r="AT433" i="1"/>
  <c r="AS432" i="1"/>
  <c r="G433" i="1" l="1"/>
  <c r="H433" i="1" s="1"/>
  <c r="F434" i="1"/>
  <c r="E434" i="1"/>
  <c r="AT434" i="1"/>
  <c r="AS433" i="1"/>
  <c r="G434" i="1" l="1"/>
  <c r="H434" i="1" s="1"/>
  <c r="F435" i="1"/>
  <c r="E435" i="1"/>
  <c r="AT435" i="1"/>
  <c r="AS434" i="1"/>
  <c r="G435" i="1" l="1"/>
  <c r="H435" i="1" s="1"/>
  <c r="F436" i="1"/>
  <c r="E436" i="1"/>
  <c r="AT436" i="1"/>
  <c r="AS435" i="1"/>
  <c r="G436" i="1" l="1"/>
  <c r="H436" i="1" s="1"/>
  <c r="F437" i="1"/>
  <c r="E437" i="1"/>
  <c r="AT437" i="1"/>
  <c r="AS436" i="1"/>
  <c r="G437" i="1" l="1"/>
  <c r="H437" i="1" s="1"/>
  <c r="F438" i="1"/>
  <c r="E438" i="1"/>
  <c r="AT438" i="1"/>
  <c r="AS437" i="1"/>
  <c r="G438" i="1" l="1"/>
  <c r="H438" i="1" s="1"/>
  <c r="F439" i="1"/>
  <c r="E439" i="1"/>
  <c r="AT439" i="1"/>
  <c r="AS438" i="1"/>
  <c r="G439" i="1" l="1"/>
  <c r="H439" i="1" s="1"/>
  <c r="F440" i="1"/>
  <c r="E440" i="1"/>
  <c r="AT440" i="1"/>
  <c r="AS439" i="1"/>
  <c r="G440" i="1" l="1"/>
  <c r="H440" i="1" s="1"/>
  <c r="F441" i="1"/>
  <c r="E441" i="1"/>
  <c r="AT441" i="1"/>
  <c r="AS440" i="1"/>
  <c r="G441" i="1" l="1"/>
  <c r="H441" i="1" s="1"/>
  <c r="F442" i="1"/>
  <c r="E442" i="1"/>
  <c r="AT442" i="1"/>
  <c r="AS441" i="1"/>
  <c r="G442" i="1" l="1"/>
  <c r="H442" i="1" s="1"/>
  <c r="F443" i="1"/>
  <c r="E443" i="1"/>
  <c r="AT443" i="1"/>
  <c r="AS442" i="1"/>
  <c r="G443" i="1" l="1"/>
  <c r="H443" i="1" s="1"/>
  <c r="F444" i="1"/>
  <c r="E444" i="1"/>
  <c r="AT444" i="1"/>
  <c r="AS443" i="1"/>
  <c r="G444" i="1" l="1"/>
  <c r="H444" i="1" s="1"/>
  <c r="F445" i="1"/>
  <c r="E445" i="1"/>
  <c r="AT445" i="1"/>
  <c r="AS444" i="1"/>
  <c r="G445" i="1" l="1"/>
  <c r="H445" i="1" s="1"/>
  <c r="F446" i="1"/>
  <c r="E446" i="1"/>
  <c r="AT446" i="1"/>
  <c r="AS445" i="1"/>
  <c r="G446" i="1" l="1"/>
  <c r="H446" i="1" s="1"/>
  <c r="F447" i="1"/>
  <c r="E447" i="1"/>
  <c r="AT447" i="1"/>
  <c r="AS446" i="1"/>
  <c r="G447" i="1" l="1"/>
  <c r="H447" i="1" s="1"/>
  <c r="F448" i="1"/>
  <c r="E448" i="1"/>
  <c r="AT448" i="1"/>
  <c r="AS447" i="1"/>
  <c r="G448" i="1" l="1"/>
  <c r="H448" i="1" s="1"/>
  <c r="F449" i="1"/>
  <c r="E449" i="1"/>
  <c r="AT449" i="1"/>
  <c r="AS448" i="1"/>
  <c r="G449" i="1" l="1"/>
  <c r="H449" i="1" s="1"/>
  <c r="F450" i="1"/>
  <c r="E450" i="1"/>
  <c r="AT450" i="1"/>
  <c r="AS449" i="1"/>
  <c r="G450" i="1" l="1"/>
  <c r="H450" i="1" s="1"/>
  <c r="F451" i="1"/>
  <c r="E451" i="1"/>
  <c r="AT451" i="1"/>
  <c r="AS450" i="1"/>
  <c r="G451" i="1" l="1"/>
  <c r="H451" i="1" s="1"/>
  <c r="F452" i="1"/>
  <c r="E452" i="1"/>
  <c r="AT452" i="1"/>
  <c r="AS451" i="1"/>
  <c r="G452" i="1" l="1"/>
  <c r="H452" i="1" s="1"/>
  <c r="F453" i="1"/>
  <c r="E453" i="1"/>
  <c r="AT453" i="1"/>
  <c r="AS452" i="1"/>
  <c r="G453" i="1" l="1"/>
  <c r="H453" i="1" s="1"/>
  <c r="F454" i="1"/>
  <c r="E454" i="1"/>
  <c r="AT454" i="1"/>
  <c r="AS453" i="1"/>
  <c r="G454" i="1" l="1"/>
  <c r="H454" i="1" s="1"/>
  <c r="F455" i="1"/>
  <c r="E455" i="1"/>
  <c r="AT455" i="1"/>
  <c r="AS454" i="1"/>
  <c r="G455" i="1" l="1"/>
  <c r="H455" i="1" s="1"/>
  <c r="F456" i="1"/>
  <c r="E456" i="1"/>
  <c r="AT456" i="1"/>
  <c r="AS455" i="1"/>
  <c r="G456" i="1" l="1"/>
  <c r="H456" i="1" s="1"/>
  <c r="F457" i="1"/>
  <c r="E457" i="1"/>
  <c r="AT457" i="1"/>
  <c r="AS456" i="1"/>
  <c r="G457" i="1" l="1"/>
  <c r="H457" i="1" s="1"/>
  <c r="F458" i="1"/>
  <c r="E458" i="1"/>
  <c r="AT458" i="1"/>
  <c r="AS457" i="1"/>
  <c r="G458" i="1" l="1"/>
  <c r="H458" i="1" s="1"/>
  <c r="F459" i="1"/>
  <c r="E459" i="1"/>
  <c r="AT459" i="1"/>
  <c r="AS458" i="1"/>
  <c r="G459" i="1" l="1"/>
  <c r="H459" i="1" s="1"/>
  <c r="F460" i="1"/>
  <c r="E460" i="1"/>
  <c r="AT460" i="1"/>
  <c r="AS459" i="1"/>
  <c r="G460" i="1" l="1"/>
  <c r="H460" i="1" s="1"/>
  <c r="F461" i="1"/>
  <c r="E461" i="1"/>
  <c r="AT461" i="1"/>
  <c r="AS460" i="1"/>
  <c r="G461" i="1" l="1"/>
  <c r="H461" i="1" s="1"/>
  <c r="F462" i="1"/>
  <c r="E462" i="1"/>
  <c r="AT462" i="1"/>
  <c r="AS461" i="1"/>
  <c r="G462" i="1" l="1"/>
  <c r="H462" i="1" s="1"/>
  <c r="F463" i="1"/>
  <c r="E463" i="1"/>
  <c r="AT463" i="1"/>
  <c r="AS462" i="1"/>
  <c r="G463" i="1" l="1"/>
  <c r="H463" i="1" s="1"/>
  <c r="F464" i="1"/>
  <c r="E464" i="1"/>
  <c r="AT464" i="1"/>
  <c r="AS463" i="1"/>
  <c r="G464" i="1" l="1"/>
  <c r="H464" i="1" s="1"/>
  <c r="F465" i="1"/>
  <c r="E465" i="1"/>
  <c r="AT465" i="1"/>
  <c r="AS464" i="1"/>
  <c r="G465" i="1" l="1"/>
  <c r="H465" i="1" s="1"/>
  <c r="F466" i="1"/>
  <c r="E466" i="1"/>
  <c r="AT466" i="1"/>
  <c r="AS465" i="1"/>
  <c r="G466" i="1" l="1"/>
  <c r="H466" i="1" s="1"/>
  <c r="F467" i="1"/>
  <c r="E467" i="1"/>
  <c r="AT467" i="1"/>
  <c r="AS466" i="1"/>
  <c r="G467" i="1" l="1"/>
  <c r="H467" i="1" s="1"/>
  <c r="F468" i="1"/>
  <c r="E468" i="1"/>
  <c r="AT468" i="1"/>
  <c r="AS467" i="1"/>
  <c r="G468" i="1" l="1"/>
  <c r="H468" i="1" s="1"/>
  <c r="F469" i="1"/>
  <c r="E469" i="1"/>
  <c r="AT469" i="1"/>
  <c r="AS468" i="1"/>
  <c r="G469" i="1" l="1"/>
  <c r="H469" i="1" s="1"/>
  <c r="F470" i="1"/>
  <c r="E470" i="1"/>
  <c r="AT470" i="1"/>
  <c r="AS469" i="1"/>
  <c r="G470" i="1" l="1"/>
  <c r="H470" i="1" s="1"/>
  <c r="F471" i="1"/>
  <c r="E471" i="1"/>
  <c r="AT471" i="1"/>
  <c r="AS470" i="1"/>
  <c r="G471" i="1" l="1"/>
  <c r="H471" i="1" s="1"/>
  <c r="F472" i="1"/>
  <c r="E472" i="1"/>
  <c r="AT472" i="1"/>
  <c r="AS471" i="1"/>
  <c r="G472" i="1" l="1"/>
  <c r="H472" i="1" s="1"/>
  <c r="F473" i="1"/>
  <c r="E473" i="1"/>
  <c r="AT473" i="1"/>
  <c r="AS472" i="1"/>
  <c r="G473" i="1" l="1"/>
  <c r="H473" i="1" s="1"/>
  <c r="F474" i="1"/>
  <c r="E474" i="1"/>
  <c r="AT474" i="1"/>
  <c r="AS473" i="1"/>
  <c r="G474" i="1" l="1"/>
  <c r="H474" i="1" s="1"/>
  <c r="F475" i="1"/>
  <c r="E475" i="1"/>
  <c r="AT475" i="1"/>
  <c r="AS474" i="1"/>
  <c r="G475" i="1" l="1"/>
  <c r="H475" i="1" s="1"/>
  <c r="F476" i="1"/>
  <c r="E476" i="1"/>
  <c r="AT476" i="1"/>
  <c r="AS475" i="1"/>
  <c r="G476" i="1" l="1"/>
  <c r="H476" i="1" s="1"/>
  <c r="F477" i="1"/>
  <c r="E477" i="1"/>
  <c r="AT477" i="1"/>
  <c r="AS476" i="1"/>
  <c r="G477" i="1" l="1"/>
  <c r="H477" i="1" s="1"/>
  <c r="F478" i="1"/>
  <c r="E478" i="1"/>
  <c r="AT478" i="1"/>
  <c r="AS477" i="1"/>
  <c r="G478" i="1" l="1"/>
  <c r="H478" i="1" s="1"/>
  <c r="F479" i="1"/>
  <c r="E479" i="1"/>
  <c r="AT479" i="1"/>
  <c r="AS478" i="1"/>
  <c r="G479" i="1" l="1"/>
  <c r="H479" i="1" s="1"/>
  <c r="F480" i="1"/>
  <c r="E480" i="1"/>
  <c r="AT480" i="1"/>
  <c r="AS479" i="1"/>
  <c r="G480" i="1" l="1"/>
  <c r="H480" i="1" s="1"/>
  <c r="F481" i="1"/>
  <c r="E481" i="1"/>
  <c r="AT481" i="1"/>
  <c r="AS480" i="1"/>
  <c r="G481" i="1" l="1"/>
  <c r="H481" i="1" s="1"/>
  <c r="F482" i="1"/>
  <c r="E482" i="1"/>
  <c r="AT482" i="1"/>
  <c r="AS481" i="1"/>
  <c r="G482" i="1" l="1"/>
  <c r="H482" i="1" s="1"/>
  <c r="F483" i="1"/>
  <c r="E483" i="1"/>
  <c r="AT483" i="1"/>
  <c r="AS482" i="1"/>
  <c r="G483" i="1" l="1"/>
  <c r="H483" i="1" s="1"/>
  <c r="F484" i="1"/>
  <c r="E484" i="1"/>
  <c r="AT484" i="1"/>
  <c r="AS483" i="1"/>
  <c r="G484" i="1" l="1"/>
  <c r="H484" i="1" s="1"/>
  <c r="F485" i="1"/>
  <c r="E485" i="1"/>
  <c r="AT485" i="1"/>
  <c r="AS484" i="1"/>
  <c r="G485" i="1" l="1"/>
  <c r="H485" i="1" s="1"/>
  <c r="F486" i="1"/>
  <c r="E486" i="1"/>
  <c r="AT486" i="1"/>
  <c r="AS485" i="1"/>
  <c r="G486" i="1" l="1"/>
  <c r="H486" i="1" s="1"/>
  <c r="F487" i="1"/>
  <c r="E487" i="1"/>
  <c r="AT487" i="1"/>
  <c r="AS486" i="1"/>
  <c r="G487" i="1" l="1"/>
  <c r="H487" i="1" s="1"/>
  <c r="F488" i="1"/>
  <c r="E488" i="1"/>
  <c r="AT488" i="1"/>
  <c r="AS487" i="1"/>
  <c r="G488" i="1" l="1"/>
  <c r="H488" i="1" s="1"/>
  <c r="F489" i="1"/>
  <c r="E489" i="1"/>
  <c r="AT489" i="1"/>
  <c r="AS488" i="1"/>
  <c r="G489" i="1" l="1"/>
  <c r="H489" i="1" s="1"/>
  <c r="F490" i="1"/>
  <c r="E490" i="1"/>
  <c r="AT490" i="1"/>
  <c r="AS489" i="1"/>
  <c r="G490" i="1" l="1"/>
  <c r="H490" i="1" s="1"/>
  <c r="F491" i="1"/>
  <c r="E491" i="1"/>
  <c r="AT491" i="1"/>
  <c r="AS490" i="1"/>
  <c r="G491" i="1" l="1"/>
  <c r="H491" i="1" s="1"/>
  <c r="F492" i="1"/>
  <c r="E492" i="1"/>
  <c r="AT492" i="1"/>
  <c r="AS491" i="1"/>
  <c r="G492" i="1" l="1"/>
  <c r="H492" i="1" s="1"/>
  <c r="F493" i="1"/>
  <c r="E493" i="1"/>
  <c r="AT493" i="1"/>
  <c r="AS492" i="1"/>
  <c r="G493" i="1" l="1"/>
  <c r="H493" i="1" s="1"/>
  <c r="F494" i="1"/>
  <c r="E494" i="1"/>
  <c r="AT494" i="1"/>
  <c r="AS493" i="1"/>
  <c r="G494" i="1" l="1"/>
  <c r="H494" i="1" s="1"/>
  <c r="F495" i="1"/>
  <c r="E495" i="1"/>
  <c r="AT495" i="1"/>
  <c r="AS494" i="1"/>
  <c r="G495" i="1" l="1"/>
  <c r="H495" i="1" s="1"/>
  <c r="F496" i="1"/>
  <c r="E496" i="1"/>
  <c r="AT496" i="1"/>
  <c r="AS495" i="1"/>
  <c r="G496" i="1" l="1"/>
  <c r="H496" i="1" s="1"/>
  <c r="F497" i="1"/>
  <c r="E497" i="1"/>
  <c r="AT497" i="1"/>
  <c r="AS496" i="1"/>
  <c r="G497" i="1" l="1"/>
  <c r="H497" i="1" s="1"/>
  <c r="F498" i="1"/>
  <c r="E498" i="1"/>
  <c r="AT498" i="1"/>
  <c r="AS497" i="1"/>
  <c r="G498" i="1" l="1"/>
  <c r="H498" i="1" s="1"/>
  <c r="F499" i="1"/>
  <c r="E499" i="1"/>
  <c r="AT499" i="1"/>
  <c r="AS498" i="1"/>
  <c r="G499" i="1" l="1"/>
  <c r="H499" i="1" s="1"/>
  <c r="F500" i="1"/>
  <c r="E500" i="1"/>
  <c r="AT500" i="1"/>
  <c r="AS499" i="1"/>
  <c r="G500" i="1" l="1"/>
  <c r="H500" i="1" s="1"/>
  <c r="F501" i="1"/>
  <c r="E501" i="1"/>
  <c r="AT501" i="1"/>
  <c r="AS500" i="1"/>
  <c r="G501" i="1" l="1"/>
  <c r="H501" i="1" s="1"/>
  <c r="F502" i="1"/>
  <c r="E502" i="1"/>
  <c r="AT502" i="1"/>
  <c r="AS501" i="1"/>
  <c r="G502" i="1" l="1"/>
  <c r="H502" i="1" s="1"/>
  <c r="F503" i="1"/>
  <c r="E503" i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AT503" i="1"/>
  <c r="AS502" i="1"/>
  <c r="G503" i="1" l="1"/>
  <c r="H503" i="1" s="1"/>
  <c r="F504" i="1"/>
  <c r="G504" i="1" s="1"/>
  <c r="AT504" i="1"/>
  <c r="AS503" i="1"/>
  <c r="F505" i="1" l="1"/>
  <c r="G505" i="1" s="1"/>
  <c r="H504" i="1"/>
  <c r="AT505" i="1"/>
  <c r="AS504" i="1"/>
  <c r="F506" i="1" l="1"/>
  <c r="G506" i="1" s="1"/>
  <c r="H505" i="1"/>
  <c r="AT506" i="1"/>
  <c r="AS505" i="1"/>
  <c r="F507" i="1" l="1"/>
  <c r="G507" i="1" s="1"/>
  <c r="H506" i="1"/>
  <c r="AT507" i="1"/>
  <c r="AS506" i="1"/>
  <c r="F508" i="1" l="1"/>
  <c r="G508" i="1" s="1"/>
  <c r="H507" i="1"/>
  <c r="AT508" i="1"/>
  <c r="AS507" i="1"/>
  <c r="F509" i="1" l="1"/>
  <c r="G509" i="1" s="1"/>
  <c r="H508" i="1"/>
  <c r="AT509" i="1"/>
  <c r="AS508" i="1"/>
  <c r="F510" i="1" l="1"/>
  <c r="G510" i="1" s="1"/>
  <c r="H509" i="1"/>
  <c r="AT510" i="1"/>
  <c r="AS509" i="1"/>
  <c r="F511" i="1" l="1"/>
  <c r="G511" i="1" s="1"/>
  <c r="H510" i="1"/>
  <c r="AT511" i="1"/>
  <c r="AS510" i="1"/>
  <c r="F512" i="1" l="1"/>
  <c r="G512" i="1" s="1"/>
  <c r="H511" i="1"/>
  <c r="AT512" i="1"/>
  <c r="AS511" i="1"/>
  <c r="F513" i="1" l="1"/>
  <c r="G513" i="1" s="1"/>
  <c r="H512" i="1"/>
  <c r="AT513" i="1"/>
  <c r="AS512" i="1"/>
  <c r="F514" i="1" l="1"/>
  <c r="G514" i="1" s="1"/>
  <c r="H513" i="1"/>
  <c r="AT514" i="1"/>
  <c r="AS513" i="1"/>
  <c r="F515" i="1" l="1"/>
  <c r="G515" i="1" s="1"/>
  <c r="H514" i="1"/>
  <c r="AT515" i="1"/>
  <c r="AS514" i="1"/>
  <c r="F516" i="1" l="1"/>
  <c r="G516" i="1" s="1"/>
  <c r="H515" i="1"/>
  <c r="AT516" i="1"/>
  <c r="AS515" i="1"/>
  <c r="F517" i="1" l="1"/>
  <c r="G517" i="1" s="1"/>
  <c r="H516" i="1"/>
  <c r="AT517" i="1"/>
  <c r="AS516" i="1"/>
  <c r="F518" i="1" l="1"/>
  <c r="G518" i="1" s="1"/>
  <c r="H517" i="1"/>
  <c r="AT518" i="1"/>
  <c r="AS517" i="1"/>
  <c r="F519" i="1" l="1"/>
  <c r="G519" i="1" s="1"/>
  <c r="H518" i="1"/>
  <c r="AT519" i="1"/>
  <c r="AS518" i="1"/>
  <c r="F520" i="1" l="1"/>
  <c r="G520" i="1" s="1"/>
  <c r="H519" i="1"/>
  <c r="AT520" i="1"/>
  <c r="AS519" i="1"/>
  <c r="F521" i="1" l="1"/>
  <c r="G521" i="1" s="1"/>
  <c r="H520" i="1"/>
  <c r="AT521" i="1"/>
  <c r="AS520" i="1"/>
  <c r="F522" i="1" l="1"/>
  <c r="G522" i="1" s="1"/>
  <c r="H521" i="1"/>
  <c r="AT522" i="1"/>
  <c r="AS521" i="1"/>
  <c r="F523" i="1" l="1"/>
  <c r="G523" i="1" s="1"/>
  <c r="H522" i="1"/>
  <c r="AT523" i="1"/>
  <c r="AS522" i="1"/>
  <c r="F524" i="1" l="1"/>
  <c r="G524" i="1" s="1"/>
  <c r="H523" i="1"/>
  <c r="AT524" i="1"/>
  <c r="AS523" i="1"/>
  <c r="F525" i="1" l="1"/>
  <c r="G525" i="1" s="1"/>
  <c r="H524" i="1"/>
  <c r="AT525" i="1"/>
  <c r="AS524" i="1"/>
  <c r="F526" i="1" l="1"/>
  <c r="G526" i="1" s="1"/>
  <c r="H525" i="1"/>
  <c r="AT526" i="1"/>
  <c r="AS525" i="1"/>
  <c r="F527" i="1" l="1"/>
  <c r="G527" i="1" s="1"/>
  <c r="H526" i="1"/>
  <c r="AT527" i="1"/>
  <c r="AS526" i="1"/>
  <c r="F528" i="1" l="1"/>
  <c r="G528" i="1" s="1"/>
  <c r="H527" i="1"/>
  <c r="AT528" i="1"/>
  <c r="AS527" i="1"/>
  <c r="F529" i="1" l="1"/>
  <c r="G529" i="1" s="1"/>
  <c r="H528" i="1"/>
  <c r="AT529" i="1"/>
  <c r="AS528" i="1"/>
  <c r="F530" i="1" l="1"/>
  <c r="G530" i="1" s="1"/>
  <c r="H529" i="1"/>
  <c r="AT530" i="1"/>
  <c r="AS529" i="1"/>
  <c r="F531" i="1" l="1"/>
  <c r="G531" i="1" s="1"/>
  <c r="H530" i="1"/>
  <c r="AT531" i="1"/>
  <c r="AS530" i="1"/>
  <c r="F532" i="1" l="1"/>
  <c r="G532" i="1" s="1"/>
  <c r="H531" i="1"/>
  <c r="AT532" i="1"/>
  <c r="AS531" i="1"/>
  <c r="F533" i="1" l="1"/>
  <c r="G533" i="1" s="1"/>
  <c r="H532" i="1"/>
  <c r="AT533" i="1"/>
  <c r="AS532" i="1"/>
  <c r="F534" i="1" l="1"/>
  <c r="G534" i="1" s="1"/>
  <c r="H533" i="1"/>
  <c r="AT534" i="1"/>
  <c r="AS533" i="1"/>
  <c r="F535" i="1" l="1"/>
  <c r="G535" i="1" s="1"/>
  <c r="H534" i="1"/>
  <c r="AT535" i="1"/>
  <c r="AS534" i="1"/>
  <c r="F536" i="1" l="1"/>
  <c r="G536" i="1" s="1"/>
  <c r="H535" i="1"/>
  <c r="AT536" i="1"/>
  <c r="AS535" i="1"/>
  <c r="F537" i="1" l="1"/>
  <c r="G537" i="1" s="1"/>
  <c r="H536" i="1"/>
  <c r="AT537" i="1"/>
  <c r="AS536" i="1"/>
  <c r="F538" i="1" l="1"/>
  <c r="G538" i="1" s="1"/>
  <c r="H537" i="1"/>
  <c r="AT538" i="1"/>
  <c r="AS537" i="1"/>
  <c r="F539" i="1" l="1"/>
  <c r="G539" i="1" s="1"/>
  <c r="H538" i="1"/>
  <c r="AT539" i="1"/>
  <c r="AS538" i="1"/>
  <c r="F540" i="1" l="1"/>
  <c r="G540" i="1" s="1"/>
  <c r="H539" i="1"/>
  <c r="AT540" i="1"/>
  <c r="AS539" i="1"/>
  <c r="F541" i="1" l="1"/>
  <c r="G541" i="1" s="1"/>
  <c r="H540" i="1"/>
  <c r="AT541" i="1"/>
  <c r="AS540" i="1"/>
  <c r="F542" i="1" l="1"/>
  <c r="G542" i="1" s="1"/>
  <c r="H541" i="1"/>
  <c r="AT542" i="1"/>
  <c r="AS541" i="1"/>
  <c r="F543" i="1" l="1"/>
  <c r="G543" i="1" s="1"/>
  <c r="H542" i="1"/>
  <c r="AT543" i="1"/>
  <c r="AS542" i="1"/>
  <c r="F544" i="1" l="1"/>
  <c r="G544" i="1" s="1"/>
  <c r="H543" i="1"/>
  <c r="AT544" i="1"/>
  <c r="AS543" i="1"/>
  <c r="F545" i="1" l="1"/>
  <c r="G545" i="1" s="1"/>
  <c r="H544" i="1"/>
  <c r="AT545" i="1"/>
  <c r="AS544" i="1"/>
  <c r="F546" i="1" l="1"/>
  <c r="G546" i="1" s="1"/>
  <c r="H545" i="1"/>
  <c r="AT546" i="1"/>
  <c r="AS545" i="1"/>
  <c r="F547" i="1" l="1"/>
  <c r="G547" i="1" s="1"/>
  <c r="H546" i="1"/>
  <c r="AT547" i="1"/>
  <c r="AS546" i="1"/>
  <c r="F548" i="1" l="1"/>
  <c r="G548" i="1" s="1"/>
  <c r="H547" i="1"/>
  <c r="AT548" i="1"/>
  <c r="AS547" i="1"/>
  <c r="F549" i="1" l="1"/>
  <c r="G549" i="1" s="1"/>
  <c r="H548" i="1"/>
  <c r="AT549" i="1"/>
  <c r="AS548" i="1"/>
  <c r="F550" i="1" l="1"/>
  <c r="G550" i="1" s="1"/>
  <c r="H549" i="1"/>
  <c r="AT550" i="1"/>
  <c r="AS549" i="1"/>
  <c r="F551" i="1" l="1"/>
  <c r="G551" i="1" s="1"/>
  <c r="H550" i="1"/>
  <c r="AT551" i="1"/>
  <c r="AS550" i="1"/>
  <c r="F552" i="1" l="1"/>
  <c r="G552" i="1" s="1"/>
  <c r="H551" i="1"/>
  <c r="AT552" i="1"/>
  <c r="AS551" i="1"/>
  <c r="F553" i="1" l="1"/>
  <c r="G553" i="1" s="1"/>
  <c r="H552" i="1"/>
  <c r="AT553" i="1"/>
  <c r="AS552" i="1"/>
  <c r="F554" i="1" l="1"/>
  <c r="G554" i="1" s="1"/>
  <c r="H553" i="1"/>
  <c r="AT554" i="1"/>
  <c r="AS553" i="1"/>
  <c r="F555" i="1" l="1"/>
  <c r="G555" i="1" s="1"/>
  <c r="H554" i="1"/>
  <c r="AT555" i="1"/>
  <c r="AS554" i="1"/>
  <c r="F556" i="1" l="1"/>
  <c r="G556" i="1" s="1"/>
  <c r="H555" i="1"/>
  <c r="AT556" i="1"/>
  <c r="AS555" i="1"/>
  <c r="F557" i="1" l="1"/>
  <c r="G557" i="1" s="1"/>
  <c r="H556" i="1"/>
  <c r="AT557" i="1"/>
  <c r="AS556" i="1"/>
  <c r="F558" i="1" l="1"/>
  <c r="G558" i="1" s="1"/>
  <c r="H557" i="1"/>
  <c r="AT558" i="1"/>
  <c r="AS557" i="1"/>
  <c r="F559" i="1" l="1"/>
  <c r="G559" i="1" s="1"/>
  <c r="H558" i="1"/>
  <c r="AT559" i="1"/>
  <c r="AS558" i="1"/>
  <c r="F560" i="1" l="1"/>
  <c r="G560" i="1" s="1"/>
  <c r="H559" i="1"/>
  <c r="AT560" i="1"/>
  <c r="AS559" i="1"/>
  <c r="F561" i="1" l="1"/>
  <c r="G561" i="1" s="1"/>
  <c r="H560" i="1"/>
  <c r="AT561" i="1"/>
  <c r="AS560" i="1"/>
  <c r="F562" i="1" l="1"/>
  <c r="G562" i="1" s="1"/>
  <c r="H561" i="1"/>
  <c r="AT562" i="1"/>
  <c r="AS561" i="1"/>
  <c r="F563" i="1" l="1"/>
  <c r="G563" i="1" s="1"/>
  <c r="H562" i="1"/>
  <c r="AT563" i="1"/>
  <c r="AS562" i="1"/>
  <c r="F564" i="1" l="1"/>
  <c r="G564" i="1" s="1"/>
  <c r="H563" i="1"/>
  <c r="AT564" i="1"/>
  <c r="AS563" i="1"/>
  <c r="F565" i="1" l="1"/>
  <c r="G565" i="1" s="1"/>
  <c r="H564" i="1"/>
  <c r="AT565" i="1"/>
  <c r="AS564" i="1"/>
  <c r="F566" i="1" l="1"/>
  <c r="G566" i="1" s="1"/>
  <c r="H565" i="1"/>
  <c r="AT566" i="1"/>
  <c r="AS565" i="1"/>
  <c r="F567" i="1" l="1"/>
  <c r="G567" i="1" s="1"/>
  <c r="H566" i="1"/>
  <c r="AT567" i="1"/>
  <c r="AS566" i="1"/>
  <c r="F568" i="1" l="1"/>
  <c r="G568" i="1" s="1"/>
  <c r="H567" i="1"/>
  <c r="AT568" i="1"/>
  <c r="AS567" i="1"/>
  <c r="F569" i="1" l="1"/>
  <c r="G569" i="1" s="1"/>
  <c r="H568" i="1"/>
  <c r="AT569" i="1"/>
  <c r="AS568" i="1"/>
  <c r="F570" i="1" l="1"/>
  <c r="G570" i="1" s="1"/>
  <c r="H569" i="1"/>
  <c r="AT570" i="1"/>
  <c r="AS569" i="1"/>
  <c r="F571" i="1" l="1"/>
  <c r="G571" i="1" s="1"/>
  <c r="H570" i="1"/>
  <c r="AT571" i="1"/>
  <c r="AS570" i="1"/>
  <c r="F572" i="1" l="1"/>
  <c r="G572" i="1" s="1"/>
  <c r="H571" i="1"/>
  <c r="AT572" i="1"/>
  <c r="AS571" i="1"/>
  <c r="F573" i="1" l="1"/>
  <c r="G573" i="1" s="1"/>
  <c r="H572" i="1"/>
  <c r="AT573" i="1"/>
  <c r="AS572" i="1"/>
  <c r="F574" i="1" l="1"/>
  <c r="G574" i="1" s="1"/>
  <c r="H573" i="1"/>
  <c r="AT574" i="1"/>
  <c r="AS573" i="1"/>
  <c r="F575" i="1" l="1"/>
  <c r="G575" i="1" s="1"/>
  <c r="H574" i="1"/>
  <c r="AT575" i="1"/>
  <c r="AS574" i="1"/>
  <c r="F576" i="1" l="1"/>
  <c r="G576" i="1" s="1"/>
  <c r="H575" i="1"/>
  <c r="AT576" i="1"/>
  <c r="AS575" i="1"/>
  <c r="F577" i="1" l="1"/>
  <c r="G577" i="1" s="1"/>
  <c r="H576" i="1"/>
  <c r="AT577" i="1"/>
  <c r="AS576" i="1"/>
  <c r="F578" i="1" l="1"/>
  <c r="G578" i="1" s="1"/>
  <c r="H577" i="1"/>
  <c r="AT578" i="1"/>
  <c r="AS577" i="1"/>
  <c r="F579" i="1" l="1"/>
  <c r="G579" i="1" s="1"/>
  <c r="H578" i="1"/>
  <c r="AT579" i="1"/>
  <c r="AS578" i="1"/>
  <c r="F580" i="1" l="1"/>
  <c r="G580" i="1" s="1"/>
  <c r="H579" i="1"/>
  <c r="AT580" i="1"/>
  <c r="AS579" i="1"/>
  <c r="F581" i="1" l="1"/>
  <c r="G581" i="1" s="1"/>
  <c r="H580" i="1"/>
  <c r="AT581" i="1"/>
  <c r="AS580" i="1"/>
  <c r="F582" i="1" l="1"/>
  <c r="G582" i="1" s="1"/>
  <c r="H581" i="1"/>
  <c r="AT582" i="1"/>
  <c r="AS581" i="1"/>
  <c r="F583" i="1" l="1"/>
  <c r="G583" i="1" s="1"/>
  <c r="H582" i="1"/>
  <c r="AT583" i="1"/>
  <c r="AS582" i="1"/>
  <c r="F584" i="1" l="1"/>
  <c r="G584" i="1" s="1"/>
  <c r="H583" i="1"/>
  <c r="AT584" i="1"/>
  <c r="AS583" i="1"/>
  <c r="F585" i="1" l="1"/>
  <c r="G585" i="1" s="1"/>
  <c r="H584" i="1"/>
  <c r="AT585" i="1"/>
  <c r="AS584" i="1"/>
  <c r="F586" i="1" l="1"/>
  <c r="G586" i="1" s="1"/>
  <c r="H585" i="1"/>
  <c r="AT586" i="1"/>
  <c r="AS585" i="1"/>
  <c r="F587" i="1" l="1"/>
  <c r="G587" i="1" s="1"/>
  <c r="H586" i="1"/>
  <c r="AT587" i="1"/>
  <c r="AS586" i="1"/>
  <c r="F588" i="1" l="1"/>
  <c r="G588" i="1" s="1"/>
  <c r="H587" i="1"/>
  <c r="AT588" i="1"/>
  <c r="AS587" i="1"/>
  <c r="F589" i="1" l="1"/>
  <c r="H588" i="1"/>
  <c r="AT589" i="1"/>
  <c r="AS588" i="1"/>
  <c r="G589" i="1" l="1"/>
  <c r="H589" i="1" s="1"/>
  <c r="F590" i="1"/>
  <c r="G590" i="1" s="1"/>
  <c r="AT590" i="1"/>
  <c r="AS589" i="1"/>
  <c r="F591" i="1" l="1"/>
  <c r="G591" i="1" s="1"/>
  <c r="H590" i="1"/>
  <c r="AT591" i="1"/>
  <c r="AS590" i="1"/>
  <c r="F592" i="1" l="1"/>
  <c r="G592" i="1" s="1"/>
  <c r="H591" i="1"/>
  <c r="AT592" i="1"/>
  <c r="AS591" i="1"/>
  <c r="F593" i="1" l="1"/>
  <c r="G593" i="1" s="1"/>
  <c r="H592" i="1"/>
  <c r="AT593" i="1"/>
  <c r="AS592" i="1"/>
  <c r="F594" i="1" l="1"/>
  <c r="G594" i="1" s="1"/>
  <c r="H593" i="1"/>
  <c r="AT594" i="1"/>
  <c r="AS593" i="1"/>
  <c r="F595" i="1" l="1"/>
  <c r="G595" i="1" s="1"/>
  <c r="H594" i="1"/>
  <c r="AT595" i="1"/>
  <c r="AS594" i="1"/>
  <c r="F596" i="1" l="1"/>
  <c r="G596" i="1" s="1"/>
  <c r="H595" i="1"/>
  <c r="AT596" i="1"/>
  <c r="AS595" i="1"/>
  <c r="F597" i="1" l="1"/>
  <c r="G597" i="1" s="1"/>
  <c r="H596" i="1"/>
  <c r="AT597" i="1"/>
  <c r="AS596" i="1"/>
  <c r="F598" i="1" l="1"/>
  <c r="G598" i="1" s="1"/>
  <c r="H597" i="1"/>
  <c r="AT598" i="1"/>
  <c r="AS597" i="1"/>
  <c r="F599" i="1" l="1"/>
  <c r="G599" i="1" s="1"/>
  <c r="H598" i="1"/>
  <c r="AT599" i="1"/>
  <c r="AS598" i="1"/>
  <c r="F600" i="1" l="1"/>
  <c r="G600" i="1" s="1"/>
  <c r="H599" i="1"/>
  <c r="AT600" i="1"/>
  <c r="AS599" i="1"/>
  <c r="F601" i="1" l="1"/>
  <c r="G601" i="1" s="1"/>
  <c r="H600" i="1"/>
  <c r="AT601" i="1"/>
  <c r="AS600" i="1"/>
  <c r="F602" i="1" l="1"/>
  <c r="G602" i="1" s="1"/>
  <c r="H601" i="1"/>
  <c r="AT602" i="1"/>
  <c r="AS601" i="1"/>
  <c r="F603" i="1" l="1"/>
  <c r="G603" i="1" s="1"/>
  <c r="H602" i="1"/>
  <c r="AT603" i="1"/>
  <c r="AS602" i="1"/>
  <c r="F604" i="1" l="1"/>
  <c r="G604" i="1" s="1"/>
  <c r="H603" i="1"/>
  <c r="AT604" i="1"/>
  <c r="AS603" i="1"/>
  <c r="F605" i="1" l="1"/>
  <c r="G605" i="1" s="1"/>
  <c r="H604" i="1"/>
  <c r="AT605" i="1"/>
  <c r="AS604" i="1"/>
  <c r="F606" i="1" l="1"/>
  <c r="G606" i="1" s="1"/>
  <c r="H605" i="1"/>
  <c r="AT606" i="1"/>
  <c r="AS605" i="1"/>
  <c r="F607" i="1" l="1"/>
  <c r="G607" i="1" s="1"/>
  <c r="H606" i="1"/>
  <c r="AT607" i="1"/>
  <c r="AS606" i="1"/>
  <c r="F608" i="1" l="1"/>
  <c r="G608" i="1" s="1"/>
  <c r="H607" i="1"/>
  <c r="AT608" i="1"/>
  <c r="AS607" i="1"/>
  <c r="F609" i="1" l="1"/>
  <c r="G609" i="1" s="1"/>
  <c r="H608" i="1"/>
  <c r="AT609" i="1"/>
  <c r="AS608" i="1"/>
  <c r="F610" i="1" l="1"/>
  <c r="G610" i="1" s="1"/>
  <c r="H609" i="1"/>
  <c r="AT610" i="1"/>
  <c r="AS609" i="1"/>
  <c r="F611" i="1" l="1"/>
  <c r="G611" i="1" s="1"/>
  <c r="H610" i="1"/>
  <c r="AT611" i="1"/>
  <c r="AS610" i="1"/>
  <c r="F612" i="1" l="1"/>
  <c r="G612" i="1" s="1"/>
  <c r="H611" i="1"/>
  <c r="AT612" i="1"/>
  <c r="AS611" i="1"/>
  <c r="F613" i="1" l="1"/>
  <c r="G613" i="1" s="1"/>
  <c r="H612" i="1"/>
  <c r="AT613" i="1"/>
  <c r="AS612" i="1"/>
  <c r="F614" i="1" l="1"/>
  <c r="G614" i="1" s="1"/>
  <c r="H613" i="1"/>
  <c r="AT614" i="1"/>
  <c r="AS613" i="1"/>
  <c r="F615" i="1" l="1"/>
  <c r="G615" i="1" s="1"/>
  <c r="H614" i="1"/>
  <c r="AT615" i="1"/>
  <c r="AS614" i="1"/>
  <c r="F616" i="1" l="1"/>
  <c r="G616" i="1" s="1"/>
  <c r="H615" i="1"/>
  <c r="AT616" i="1"/>
  <c r="AS615" i="1"/>
  <c r="F617" i="1" l="1"/>
  <c r="G617" i="1" s="1"/>
  <c r="H616" i="1"/>
  <c r="AT617" i="1"/>
  <c r="AS616" i="1"/>
  <c r="F618" i="1" l="1"/>
  <c r="G618" i="1" s="1"/>
  <c r="H617" i="1"/>
  <c r="AT618" i="1"/>
  <c r="AS617" i="1"/>
  <c r="F619" i="1" l="1"/>
  <c r="G619" i="1" s="1"/>
  <c r="H618" i="1"/>
  <c r="AT619" i="1"/>
  <c r="AS618" i="1"/>
  <c r="F620" i="1" l="1"/>
  <c r="G620" i="1" s="1"/>
  <c r="H619" i="1"/>
  <c r="AT620" i="1"/>
  <c r="AS619" i="1"/>
  <c r="F621" i="1" l="1"/>
  <c r="G621" i="1" s="1"/>
  <c r="H620" i="1"/>
  <c r="AT621" i="1"/>
  <c r="AS620" i="1"/>
  <c r="F622" i="1" l="1"/>
  <c r="G622" i="1" s="1"/>
  <c r="H621" i="1"/>
  <c r="AT622" i="1"/>
  <c r="AS621" i="1"/>
  <c r="F623" i="1" l="1"/>
  <c r="G623" i="1" s="1"/>
  <c r="H622" i="1"/>
  <c r="AT623" i="1"/>
  <c r="AS622" i="1"/>
  <c r="F624" i="1" l="1"/>
  <c r="G624" i="1" s="1"/>
  <c r="H623" i="1"/>
  <c r="AT624" i="1"/>
  <c r="AS623" i="1"/>
  <c r="F625" i="1" l="1"/>
  <c r="G625" i="1" s="1"/>
  <c r="H624" i="1"/>
  <c r="AT625" i="1"/>
  <c r="AS624" i="1"/>
  <c r="F626" i="1" l="1"/>
  <c r="G626" i="1" s="1"/>
  <c r="H625" i="1"/>
  <c r="AT626" i="1"/>
  <c r="AS625" i="1"/>
  <c r="F627" i="1" l="1"/>
  <c r="G627" i="1" s="1"/>
  <c r="H626" i="1"/>
  <c r="AT627" i="1"/>
  <c r="AS626" i="1"/>
  <c r="F628" i="1" l="1"/>
  <c r="G628" i="1" s="1"/>
  <c r="H627" i="1"/>
  <c r="AT628" i="1"/>
  <c r="AS627" i="1"/>
  <c r="F629" i="1" l="1"/>
  <c r="G629" i="1" s="1"/>
  <c r="H628" i="1"/>
  <c r="AT629" i="1"/>
  <c r="AS628" i="1"/>
  <c r="F630" i="1" l="1"/>
  <c r="G630" i="1" s="1"/>
  <c r="H629" i="1"/>
  <c r="AT630" i="1"/>
  <c r="AS629" i="1"/>
  <c r="F631" i="1" l="1"/>
  <c r="G631" i="1" s="1"/>
  <c r="H630" i="1"/>
  <c r="AT631" i="1"/>
  <c r="AS630" i="1"/>
  <c r="F632" i="1" l="1"/>
  <c r="G632" i="1" s="1"/>
  <c r="H631" i="1"/>
  <c r="AT632" i="1"/>
  <c r="AS631" i="1"/>
  <c r="F633" i="1" l="1"/>
  <c r="G633" i="1" s="1"/>
  <c r="H632" i="1"/>
  <c r="AT633" i="1"/>
  <c r="AS632" i="1"/>
  <c r="F634" i="1" l="1"/>
  <c r="G634" i="1" s="1"/>
  <c r="H633" i="1"/>
  <c r="AT634" i="1"/>
  <c r="AS633" i="1"/>
  <c r="F635" i="1" l="1"/>
  <c r="G635" i="1" s="1"/>
  <c r="H634" i="1"/>
  <c r="AT635" i="1"/>
  <c r="AS634" i="1"/>
  <c r="F636" i="1" l="1"/>
  <c r="G636" i="1" s="1"/>
  <c r="H635" i="1"/>
  <c r="AT636" i="1"/>
  <c r="AS635" i="1"/>
  <c r="F637" i="1" l="1"/>
  <c r="G637" i="1" s="1"/>
  <c r="H636" i="1"/>
  <c r="AT637" i="1"/>
  <c r="AS636" i="1"/>
  <c r="F638" i="1" l="1"/>
  <c r="G638" i="1" s="1"/>
  <c r="H637" i="1"/>
  <c r="AT638" i="1"/>
  <c r="AS637" i="1"/>
  <c r="F639" i="1" l="1"/>
  <c r="G639" i="1" s="1"/>
  <c r="H638" i="1"/>
  <c r="AT639" i="1"/>
  <c r="AS638" i="1"/>
  <c r="F640" i="1" l="1"/>
  <c r="G640" i="1" s="1"/>
  <c r="H639" i="1"/>
  <c r="AT640" i="1"/>
  <c r="AS639" i="1"/>
  <c r="F641" i="1" l="1"/>
  <c r="G641" i="1" s="1"/>
  <c r="H640" i="1"/>
  <c r="AT641" i="1"/>
  <c r="AS640" i="1"/>
  <c r="F642" i="1" l="1"/>
  <c r="G642" i="1" s="1"/>
  <c r="H641" i="1"/>
  <c r="AT642" i="1"/>
  <c r="AS641" i="1"/>
  <c r="F643" i="1" l="1"/>
  <c r="G643" i="1" s="1"/>
  <c r="H642" i="1"/>
  <c r="AT643" i="1"/>
  <c r="AS642" i="1"/>
  <c r="F644" i="1" l="1"/>
  <c r="G644" i="1" s="1"/>
  <c r="H643" i="1"/>
  <c r="AT644" i="1"/>
  <c r="AS643" i="1"/>
  <c r="F645" i="1" l="1"/>
  <c r="G645" i="1" s="1"/>
  <c r="H644" i="1"/>
  <c r="AT645" i="1"/>
  <c r="AS644" i="1"/>
  <c r="F646" i="1" l="1"/>
  <c r="G646" i="1" s="1"/>
  <c r="H645" i="1"/>
  <c r="AT646" i="1"/>
  <c r="AS645" i="1"/>
  <c r="F647" i="1" l="1"/>
  <c r="G647" i="1" s="1"/>
  <c r="H646" i="1"/>
  <c r="AT647" i="1"/>
  <c r="AS646" i="1"/>
  <c r="F648" i="1" l="1"/>
  <c r="G648" i="1" s="1"/>
  <c r="H647" i="1"/>
  <c r="AT648" i="1"/>
  <c r="AS647" i="1"/>
  <c r="F649" i="1" l="1"/>
  <c r="G649" i="1" s="1"/>
  <c r="H648" i="1"/>
  <c r="AT649" i="1"/>
  <c r="AS648" i="1"/>
  <c r="F650" i="1" l="1"/>
  <c r="G650" i="1" s="1"/>
  <c r="H649" i="1"/>
  <c r="AT650" i="1"/>
  <c r="AS649" i="1"/>
  <c r="F651" i="1" l="1"/>
  <c r="G651" i="1" s="1"/>
  <c r="H650" i="1"/>
  <c r="AT651" i="1"/>
  <c r="AS650" i="1"/>
  <c r="F652" i="1" l="1"/>
  <c r="G652" i="1" s="1"/>
  <c r="H651" i="1"/>
  <c r="AT652" i="1"/>
  <c r="AS651" i="1"/>
  <c r="F653" i="1" l="1"/>
  <c r="G653" i="1" s="1"/>
  <c r="H652" i="1"/>
  <c r="AT653" i="1"/>
  <c r="AS652" i="1"/>
  <c r="F654" i="1" l="1"/>
  <c r="G654" i="1" s="1"/>
  <c r="H653" i="1"/>
  <c r="AT654" i="1"/>
  <c r="AS653" i="1"/>
  <c r="F655" i="1" l="1"/>
  <c r="G655" i="1" s="1"/>
  <c r="H654" i="1"/>
  <c r="AT655" i="1"/>
  <c r="AS654" i="1"/>
  <c r="F656" i="1" l="1"/>
  <c r="G656" i="1" s="1"/>
  <c r="H655" i="1"/>
  <c r="AT656" i="1"/>
  <c r="AS655" i="1"/>
  <c r="F657" i="1" l="1"/>
  <c r="G657" i="1" s="1"/>
  <c r="H656" i="1"/>
  <c r="AT657" i="1"/>
  <c r="AS656" i="1"/>
  <c r="F658" i="1" l="1"/>
  <c r="G658" i="1" s="1"/>
  <c r="H657" i="1"/>
  <c r="AT658" i="1"/>
  <c r="AS657" i="1"/>
  <c r="F659" i="1" l="1"/>
  <c r="G659" i="1" s="1"/>
  <c r="H658" i="1"/>
  <c r="AT659" i="1"/>
  <c r="AS658" i="1"/>
  <c r="F660" i="1" l="1"/>
  <c r="G660" i="1" s="1"/>
  <c r="H659" i="1"/>
  <c r="AT660" i="1"/>
  <c r="AS659" i="1"/>
  <c r="F661" i="1" l="1"/>
  <c r="G661" i="1" s="1"/>
  <c r="H660" i="1"/>
  <c r="AT661" i="1"/>
  <c r="AS660" i="1"/>
  <c r="F662" i="1" l="1"/>
  <c r="G662" i="1" s="1"/>
  <c r="H661" i="1"/>
  <c r="AT662" i="1"/>
  <c r="AS661" i="1"/>
  <c r="F663" i="1" l="1"/>
  <c r="G663" i="1" s="1"/>
  <c r="H662" i="1"/>
  <c r="AT663" i="1"/>
  <c r="AS662" i="1"/>
  <c r="F664" i="1" l="1"/>
  <c r="G664" i="1" s="1"/>
  <c r="H663" i="1"/>
  <c r="AT664" i="1"/>
  <c r="AS663" i="1"/>
  <c r="F665" i="1" l="1"/>
  <c r="G665" i="1" s="1"/>
  <c r="H664" i="1"/>
  <c r="AT665" i="1"/>
  <c r="AS664" i="1"/>
  <c r="F666" i="1" l="1"/>
  <c r="G666" i="1" s="1"/>
  <c r="H665" i="1"/>
  <c r="AT666" i="1"/>
  <c r="AS665" i="1"/>
  <c r="F667" i="1" l="1"/>
  <c r="G667" i="1" s="1"/>
  <c r="H666" i="1"/>
  <c r="AT667" i="1"/>
  <c r="AS666" i="1"/>
  <c r="F668" i="1" l="1"/>
  <c r="G668" i="1" s="1"/>
  <c r="H667" i="1"/>
  <c r="AT668" i="1"/>
  <c r="AS667" i="1"/>
  <c r="F669" i="1" l="1"/>
  <c r="G669" i="1" s="1"/>
  <c r="H668" i="1"/>
  <c r="AT669" i="1"/>
  <c r="AS668" i="1"/>
  <c r="F670" i="1" l="1"/>
  <c r="G670" i="1" s="1"/>
  <c r="H669" i="1"/>
  <c r="AT670" i="1"/>
  <c r="AS669" i="1"/>
  <c r="F671" i="1" l="1"/>
  <c r="G671" i="1" s="1"/>
  <c r="H670" i="1"/>
  <c r="AT671" i="1"/>
  <c r="AS670" i="1"/>
  <c r="F672" i="1" l="1"/>
  <c r="G672" i="1" s="1"/>
  <c r="H671" i="1"/>
  <c r="AT672" i="1"/>
  <c r="AS671" i="1"/>
  <c r="F673" i="1" l="1"/>
  <c r="G673" i="1" s="1"/>
  <c r="H672" i="1"/>
  <c r="AT673" i="1"/>
  <c r="AS672" i="1"/>
  <c r="F674" i="1" l="1"/>
  <c r="G674" i="1" s="1"/>
  <c r="H673" i="1"/>
  <c r="AT674" i="1"/>
  <c r="AS673" i="1"/>
  <c r="F675" i="1" l="1"/>
  <c r="G675" i="1" s="1"/>
  <c r="H674" i="1"/>
  <c r="AT675" i="1"/>
  <c r="AS674" i="1"/>
  <c r="F676" i="1" l="1"/>
  <c r="G676" i="1" s="1"/>
  <c r="H675" i="1"/>
  <c r="AT676" i="1"/>
  <c r="AS675" i="1"/>
  <c r="F677" i="1" l="1"/>
  <c r="G677" i="1" s="1"/>
  <c r="H676" i="1"/>
  <c r="AT677" i="1"/>
  <c r="AS676" i="1"/>
  <c r="F678" i="1" l="1"/>
  <c r="G678" i="1" s="1"/>
  <c r="H677" i="1"/>
  <c r="AT678" i="1"/>
  <c r="AS677" i="1"/>
  <c r="F679" i="1" l="1"/>
  <c r="G679" i="1" s="1"/>
  <c r="H678" i="1"/>
  <c r="AT679" i="1"/>
  <c r="AS678" i="1"/>
  <c r="F680" i="1" l="1"/>
  <c r="G680" i="1" s="1"/>
  <c r="H679" i="1"/>
  <c r="AT680" i="1"/>
  <c r="AS679" i="1"/>
  <c r="F681" i="1" l="1"/>
  <c r="G681" i="1" s="1"/>
  <c r="H680" i="1"/>
  <c r="AT681" i="1"/>
  <c r="AS680" i="1"/>
  <c r="F682" i="1" l="1"/>
  <c r="G682" i="1" s="1"/>
  <c r="H681" i="1"/>
  <c r="AT682" i="1"/>
  <c r="AS681" i="1"/>
  <c r="F683" i="1" l="1"/>
  <c r="G683" i="1" s="1"/>
  <c r="H682" i="1"/>
  <c r="AT683" i="1"/>
  <c r="AS682" i="1"/>
  <c r="F684" i="1" l="1"/>
  <c r="G684" i="1" s="1"/>
  <c r="H683" i="1"/>
  <c r="AT684" i="1"/>
  <c r="AS683" i="1"/>
  <c r="F685" i="1" l="1"/>
  <c r="G685" i="1" s="1"/>
  <c r="H684" i="1"/>
  <c r="AT685" i="1"/>
  <c r="AS684" i="1"/>
  <c r="F686" i="1" l="1"/>
  <c r="G686" i="1" s="1"/>
  <c r="H685" i="1"/>
  <c r="AT686" i="1"/>
  <c r="AS685" i="1"/>
  <c r="F687" i="1" l="1"/>
  <c r="H686" i="1"/>
  <c r="AT687" i="1"/>
  <c r="AS686" i="1"/>
  <c r="G687" i="1" l="1"/>
  <c r="H687" i="1" s="1"/>
  <c r="F688" i="1"/>
  <c r="G688" i="1" s="1"/>
  <c r="AT688" i="1"/>
  <c r="AS687" i="1"/>
  <c r="F689" i="1" l="1"/>
  <c r="G689" i="1" s="1"/>
  <c r="H688" i="1"/>
  <c r="AT689" i="1"/>
  <c r="AS688" i="1"/>
  <c r="F690" i="1" l="1"/>
  <c r="G690" i="1" s="1"/>
  <c r="H689" i="1"/>
  <c r="AT690" i="1"/>
  <c r="AS689" i="1"/>
  <c r="F691" i="1" l="1"/>
  <c r="G691" i="1" s="1"/>
  <c r="H690" i="1"/>
  <c r="AT691" i="1"/>
  <c r="AS690" i="1"/>
  <c r="F692" i="1" l="1"/>
  <c r="G692" i="1" s="1"/>
  <c r="H691" i="1"/>
  <c r="AT692" i="1"/>
  <c r="AS691" i="1"/>
  <c r="F693" i="1" l="1"/>
  <c r="G693" i="1" s="1"/>
  <c r="H692" i="1"/>
  <c r="AT693" i="1"/>
  <c r="AS692" i="1"/>
  <c r="F694" i="1" l="1"/>
  <c r="G694" i="1" s="1"/>
  <c r="H693" i="1"/>
  <c r="AT694" i="1"/>
  <c r="AS693" i="1"/>
  <c r="F695" i="1" l="1"/>
  <c r="G695" i="1" s="1"/>
  <c r="H694" i="1"/>
  <c r="AT695" i="1"/>
  <c r="AS694" i="1"/>
  <c r="F696" i="1" l="1"/>
  <c r="G696" i="1" s="1"/>
  <c r="H695" i="1"/>
  <c r="AT696" i="1"/>
  <c r="AS695" i="1"/>
  <c r="F697" i="1" l="1"/>
  <c r="G697" i="1" s="1"/>
  <c r="H696" i="1"/>
  <c r="AT697" i="1"/>
  <c r="AS696" i="1"/>
  <c r="F698" i="1" l="1"/>
  <c r="G698" i="1" s="1"/>
  <c r="H697" i="1"/>
  <c r="AT698" i="1"/>
  <c r="AS697" i="1"/>
  <c r="F699" i="1" l="1"/>
  <c r="G699" i="1" s="1"/>
  <c r="H698" i="1"/>
  <c r="AT699" i="1"/>
  <c r="AS698" i="1"/>
  <c r="F700" i="1" l="1"/>
  <c r="G700" i="1" s="1"/>
  <c r="H699" i="1"/>
  <c r="AT700" i="1"/>
  <c r="AS699" i="1"/>
  <c r="F701" i="1" l="1"/>
  <c r="G701" i="1" s="1"/>
  <c r="H700" i="1"/>
  <c r="AT701" i="1"/>
  <c r="AS700" i="1"/>
  <c r="F702" i="1" l="1"/>
  <c r="G702" i="1" s="1"/>
  <c r="H701" i="1"/>
  <c r="AT702" i="1"/>
  <c r="AS701" i="1"/>
  <c r="F703" i="1" l="1"/>
  <c r="G703" i="1" s="1"/>
  <c r="H702" i="1"/>
  <c r="AT703" i="1"/>
  <c r="AS702" i="1"/>
  <c r="F704" i="1" l="1"/>
  <c r="G704" i="1" s="1"/>
  <c r="H703" i="1"/>
  <c r="AT704" i="1"/>
  <c r="AS703" i="1"/>
  <c r="F705" i="1" l="1"/>
  <c r="G705" i="1" s="1"/>
  <c r="H704" i="1"/>
  <c r="AT705" i="1"/>
  <c r="AS704" i="1"/>
  <c r="F706" i="1" l="1"/>
  <c r="G706" i="1" s="1"/>
  <c r="H705" i="1"/>
  <c r="AT706" i="1"/>
  <c r="AS705" i="1"/>
  <c r="F707" i="1" l="1"/>
  <c r="G707" i="1" s="1"/>
  <c r="H706" i="1"/>
  <c r="AT707" i="1"/>
  <c r="AS706" i="1"/>
  <c r="F708" i="1" l="1"/>
  <c r="G708" i="1" s="1"/>
  <c r="H707" i="1"/>
  <c r="AT708" i="1"/>
  <c r="AS707" i="1"/>
  <c r="F709" i="1" l="1"/>
  <c r="G709" i="1" s="1"/>
  <c r="H708" i="1"/>
  <c r="AT709" i="1"/>
  <c r="AS708" i="1"/>
  <c r="F710" i="1" l="1"/>
  <c r="G710" i="1" s="1"/>
  <c r="H709" i="1"/>
  <c r="AT710" i="1"/>
  <c r="AS709" i="1"/>
  <c r="F711" i="1" l="1"/>
  <c r="G711" i="1" s="1"/>
  <c r="H710" i="1"/>
  <c r="AT711" i="1"/>
  <c r="AS710" i="1"/>
  <c r="F712" i="1" l="1"/>
  <c r="G712" i="1" s="1"/>
  <c r="H711" i="1"/>
  <c r="AT712" i="1"/>
  <c r="AS711" i="1"/>
  <c r="F713" i="1" l="1"/>
  <c r="G713" i="1" s="1"/>
  <c r="H712" i="1"/>
  <c r="AT713" i="1"/>
  <c r="AS712" i="1"/>
  <c r="F714" i="1" l="1"/>
  <c r="G714" i="1" s="1"/>
  <c r="H713" i="1"/>
  <c r="AT714" i="1"/>
  <c r="AS713" i="1"/>
  <c r="F715" i="1" l="1"/>
  <c r="G715" i="1" s="1"/>
  <c r="H714" i="1"/>
  <c r="AT715" i="1"/>
  <c r="AS714" i="1"/>
  <c r="F716" i="1" l="1"/>
  <c r="G716" i="1" s="1"/>
  <c r="H715" i="1"/>
  <c r="AT716" i="1"/>
  <c r="AS715" i="1"/>
  <c r="F717" i="1" l="1"/>
  <c r="G717" i="1" s="1"/>
  <c r="H716" i="1"/>
  <c r="AT717" i="1"/>
  <c r="AS716" i="1"/>
  <c r="F718" i="1" l="1"/>
  <c r="G718" i="1" s="1"/>
  <c r="H717" i="1"/>
  <c r="AT718" i="1"/>
  <c r="AS717" i="1"/>
  <c r="F719" i="1" l="1"/>
  <c r="G719" i="1" s="1"/>
  <c r="H718" i="1"/>
  <c r="AT719" i="1"/>
  <c r="AS718" i="1"/>
  <c r="F720" i="1" l="1"/>
  <c r="G720" i="1" s="1"/>
  <c r="H719" i="1"/>
  <c r="AT720" i="1"/>
  <c r="AS719" i="1"/>
  <c r="F721" i="1" l="1"/>
  <c r="G721" i="1" s="1"/>
  <c r="H720" i="1"/>
  <c r="AT721" i="1"/>
  <c r="AS720" i="1"/>
  <c r="F722" i="1" l="1"/>
  <c r="G722" i="1" s="1"/>
  <c r="H721" i="1"/>
  <c r="AT722" i="1"/>
  <c r="AS721" i="1"/>
  <c r="F723" i="1" l="1"/>
  <c r="G723" i="1" s="1"/>
  <c r="H722" i="1"/>
  <c r="AT723" i="1"/>
  <c r="AS722" i="1"/>
  <c r="F724" i="1" l="1"/>
  <c r="G724" i="1" s="1"/>
  <c r="H723" i="1"/>
  <c r="AT724" i="1"/>
  <c r="AS723" i="1"/>
  <c r="F725" i="1" l="1"/>
  <c r="G725" i="1" s="1"/>
  <c r="H724" i="1"/>
  <c r="AT725" i="1"/>
  <c r="AS724" i="1"/>
  <c r="F726" i="1" l="1"/>
  <c r="G726" i="1" s="1"/>
  <c r="H725" i="1"/>
  <c r="AT726" i="1"/>
  <c r="AS725" i="1"/>
  <c r="F727" i="1" l="1"/>
  <c r="G727" i="1" s="1"/>
  <c r="H726" i="1"/>
  <c r="AT727" i="1"/>
  <c r="AS726" i="1"/>
  <c r="F728" i="1" l="1"/>
  <c r="G728" i="1" s="1"/>
  <c r="H727" i="1"/>
  <c r="AT728" i="1"/>
  <c r="AS727" i="1"/>
  <c r="F729" i="1" l="1"/>
  <c r="G729" i="1" s="1"/>
  <c r="H728" i="1"/>
  <c r="AT729" i="1"/>
  <c r="AS728" i="1"/>
  <c r="F730" i="1" l="1"/>
  <c r="G730" i="1" s="1"/>
  <c r="H729" i="1"/>
  <c r="AT730" i="1"/>
  <c r="AS729" i="1"/>
  <c r="F731" i="1" l="1"/>
  <c r="G731" i="1" s="1"/>
  <c r="H730" i="1"/>
  <c r="AT731" i="1"/>
  <c r="AS730" i="1"/>
  <c r="F732" i="1" l="1"/>
  <c r="G732" i="1" s="1"/>
  <c r="H731" i="1"/>
  <c r="AT732" i="1"/>
  <c r="AS731" i="1"/>
  <c r="F733" i="1" l="1"/>
  <c r="G733" i="1" s="1"/>
  <c r="H732" i="1"/>
  <c r="AT733" i="1"/>
  <c r="AS732" i="1"/>
  <c r="F734" i="1" l="1"/>
  <c r="G734" i="1" s="1"/>
  <c r="H733" i="1"/>
  <c r="AT734" i="1"/>
  <c r="AS733" i="1"/>
  <c r="F735" i="1" l="1"/>
  <c r="G735" i="1" s="1"/>
  <c r="H734" i="1"/>
  <c r="AT735" i="1"/>
  <c r="AS734" i="1"/>
  <c r="F736" i="1" l="1"/>
  <c r="H735" i="1"/>
  <c r="AT736" i="1"/>
  <c r="AS735" i="1"/>
  <c r="G736" i="1" l="1"/>
  <c r="H736" i="1" s="1"/>
  <c r="F737" i="1"/>
  <c r="G737" i="1" s="1"/>
  <c r="AT737" i="1"/>
  <c r="AS736" i="1"/>
  <c r="F738" i="1" l="1"/>
  <c r="G738" i="1" s="1"/>
  <c r="H737" i="1"/>
  <c r="AT738" i="1"/>
  <c r="AS737" i="1"/>
  <c r="F739" i="1" l="1"/>
  <c r="G739" i="1" s="1"/>
  <c r="H738" i="1"/>
  <c r="AT739" i="1"/>
  <c r="AS738" i="1"/>
  <c r="F740" i="1" l="1"/>
  <c r="G740" i="1" s="1"/>
  <c r="H739" i="1"/>
  <c r="AT740" i="1"/>
  <c r="AS739" i="1"/>
  <c r="F741" i="1" l="1"/>
  <c r="G741" i="1" s="1"/>
  <c r="H740" i="1"/>
  <c r="AT741" i="1"/>
  <c r="AS740" i="1"/>
  <c r="F742" i="1" l="1"/>
  <c r="G742" i="1" s="1"/>
  <c r="H741" i="1"/>
  <c r="AT742" i="1"/>
  <c r="AS741" i="1"/>
  <c r="F743" i="1" l="1"/>
  <c r="G743" i="1" s="1"/>
  <c r="H742" i="1"/>
  <c r="AT743" i="1"/>
  <c r="AS742" i="1"/>
  <c r="F744" i="1" l="1"/>
  <c r="G744" i="1" s="1"/>
  <c r="H743" i="1"/>
  <c r="AT744" i="1"/>
  <c r="AS743" i="1"/>
  <c r="F745" i="1" l="1"/>
  <c r="G745" i="1" s="1"/>
  <c r="H744" i="1"/>
  <c r="AT745" i="1"/>
  <c r="AS744" i="1"/>
  <c r="F746" i="1" l="1"/>
  <c r="G746" i="1" s="1"/>
  <c r="H745" i="1"/>
  <c r="AT746" i="1"/>
  <c r="AS745" i="1"/>
  <c r="F747" i="1" l="1"/>
  <c r="G747" i="1" s="1"/>
  <c r="H746" i="1"/>
  <c r="AT747" i="1"/>
  <c r="AS746" i="1"/>
  <c r="F748" i="1" l="1"/>
  <c r="G748" i="1" s="1"/>
  <c r="H747" i="1"/>
  <c r="AT748" i="1"/>
  <c r="AS747" i="1"/>
  <c r="F749" i="1" l="1"/>
  <c r="G749" i="1" s="1"/>
  <c r="H748" i="1"/>
  <c r="AT749" i="1"/>
  <c r="AS748" i="1"/>
  <c r="F750" i="1" l="1"/>
  <c r="G750" i="1" s="1"/>
  <c r="H749" i="1"/>
  <c r="AT750" i="1"/>
  <c r="AS749" i="1"/>
  <c r="F751" i="1" l="1"/>
  <c r="G751" i="1" s="1"/>
  <c r="H750" i="1"/>
  <c r="AT751" i="1"/>
  <c r="AS750" i="1"/>
  <c r="F752" i="1" l="1"/>
  <c r="G752" i="1" s="1"/>
  <c r="H751" i="1"/>
  <c r="AT752" i="1"/>
  <c r="AS751" i="1"/>
  <c r="F753" i="1" l="1"/>
  <c r="G753" i="1" s="1"/>
  <c r="H752" i="1"/>
  <c r="AT753" i="1"/>
  <c r="AS752" i="1"/>
  <c r="F754" i="1" l="1"/>
  <c r="G754" i="1" s="1"/>
  <c r="H753" i="1"/>
  <c r="AT754" i="1"/>
  <c r="AS753" i="1"/>
  <c r="F755" i="1" l="1"/>
  <c r="G755" i="1" s="1"/>
  <c r="H754" i="1"/>
  <c r="AT755" i="1"/>
  <c r="AS754" i="1"/>
  <c r="F756" i="1" l="1"/>
  <c r="G756" i="1" s="1"/>
  <c r="H755" i="1"/>
  <c r="AT756" i="1"/>
  <c r="AS755" i="1"/>
  <c r="F757" i="1" l="1"/>
  <c r="G757" i="1" s="1"/>
  <c r="H756" i="1"/>
  <c r="AT757" i="1"/>
  <c r="AS756" i="1"/>
  <c r="F758" i="1" l="1"/>
  <c r="G758" i="1" s="1"/>
  <c r="H757" i="1"/>
  <c r="AT758" i="1"/>
  <c r="AS757" i="1"/>
  <c r="F759" i="1" l="1"/>
  <c r="G759" i="1" s="1"/>
  <c r="H758" i="1"/>
  <c r="AT759" i="1"/>
  <c r="AS758" i="1"/>
  <c r="F760" i="1" l="1"/>
  <c r="H759" i="1"/>
  <c r="AT760" i="1"/>
  <c r="AS759" i="1"/>
  <c r="G760" i="1" l="1"/>
  <c r="H760" i="1" s="1"/>
  <c r="F761" i="1"/>
  <c r="G761" i="1" s="1"/>
  <c r="AT761" i="1"/>
  <c r="AS760" i="1"/>
  <c r="F762" i="1" l="1"/>
  <c r="G762" i="1" s="1"/>
  <c r="H761" i="1"/>
  <c r="AT762" i="1"/>
  <c r="AS761" i="1"/>
  <c r="F763" i="1" l="1"/>
  <c r="G763" i="1" s="1"/>
  <c r="H762" i="1"/>
  <c r="AT763" i="1"/>
  <c r="AS762" i="1"/>
  <c r="F764" i="1" l="1"/>
  <c r="G764" i="1" s="1"/>
  <c r="H763" i="1"/>
  <c r="AT764" i="1"/>
  <c r="AS763" i="1"/>
  <c r="F765" i="1" l="1"/>
  <c r="G765" i="1" s="1"/>
  <c r="H764" i="1"/>
  <c r="AT765" i="1"/>
  <c r="AS764" i="1"/>
  <c r="F766" i="1" l="1"/>
  <c r="G766" i="1" s="1"/>
  <c r="H765" i="1"/>
  <c r="AT766" i="1"/>
  <c r="AS765" i="1"/>
  <c r="F767" i="1" l="1"/>
  <c r="G767" i="1" s="1"/>
  <c r="H766" i="1"/>
  <c r="AT767" i="1"/>
  <c r="AS766" i="1"/>
  <c r="F768" i="1" l="1"/>
  <c r="G768" i="1" s="1"/>
  <c r="H767" i="1"/>
  <c r="AT768" i="1"/>
  <c r="AS767" i="1"/>
  <c r="F769" i="1" l="1"/>
  <c r="G769" i="1" s="1"/>
  <c r="H768" i="1"/>
  <c r="AT769" i="1"/>
  <c r="AS768" i="1"/>
  <c r="F770" i="1" l="1"/>
  <c r="G770" i="1" s="1"/>
  <c r="H769" i="1"/>
  <c r="AT770" i="1"/>
  <c r="AS769" i="1"/>
  <c r="F771" i="1" l="1"/>
  <c r="G771" i="1" s="1"/>
  <c r="H770" i="1"/>
  <c r="AT771" i="1"/>
  <c r="AS770" i="1"/>
  <c r="F772" i="1" l="1"/>
  <c r="H771" i="1"/>
  <c r="AT772" i="1"/>
  <c r="AS771" i="1"/>
  <c r="G772" i="1" l="1"/>
  <c r="H772" i="1" s="1"/>
  <c r="F773" i="1"/>
  <c r="G773" i="1" s="1"/>
  <c r="AT773" i="1"/>
  <c r="AS772" i="1"/>
  <c r="F774" i="1" l="1"/>
  <c r="G774" i="1" s="1"/>
  <c r="H773" i="1"/>
  <c r="AT774" i="1"/>
  <c r="AS773" i="1"/>
  <c r="F775" i="1" l="1"/>
  <c r="G775" i="1" s="1"/>
  <c r="H774" i="1"/>
  <c r="AT775" i="1"/>
  <c r="AS774" i="1"/>
  <c r="F776" i="1" l="1"/>
  <c r="G776" i="1" s="1"/>
  <c r="H775" i="1"/>
  <c r="AT776" i="1"/>
  <c r="AS775" i="1"/>
  <c r="F777" i="1" l="1"/>
  <c r="G777" i="1" s="1"/>
  <c r="H776" i="1"/>
  <c r="AT777" i="1"/>
  <c r="AS776" i="1"/>
  <c r="F778" i="1" l="1"/>
  <c r="H777" i="1"/>
  <c r="AT778" i="1"/>
  <c r="AS777" i="1"/>
  <c r="G778" i="1" l="1"/>
  <c r="H778" i="1" s="1"/>
  <c r="F779" i="1"/>
  <c r="G779" i="1" s="1"/>
  <c r="AT779" i="1"/>
  <c r="AS778" i="1"/>
  <c r="F780" i="1" l="1"/>
  <c r="G780" i="1" s="1"/>
  <c r="H779" i="1"/>
  <c r="AT780" i="1"/>
  <c r="AS779" i="1"/>
  <c r="F781" i="1" l="1"/>
  <c r="G781" i="1" s="1"/>
  <c r="H780" i="1"/>
  <c r="AT781" i="1"/>
  <c r="AS780" i="1"/>
  <c r="F782" i="1" l="1"/>
  <c r="G782" i="1" s="1"/>
  <c r="H781" i="1"/>
  <c r="AT782" i="1"/>
  <c r="AS781" i="1"/>
  <c r="F783" i="1" l="1"/>
  <c r="G783" i="1" s="1"/>
  <c r="H782" i="1"/>
  <c r="AT783" i="1"/>
  <c r="AS782" i="1"/>
  <c r="F784" i="1" l="1"/>
  <c r="H783" i="1"/>
  <c r="AT784" i="1"/>
  <c r="AS783" i="1"/>
  <c r="G784" i="1" l="1"/>
  <c r="H784" i="1" s="1"/>
  <c r="U4" i="1" s="1"/>
  <c r="R4" i="1"/>
  <c r="AT785" i="1"/>
  <c r="AS784" i="1"/>
  <c r="R5" i="1" l="1"/>
  <c r="AT786" i="1"/>
  <c r="AS785" i="1"/>
  <c r="S5" i="1" l="1"/>
  <c r="R6" i="1"/>
  <c r="AT787" i="1"/>
  <c r="AS786" i="1"/>
  <c r="T5" i="1" l="1"/>
  <c r="R7" i="1"/>
  <c r="S6" i="1"/>
  <c r="T6" i="1" s="1"/>
  <c r="AT788" i="1"/>
  <c r="AS787" i="1"/>
  <c r="R8" i="1" l="1"/>
  <c r="R9" i="1" s="1"/>
  <c r="U5" i="1"/>
  <c r="U6" i="1" s="1"/>
  <c r="S7" i="1"/>
  <c r="T7" i="1" s="1"/>
  <c r="AT789" i="1"/>
  <c r="AS788" i="1"/>
  <c r="U7" i="1" l="1"/>
  <c r="S8" i="1"/>
  <c r="T8" i="1" s="1"/>
  <c r="R10" i="1"/>
  <c r="AT790" i="1"/>
  <c r="AS789" i="1"/>
  <c r="U8" i="1" l="1"/>
  <c r="S9" i="1"/>
  <c r="T9" i="1" s="1"/>
  <c r="R11" i="1"/>
  <c r="AT791" i="1"/>
  <c r="AS790" i="1"/>
  <c r="U9" i="1" l="1"/>
  <c r="S10" i="1"/>
  <c r="T10" i="1" s="1"/>
  <c r="R12" i="1"/>
  <c r="AT792" i="1"/>
  <c r="AS791" i="1"/>
  <c r="U10" i="1" l="1"/>
  <c r="R13" i="1"/>
  <c r="S11" i="1"/>
  <c r="T11" i="1" s="1"/>
  <c r="AT793" i="1"/>
  <c r="AS792" i="1"/>
  <c r="R14" i="1" l="1"/>
  <c r="R15" i="1" s="1"/>
  <c r="U11" i="1"/>
  <c r="S12" i="1"/>
  <c r="T12" i="1" s="1"/>
  <c r="AT794" i="1"/>
  <c r="AS793" i="1"/>
  <c r="U12" i="1" l="1"/>
  <c r="S13" i="1"/>
  <c r="T13" i="1" s="1"/>
  <c r="R16" i="1"/>
  <c r="AT795" i="1"/>
  <c r="AS794" i="1"/>
  <c r="U13" i="1" l="1"/>
  <c r="S14" i="1"/>
  <c r="T14" i="1" s="1"/>
  <c r="R17" i="1"/>
  <c r="AT796" i="1"/>
  <c r="AS795" i="1"/>
  <c r="U14" i="1" l="1"/>
  <c r="S15" i="1"/>
  <c r="T15" i="1" s="1"/>
  <c r="R18" i="1"/>
  <c r="AT797" i="1"/>
  <c r="AS796" i="1"/>
  <c r="U15" i="1" l="1"/>
  <c r="S16" i="1"/>
  <c r="T16" i="1" s="1"/>
  <c r="R19" i="1"/>
  <c r="AT798" i="1"/>
  <c r="AS797" i="1"/>
  <c r="U16" i="1" l="1"/>
  <c r="S17" i="1"/>
  <c r="T17" i="1" s="1"/>
  <c r="R20" i="1"/>
  <c r="AT799" i="1"/>
  <c r="AS798" i="1"/>
  <c r="U17" i="1" l="1"/>
  <c r="S18" i="1"/>
  <c r="T18" i="1" s="1"/>
  <c r="R21" i="1"/>
  <c r="AT800" i="1"/>
  <c r="AS799" i="1"/>
  <c r="U18" i="1" l="1"/>
  <c r="S19" i="1"/>
  <c r="T19" i="1" s="1"/>
  <c r="R22" i="1"/>
  <c r="AT801" i="1"/>
  <c r="AS800" i="1"/>
  <c r="U19" i="1" l="1"/>
  <c r="S20" i="1"/>
  <c r="T20" i="1" s="1"/>
  <c r="R23" i="1"/>
  <c r="AT802" i="1"/>
  <c r="AS801" i="1"/>
  <c r="U20" i="1" l="1"/>
  <c r="S21" i="1"/>
  <c r="T21" i="1" s="1"/>
  <c r="R24" i="1"/>
  <c r="AT803" i="1"/>
  <c r="AS802" i="1"/>
  <c r="U21" i="1" l="1"/>
  <c r="S22" i="1"/>
  <c r="T22" i="1" s="1"/>
  <c r="R25" i="1"/>
  <c r="AT804" i="1"/>
  <c r="AS803" i="1"/>
  <c r="U22" i="1" l="1"/>
  <c r="S23" i="1"/>
  <c r="T23" i="1" s="1"/>
  <c r="R26" i="1"/>
  <c r="AT805" i="1"/>
  <c r="AS804" i="1"/>
  <c r="U23" i="1" l="1"/>
  <c r="S24" i="1"/>
  <c r="T24" i="1" s="1"/>
  <c r="R27" i="1"/>
  <c r="AT806" i="1"/>
  <c r="AS805" i="1"/>
  <c r="U24" i="1" l="1"/>
  <c r="S25" i="1"/>
  <c r="T25" i="1" s="1"/>
  <c r="R28" i="1"/>
  <c r="AT807" i="1"/>
  <c r="AS806" i="1"/>
  <c r="U25" i="1" l="1"/>
  <c r="S26" i="1"/>
  <c r="T26" i="1" s="1"/>
  <c r="R29" i="1"/>
  <c r="AT808" i="1"/>
  <c r="AS807" i="1"/>
  <c r="U26" i="1" l="1"/>
  <c r="S27" i="1"/>
  <c r="T27" i="1" s="1"/>
  <c r="R30" i="1"/>
  <c r="AT809" i="1"/>
  <c r="AS808" i="1"/>
  <c r="U27" i="1" l="1"/>
  <c r="S28" i="1"/>
  <c r="T28" i="1" s="1"/>
  <c r="R31" i="1"/>
  <c r="AT810" i="1"/>
  <c r="AS809" i="1"/>
  <c r="U28" i="1" l="1"/>
  <c r="S29" i="1"/>
  <c r="T29" i="1" s="1"/>
  <c r="R32" i="1"/>
  <c r="AT811" i="1"/>
  <c r="AS810" i="1"/>
  <c r="U29" i="1" l="1"/>
  <c r="S30" i="1"/>
  <c r="T30" i="1" s="1"/>
  <c r="R33" i="1"/>
  <c r="AT812" i="1"/>
  <c r="AS811" i="1"/>
  <c r="U30" i="1" l="1"/>
  <c r="S31" i="1"/>
  <c r="T31" i="1" s="1"/>
  <c r="R34" i="1"/>
  <c r="AT813" i="1"/>
  <c r="AS812" i="1"/>
  <c r="U31" i="1" l="1"/>
  <c r="S32" i="1"/>
  <c r="T32" i="1" s="1"/>
  <c r="R35" i="1"/>
  <c r="AT814" i="1"/>
  <c r="AS813" i="1"/>
  <c r="U32" i="1" l="1"/>
  <c r="S33" i="1"/>
  <c r="T33" i="1" s="1"/>
  <c r="R36" i="1"/>
  <c r="AT815" i="1"/>
  <c r="AS814" i="1"/>
  <c r="U33" i="1" l="1"/>
  <c r="S34" i="1"/>
  <c r="T34" i="1" s="1"/>
  <c r="R37" i="1"/>
  <c r="AT816" i="1"/>
  <c r="AS815" i="1"/>
  <c r="U34" i="1" l="1"/>
  <c r="S35" i="1"/>
  <c r="T35" i="1" s="1"/>
  <c r="R38" i="1"/>
  <c r="AT817" i="1"/>
  <c r="AS816" i="1"/>
  <c r="U35" i="1" l="1"/>
  <c r="S36" i="1"/>
  <c r="T36" i="1" s="1"/>
  <c r="R39" i="1"/>
  <c r="AT818" i="1"/>
  <c r="AS817" i="1"/>
  <c r="U36" i="1" l="1"/>
  <c r="S37" i="1"/>
  <c r="T37" i="1" s="1"/>
  <c r="R40" i="1"/>
  <c r="AT819" i="1"/>
  <c r="AS818" i="1"/>
  <c r="U37" i="1" l="1"/>
  <c r="S38" i="1"/>
  <c r="T38" i="1" s="1"/>
  <c r="R41" i="1"/>
  <c r="AT820" i="1"/>
  <c r="AS819" i="1"/>
  <c r="U38" i="1" l="1"/>
  <c r="S39" i="1"/>
  <c r="T39" i="1" s="1"/>
  <c r="R42" i="1"/>
  <c r="AT821" i="1"/>
  <c r="AS820" i="1"/>
  <c r="U39" i="1" l="1"/>
  <c r="S40" i="1"/>
  <c r="T40" i="1" s="1"/>
  <c r="R43" i="1"/>
  <c r="AT822" i="1"/>
  <c r="AS821" i="1"/>
  <c r="U40" i="1" l="1"/>
  <c r="S41" i="1"/>
  <c r="T41" i="1" s="1"/>
  <c r="R44" i="1"/>
  <c r="AT823" i="1"/>
  <c r="AS822" i="1"/>
  <c r="U41" i="1" l="1"/>
  <c r="S42" i="1"/>
  <c r="T42" i="1" s="1"/>
  <c r="R45" i="1"/>
  <c r="AT824" i="1"/>
  <c r="AS823" i="1"/>
  <c r="U42" i="1" l="1"/>
  <c r="S43" i="1"/>
  <c r="T43" i="1" s="1"/>
  <c r="R46" i="1"/>
  <c r="AT825" i="1"/>
  <c r="AS824" i="1"/>
  <c r="U43" i="1" l="1"/>
  <c r="S44" i="1"/>
  <c r="T44" i="1" s="1"/>
  <c r="R47" i="1"/>
  <c r="AT826" i="1"/>
  <c r="AS825" i="1"/>
  <c r="U44" i="1" l="1"/>
  <c r="S45" i="1"/>
  <c r="T45" i="1" s="1"/>
  <c r="R48" i="1"/>
  <c r="AT827" i="1"/>
  <c r="AS826" i="1"/>
  <c r="U45" i="1" l="1"/>
  <c r="S46" i="1"/>
  <c r="T46" i="1" s="1"/>
  <c r="R49" i="1"/>
  <c r="AT828" i="1"/>
  <c r="AS827" i="1"/>
  <c r="U46" i="1" l="1"/>
  <c r="S47" i="1"/>
  <c r="T47" i="1" s="1"/>
  <c r="R50" i="1"/>
  <c r="AT829" i="1"/>
  <c r="AS828" i="1"/>
  <c r="U47" i="1" l="1"/>
  <c r="S48" i="1"/>
  <c r="T48" i="1" s="1"/>
  <c r="R51" i="1"/>
  <c r="AT830" i="1"/>
  <c r="AS829" i="1"/>
  <c r="U48" i="1" l="1"/>
  <c r="S49" i="1"/>
  <c r="T49" i="1" s="1"/>
  <c r="R52" i="1"/>
  <c r="AT831" i="1"/>
  <c r="AS830" i="1"/>
  <c r="U49" i="1" l="1"/>
  <c r="S50" i="1"/>
  <c r="T50" i="1" s="1"/>
  <c r="R53" i="1"/>
  <c r="AT832" i="1"/>
  <c r="AS831" i="1"/>
  <c r="U50" i="1" l="1"/>
  <c r="S51" i="1"/>
  <c r="T51" i="1" s="1"/>
  <c r="R54" i="1"/>
  <c r="AT833" i="1"/>
  <c r="AS832" i="1"/>
  <c r="U51" i="1" l="1"/>
  <c r="S52" i="1"/>
  <c r="T52" i="1" s="1"/>
  <c r="R55" i="1"/>
  <c r="AT834" i="1"/>
  <c r="AS833" i="1"/>
  <c r="U52" i="1" l="1"/>
  <c r="S53" i="1"/>
  <c r="T53" i="1" s="1"/>
  <c r="R56" i="1"/>
  <c r="AT835" i="1"/>
  <c r="AS834" i="1"/>
  <c r="U53" i="1" l="1"/>
  <c r="S54" i="1"/>
  <c r="T54" i="1" s="1"/>
  <c r="R57" i="1"/>
  <c r="AT836" i="1"/>
  <c r="AS835" i="1"/>
  <c r="U54" i="1" l="1"/>
  <c r="S55" i="1"/>
  <c r="T55" i="1" s="1"/>
  <c r="R58" i="1"/>
  <c r="AT837" i="1"/>
  <c r="AS836" i="1"/>
  <c r="U55" i="1" l="1"/>
  <c r="S56" i="1"/>
  <c r="T56" i="1" s="1"/>
  <c r="R59" i="1"/>
  <c r="AT838" i="1"/>
  <c r="AS837" i="1"/>
  <c r="U56" i="1" l="1"/>
  <c r="S57" i="1"/>
  <c r="T57" i="1" s="1"/>
  <c r="R60" i="1"/>
  <c r="AT839" i="1"/>
  <c r="AS838" i="1"/>
  <c r="U57" i="1" l="1"/>
  <c r="S58" i="1"/>
  <c r="T58" i="1" s="1"/>
  <c r="R61" i="1"/>
  <c r="AT840" i="1"/>
  <c r="AS839" i="1"/>
  <c r="U58" i="1" l="1"/>
  <c r="S59" i="1"/>
  <c r="T59" i="1" s="1"/>
  <c r="R62" i="1"/>
  <c r="AT841" i="1"/>
  <c r="AS840" i="1"/>
  <c r="U59" i="1" l="1"/>
  <c r="S60" i="1"/>
  <c r="T60" i="1" s="1"/>
  <c r="R63" i="1"/>
  <c r="AT842" i="1"/>
  <c r="AS841" i="1"/>
  <c r="U60" i="1" l="1"/>
  <c r="S61" i="1"/>
  <c r="T61" i="1" s="1"/>
  <c r="R64" i="1"/>
  <c r="AT843" i="1"/>
  <c r="AS842" i="1"/>
  <c r="U61" i="1" l="1"/>
  <c r="S62" i="1"/>
  <c r="T62" i="1" s="1"/>
  <c r="R65" i="1"/>
  <c r="AT844" i="1"/>
  <c r="AS843" i="1"/>
  <c r="U62" i="1" l="1"/>
  <c r="S63" i="1"/>
  <c r="T63" i="1" s="1"/>
  <c r="R66" i="1"/>
  <c r="AT845" i="1"/>
  <c r="AS844" i="1"/>
  <c r="U63" i="1" l="1"/>
  <c r="S64" i="1"/>
  <c r="T64" i="1" s="1"/>
  <c r="R67" i="1"/>
  <c r="AT846" i="1"/>
  <c r="AS845" i="1"/>
  <c r="U64" i="1" l="1"/>
  <c r="S65" i="1"/>
  <c r="T65" i="1" s="1"/>
  <c r="R68" i="1"/>
  <c r="AT847" i="1"/>
  <c r="AS846" i="1"/>
  <c r="U65" i="1" l="1"/>
  <c r="S66" i="1"/>
  <c r="T66" i="1" s="1"/>
  <c r="R69" i="1"/>
  <c r="AT848" i="1"/>
  <c r="AS847" i="1"/>
  <c r="U66" i="1" l="1"/>
  <c r="S67" i="1"/>
  <c r="T67" i="1" s="1"/>
  <c r="R70" i="1"/>
  <c r="AT849" i="1"/>
  <c r="AS848" i="1"/>
  <c r="U67" i="1" l="1"/>
  <c r="S68" i="1"/>
  <c r="T68" i="1" s="1"/>
  <c r="R71" i="1"/>
  <c r="AT850" i="1"/>
  <c r="AS849" i="1"/>
  <c r="U68" i="1" l="1"/>
  <c r="S69" i="1"/>
  <c r="T69" i="1" s="1"/>
  <c r="R72" i="1"/>
  <c r="AT851" i="1"/>
  <c r="AS850" i="1"/>
  <c r="U69" i="1" l="1"/>
  <c r="S70" i="1"/>
  <c r="T70" i="1" s="1"/>
  <c r="R73" i="1"/>
  <c r="AT852" i="1"/>
  <c r="AS851" i="1"/>
  <c r="U70" i="1" l="1"/>
  <c r="S71" i="1"/>
  <c r="T71" i="1" s="1"/>
  <c r="R74" i="1"/>
  <c r="AT853" i="1"/>
  <c r="AS852" i="1"/>
  <c r="U71" i="1" l="1"/>
  <c r="S72" i="1"/>
  <c r="T72" i="1" s="1"/>
  <c r="R75" i="1"/>
  <c r="AT854" i="1"/>
  <c r="AS853" i="1"/>
  <c r="U72" i="1" l="1"/>
  <c r="S73" i="1"/>
  <c r="T73" i="1" s="1"/>
  <c r="R76" i="1"/>
  <c r="AT855" i="1"/>
  <c r="AS854" i="1"/>
  <c r="U73" i="1" l="1"/>
  <c r="S74" i="1"/>
  <c r="T74" i="1" s="1"/>
  <c r="R77" i="1"/>
  <c r="AT856" i="1"/>
  <c r="AS855" i="1"/>
  <c r="U74" i="1" l="1"/>
  <c r="S75" i="1"/>
  <c r="T75" i="1" s="1"/>
  <c r="R78" i="1"/>
  <c r="AT857" i="1"/>
  <c r="AS856" i="1"/>
  <c r="U75" i="1" l="1"/>
  <c r="S76" i="1"/>
  <c r="T76" i="1" s="1"/>
  <c r="R79" i="1"/>
  <c r="AT858" i="1"/>
  <c r="AS857" i="1"/>
  <c r="U76" i="1" l="1"/>
  <c r="S77" i="1"/>
  <c r="T77" i="1" s="1"/>
  <c r="R80" i="1"/>
  <c r="AT859" i="1"/>
  <c r="AS858" i="1"/>
  <c r="U77" i="1" l="1"/>
  <c r="S78" i="1"/>
  <c r="T78" i="1" s="1"/>
  <c r="R81" i="1"/>
  <c r="AT860" i="1"/>
  <c r="AS859" i="1"/>
  <c r="U78" i="1" l="1"/>
  <c r="S79" i="1"/>
  <c r="T79" i="1" s="1"/>
  <c r="R82" i="1"/>
  <c r="AT861" i="1"/>
  <c r="AS860" i="1"/>
  <c r="U79" i="1" l="1"/>
  <c r="S80" i="1"/>
  <c r="T80" i="1" s="1"/>
  <c r="R83" i="1"/>
  <c r="AT862" i="1"/>
  <c r="AS861" i="1"/>
  <c r="U80" i="1" l="1"/>
  <c r="S81" i="1"/>
  <c r="T81" i="1" s="1"/>
  <c r="R84" i="1"/>
  <c r="AT863" i="1"/>
  <c r="AS862" i="1"/>
  <c r="U81" i="1" l="1"/>
  <c r="S82" i="1"/>
  <c r="T82" i="1" s="1"/>
  <c r="R85" i="1"/>
  <c r="AT864" i="1"/>
  <c r="AS863" i="1"/>
  <c r="U82" i="1" l="1"/>
  <c r="S83" i="1"/>
  <c r="T83" i="1" s="1"/>
  <c r="R86" i="1"/>
  <c r="AT865" i="1"/>
  <c r="AS864" i="1"/>
  <c r="U83" i="1" l="1"/>
  <c r="S84" i="1"/>
  <c r="T84" i="1" s="1"/>
  <c r="R87" i="1"/>
  <c r="AT866" i="1"/>
  <c r="AS865" i="1"/>
  <c r="U84" i="1" l="1"/>
  <c r="S85" i="1"/>
  <c r="T85" i="1" s="1"/>
  <c r="R88" i="1"/>
  <c r="AT867" i="1"/>
  <c r="AS866" i="1"/>
  <c r="U85" i="1" l="1"/>
  <c r="S86" i="1"/>
  <c r="T86" i="1" s="1"/>
  <c r="R89" i="1"/>
  <c r="AT868" i="1"/>
  <c r="AS867" i="1"/>
  <c r="U86" i="1" l="1"/>
  <c r="S87" i="1"/>
  <c r="T87" i="1" s="1"/>
  <c r="R90" i="1"/>
  <c r="AT869" i="1"/>
  <c r="AS868" i="1"/>
  <c r="U87" i="1" l="1"/>
  <c r="S88" i="1"/>
  <c r="T88" i="1" s="1"/>
  <c r="R91" i="1"/>
  <c r="AT870" i="1"/>
  <c r="AS869" i="1"/>
  <c r="U88" i="1" l="1"/>
  <c r="S89" i="1"/>
  <c r="T89" i="1" s="1"/>
  <c r="R92" i="1"/>
  <c r="AT871" i="1"/>
  <c r="AS870" i="1"/>
  <c r="U89" i="1" l="1"/>
  <c r="S90" i="1"/>
  <c r="T90" i="1" s="1"/>
  <c r="R93" i="1"/>
  <c r="AT872" i="1"/>
  <c r="AS871" i="1"/>
  <c r="U90" i="1" l="1"/>
  <c r="S91" i="1"/>
  <c r="T91" i="1" s="1"/>
  <c r="R94" i="1"/>
  <c r="AT873" i="1"/>
  <c r="AS872" i="1"/>
  <c r="U91" i="1" l="1"/>
  <c r="S92" i="1"/>
  <c r="T92" i="1" s="1"/>
  <c r="R95" i="1"/>
  <c r="AT874" i="1"/>
  <c r="AS873" i="1"/>
  <c r="U92" i="1" l="1"/>
  <c r="S93" i="1"/>
  <c r="T93" i="1" s="1"/>
  <c r="R96" i="1"/>
  <c r="AT875" i="1"/>
  <c r="AS874" i="1"/>
  <c r="U93" i="1" l="1"/>
  <c r="S94" i="1"/>
  <c r="T94" i="1" s="1"/>
  <c r="R97" i="1"/>
  <c r="AT876" i="1"/>
  <c r="AS875" i="1"/>
  <c r="U94" i="1" l="1"/>
  <c r="S95" i="1"/>
  <c r="T95" i="1" s="1"/>
  <c r="R98" i="1"/>
  <c r="AT877" i="1"/>
  <c r="AS876" i="1"/>
  <c r="U95" i="1" l="1"/>
  <c r="S96" i="1"/>
  <c r="T96" i="1" s="1"/>
  <c r="R99" i="1"/>
  <c r="AT878" i="1"/>
  <c r="AS877" i="1"/>
  <c r="U96" i="1" l="1"/>
  <c r="S97" i="1"/>
  <c r="T97" i="1" s="1"/>
  <c r="R100" i="1"/>
  <c r="AT879" i="1"/>
  <c r="AS878" i="1"/>
  <c r="U97" i="1" l="1"/>
  <c r="S98" i="1"/>
  <c r="T98" i="1" s="1"/>
  <c r="R101" i="1"/>
  <c r="AT880" i="1"/>
  <c r="AS879" i="1"/>
  <c r="U98" i="1" l="1"/>
  <c r="S99" i="1"/>
  <c r="T99" i="1" s="1"/>
  <c r="R102" i="1"/>
  <c r="AT881" i="1"/>
  <c r="AS880" i="1"/>
  <c r="U99" i="1" l="1"/>
  <c r="S100" i="1"/>
  <c r="T100" i="1" s="1"/>
  <c r="R103" i="1"/>
  <c r="AT882" i="1"/>
  <c r="AS881" i="1"/>
  <c r="U100" i="1" l="1"/>
  <c r="S101" i="1"/>
  <c r="T101" i="1" s="1"/>
  <c r="R104" i="1"/>
  <c r="AT883" i="1"/>
  <c r="AS882" i="1"/>
  <c r="U101" i="1" l="1"/>
  <c r="S102" i="1"/>
  <c r="T102" i="1" s="1"/>
  <c r="R105" i="1"/>
  <c r="AT884" i="1"/>
  <c r="AS883" i="1"/>
  <c r="U102" i="1" l="1"/>
  <c r="S103" i="1"/>
  <c r="T103" i="1" s="1"/>
  <c r="R106" i="1"/>
  <c r="AT885" i="1"/>
  <c r="AS884" i="1"/>
  <c r="U103" i="1" l="1"/>
  <c r="S104" i="1"/>
  <c r="T104" i="1" s="1"/>
  <c r="R107" i="1"/>
  <c r="AT886" i="1"/>
  <c r="AS885" i="1"/>
  <c r="U104" i="1" l="1"/>
  <c r="S105" i="1"/>
  <c r="T105" i="1" s="1"/>
  <c r="R108" i="1"/>
  <c r="AT887" i="1"/>
  <c r="AS886" i="1"/>
  <c r="U105" i="1" l="1"/>
  <c r="S106" i="1"/>
  <c r="T106" i="1" s="1"/>
  <c r="R109" i="1"/>
  <c r="AT888" i="1"/>
  <c r="AS887" i="1"/>
  <c r="U106" i="1" l="1"/>
  <c r="S107" i="1"/>
  <c r="T107" i="1" s="1"/>
  <c r="R110" i="1"/>
  <c r="AT889" i="1"/>
  <c r="AS888" i="1"/>
  <c r="U107" i="1" l="1"/>
  <c r="S108" i="1"/>
  <c r="T108" i="1" s="1"/>
  <c r="R111" i="1"/>
  <c r="AT890" i="1"/>
  <c r="AS889" i="1"/>
  <c r="U108" i="1" l="1"/>
  <c r="S109" i="1"/>
  <c r="T109" i="1" s="1"/>
  <c r="R112" i="1"/>
  <c r="AT891" i="1"/>
  <c r="AS890" i="1"/>
  <c r="U109" i="1" l="1"/>
  <c r="S110" i="1"/>
  <c r="T110" i="1" s="1"/>
  <c r="R113" i="1"/>
  <c r="AT892" i="1"/>
  <c r="AS891" i="1"/>
  <c r="U110" i="1" l="1"/>
  <c r="S111" i="1"/>
  <c r="T111" i="1" s="1"/>
  <c r="R114" i="1"/>
  <c r="AT893" i="1"/>
  <c r="AS892" i="1"/>
  <c r="U111" i="1" l="1"/>
  <c r="S112" i="1"/>
  <c r="T112" i="1" s="1"/>
  <c r="R115" i="1"/>
  <c r="AT894" i="1"/>
  <c r="AS893" i="1"/>
  <c r="U112" i="1" l="1"/>
  <c r="S113" i="1"/>
  <c r="T113" i="1" s="1"/>
  <c r="R116" i="1"/>
  <c r="AT895" i="1"/>
  <c r="AS894" i="1"/>
  <c r="U113" i="1" l="1"/>
  <c r="S114" i="1"/>
  <c r="T114" i="1" s="1"/>
  <c r="R117" i="1"/>
  <c r="AT896" i="1"/>
  <c r="AS895" i="1"/>
  <c r="U114" i="1" l="1"/>
  <c r="S115" i="1"/>
  <c r="T115" i="1" s="1"/>
  <c r="R118" i="1"/>
  <c r="AT897" i="1"/>
  <c r="AS896" i="1"/>
  <c r="U115" i="1" l="1"/>
  <c r="S116" i="1"/>
  <c r="T116" i="1" s="1"/>
  <c r="R119" i="1"/>
  <c r="AT898" i="1"/>
  <c r="AS897" i="1"/>
  <c r="U116" i="1" l="1"/>
  <c r="S117" i="1"/>
  <c r="T117" i="1" s="1"/>
  <c r="R120" i="1"/>
  <c r="AT899" i="1"/>
  <c r="AS898" i="1"/>
  <c r="U117" i="1" l="1"/>
  <c r="S118" i="1"/>
  <c r="T118" i="1" s="1"/>
  <c r="R121" i="1"/>
  <c r="AT900" i="1"/>
  <c r="AS899" i="1"/>
  <c r="U118" i="1" l="1"/>
  <c r="S119" i="1"/>
  <c r="T119" i="1" s="1"/>
  <c r="R122" i="1"/>
  <c r="AT901" i="1"/>
  <c r="AS900" i="1"/>
  <c r="U119" i="1" l="1"/>
  <c r="S120" i="1"/>
  <c r="T120" i="1" s="1"/>
  <c r="R123" i="1"/>
  <c r="AT902" i="1"/>
  <c r="AS901" i="1"/>
  <c r="U120" i="1" l="1"/>
  <c r="S121" i="1"/>
  <c r="T121" i="1" s="1"/>
  <c r="R124" i="1"/>
  <c r="AT903" i="1"/>
  <c r="AS902" i="1"/>
  <c r="U121" i="1" l="1"/>
  <c r="S122" i="1"/>
  <c r="T122" i="1" s="1"/>
  <c r="R125" i="1"/>
  <c r="AT904" i="1"/>
  <c r="AS903" i="1"/>
  <c r="U122" i="1" l="1"/>
  <c r="S123" i="1"/>
  <c r="T123" i="1" s="1"/>
  <c r="R126" i="1"/>
  <c r="AT905" i="1"/>
  <c r="AS904" i="1"/>
  <c r="U123" i="1" l="1"/>
  <c r="S124" i="1"/>
  <c r="T124" i="1" s="1"/>
  <c r="R127" i="1"/>
  <c r="AT906" i="1"/>
  <c r="AS905" i="1"/>
  <c r="U124" i="1" l="1"/>
  <c r="S125" i="1"/>
  <c r="T125" i="1" s="1"/>
  <c r="R128" i="1"/>
  <c r="AT907" i="1"/>
  <c r="AS906" i="1"/>
  <c r="U125" i="1" l="1"/>
  <c r="S126" i="1"/>
  <c r="T126" i="1" s="1"/>
  <c r="R129" i="1"/>
  <c r="AT908" i="1"/>
  <c r="AS907" i="1"/>
  <c r="U126" i="1" l="1"/>
  <c r="S127" i="1"/>
  <c r="T127" i="1" s="1"/>
  <c r="R130" i="1"/>
  <c r="AT909" i="1"/>
  <c r="AS908" i="1"/>
  <c r="U127" i="1" l="1"/>
  <c r="S128" i="1"/>
  <c r="T128" i="1" s="1"/>
  <c r="R131" i="1"/>
  <c r="AT910" i="1"/>
  <c r="AS909" i="1"/>
  <c r="U128" i="1" l="1"/>
  <c r="S129" i="1"/>
  <c r="T129" i="1" s="1"/>
  <c r="R132" i="1"/>
  <c r="AT911" i="1"/>
  <c r="AS910" i="1"/>
  <c r="U129" i="1" l="1"/>
  <c r="S130" i="1"/>
  <c r="T130" i="1" s="1"/>
  <c r="R133" i="1"/>
  <c r="AT912" i="1"/>
  <c r="AS911" i="1"/>
  <c r="U130" i="1" l="1"/>
  <c r="S131" i="1"/>
  <c r="T131" i="1" s="1"/>
  <c r="R134" i="1"/>
  <c r="AT913" i="1"/>
  <c r="AS912" i="1"/>
  <c r="U131" i="1" l="1"/>
  <c r="S132" i="1"/>
  <c r="T132" i="1" s="1"/>
  <c r="R135" i="1"/>
  <c r="AT914" i="1"/>
  <c r="AS913" i="1"/>
  <c r="U132" i="1" l="1"/>
  <c r="S133" i="1"/>
  <c r="T133" i="1" s="1"/>
  <c r="R136" i="1"/>
  <c r="AT915" i="1"/>
  <c r="AS914" i="1"/>
  <c r="U133" i="1" l="1"/>
  <c r="S134" i="1"/>
  <c r="T134" i="1" s="1"/>
  <c r="R137" i="1"/>
  <c r="AT916" i="1"/>
  <c r="AS915" i="1"/>
  <c r="U134" i="1" l="1"/>
  <c r="S135" i="1"/>
  <c r="T135" i="1" s="1"/>
  <c r="R138" i="1"/>
  <c r="AT917" i="1"/>
  <c r="AS916" i="1"/>
  <c r="U135" i="1" l="1"/>
  <c r="S136" i="1"/>
  <c r="T136" i="1" s="1"/>
  <c r="R139" i="1"/>
  <c r="AT918" i="1"/>
  <c r="AS917" i="1"/>
  <c r="U136" i="1" l="1"/>
  <c r="S137" i="1"/>
  <c r="T137" i="1" s="1"/>
  <c r="R140" i="1"/>
  <c r="AT919" i="1"/>
  <c r="AS918" i="1"/>
  <c r="U137" i="1" l="1"/>
  <c r="S138" i="1"/>
  <c r="T138" i="1" s="1"/>
  <c r="R141" i="1"/>
  <c r="AT920" i="1"/>
  <c r="AS919" i="1"/>
  <c r="U138" i="1" l="1"/>
  <c r="S139" i="1"/>
  <c r="T139" i="1" s="1"/>
  <c r="R142" i="1"/>
  <c r="AT921" i="1"/>
  <c r="AS920" i="1"/>
  <c r="U139" i="1" l="1"/>
  <c r="S140" i="1"/>
  <c r="T140" i="1" s="1"/>
  <c r="R143" i="1"/>
  <c r="AT922" i="1"/>
  <c r="AS921" i="1"/>
  <c r="U140" i="1" l="1"/>
  <c r="S141" i="1"/>
  <c r="T141" i="1" s="1"/>
  <c r="R144" i="1"/>
  <c r="AT923" i="1"/>
  <c r="AS922" i="1"/>
  <c r="U141" i="1" l="1"/>
  <c r="S142" i="1"/>
  <c r="T142" i="1" s="1"/>
  <c r="R145" i="1"/>
  <c r="AT924" i="1"/>
  <c r="AS923" i="1"/>
  <c r="U142" i="1" l="1"/>
  <c r="S143" i="1"/>
  <c r="T143" i="1" s="1"/>
  <c r="R146" i="1"/>
  <c r="AT925" i="1"/>
  <c r="AS924" i="1"/>
  <c r="U143" i="1" l="1"/>
  <c r="S144" i="1"/>
  <c r="T144" i="1" s="1"/>
  <c r="R147" i="1"/>
  <c r="AT926" i="1"/>
  <c r="AS925" i="1"/>
  <c r="U144" i="1" l="1"/>
  <c r="S145" i="1"/>
  <c r="T145" i="1" s="1"/>
  <c r="R148" i="1"/>
  <c r="AT927" i="1"/>
  <c r="AS926" i="1"/>
  <c r="U145" i="1" l="1"/>
  <c r="S146" i="1"/>
  <c r="T146" i="1" s="1"/>
  <c r="R149" i="1"/>
  <c r="AT928" i="1"/>
  <c r="AS927" i="1"/>
  <c r="U146" i="1" l="1"/>
  <c r="S147" i="1"/>
  <c r="T147" i="1" s="1"/>
  <c r="R150" i="1"/>
  <c r="AT929" i="1"/>
  <c r="AS928" i="1"/>
  <c r="U147" i="1" l="1"/>
  <c r="S148" i="1"/>
  <c r="T148" i="1" s="1"/>
  <c r="R151" i="1"/>
  <c r="AT930" i="1"/>
  <c r="AS929" i="1"/>
  <c r="U148" i="1" l="1"/>
  <c r="S149" i="1"/>
  <c r="T149" i="1" s="1"/>
  <c r="R152" i="1"/>
  <c r="AT931" i="1"/>
  <c r="AS930" i="1"/>
  <c r="U149" i="1" l="1"/>
  <c r="S150" i="1"/>
  <c r="T150" i="1" s="1"/>
  <c r="R153" i="1"/>
  <c r="AT932" i="1"/>
  <c r="AS931" i="1"/>
  <c r="U150" i="1" l="1"/>
  <c r="S151" i="1"/>
  <c r="T151" i="1" s="1"/>
  <c r="R154" i="1"/>
  <c r="AT933" i="1"/>
  <c r="AS932" i="1"/>
  <c r="U151" i="1" l="1"/>
  <c r="S152" i="1"/>
  <c r="T152" i="1" s="1"/>
  <c r="R155" i="1"/>
  <c r="AT934" i="1"/>
  <c r="AS933" i="1"/>
  <c r="U152" i="1" l="1"/>
  <c r="S153" i="1"/>
  <c r="T153" i="1" s="1"/>
  <c r="R156" i="1"/>
  <c r="AT935" i="1"/>
  <c r="AS934" i="1"/>
  <c r="U153" i="1" l="1"/>
  <c r="S154" i="1"/>
  <c r="T154" i="1" s="1"/>
  <c r="R157" i="1"/>
  <c r="AT936" i="1"/>
  <c r="AS935" i="1"/>
  <c r="U154" i="1" l="1"/>
  <c r="S155" i="1"/>
  <c r="T155" i="1" s="1"/>
  <c r="R158" i="1"/>
  <c r="AT937" i="1"/>
  <c r="AS936" i="1"/>
  <c r="U155" i="1" l="1"/>
  <c r="S156" i="1"/>
  <c r="T156" i="1" s="1"/>
  <c r="R159" i="1"/>
  <c r="AT938" i="1"/>
  <c r="AS937" i="1"/>
  <c r="U156" i="1" l="1"/>
  <c r="S157" i="1"/>
  <c r="T157" i="1" s="1"/>
  <c r="R160" i="1"/>
  <c r="AT939" i="1"/>
  <c r="AS938" i="1"/>
  <c r="U157" i="1" l="1"/>
  <c r="S158" i="1"/>
  <c r="T158" i="1" s="1"/>
  <c r="R161" i="1"/>
  <c r="AT940" i="1"/>
  <c r="AS939" i="1"/>
  <c r="U158" i="1" l="1"/>
  <c r="S159" i="1"/>
  <c r="T159" i="1" s="1"/>
  <c r="R162" i="1"/>
  <c r="AT941" i="1"/>
  <c r="AS940" i="1"/>
  <c r="U159" i="1" l="1"/>
  <c r="S160" i="1"/>
  <c r="T160" i="1" s="1"/>
  <c r="R163" i="1"/>
  <c r="AT942" i="1"/>
  <c r="AS941" i="1"/>
  <c r="U160" i="1" l="1"/>
  <c r="S161" i="1"/>
  <c r="T161" i="1" s="1"/>
  <c r="R164" i="1"/>
  <c r="AT943" i="1"/>
  <c r="AS942" i="1"/>
  <c r="U161" i="1" l="1"/>
  <c r="S162" i="1"/>
  <c r="T162" i="1" s="1"/>
  <c r="R165" i="1"/>
  <c r="AT944" i="1"/>
  <c r="AS943" i="1"/>
  <c r="U162" i="1" l="1"/>
  <c r="S163" i="1"/>
  <c r="T163" i="1" s="1"/>
  <c r="R166" i="1"/>
  <c r="AT945" i="1"/>
  <c r="AS944" i="1"/>
  <c r="U163" i="1" l="1"/>
  <c r="S164" i="1"/>
  <c r="T164" i="1" s="1"/>
  <c r="R167" i="1"/>
  <c r="AT946" i="1"/>
  <c r="AS945" i="1"/>
  <c r="U164" i="1" l="1"/>
  <c r="S165" i="1"/>
  <c r="T165" i="1" s="1"/>
  <c r="R168" i="1"/>
  <c r="AT947" i="1"/>
  <c r="AS946" i="1"/>
  <c r="U165" i="1" l="1"/>
  <c r="S166" i="1"/>
  <c r="T166" i="1" s="1"/>
  <c r="R169" i="1"/>
  <c r="AT948" i="1"/>
  <c r="AS947" i="1"/>
  <c r="U166" i="1" l="1"/>
  <c r="S167" i="1"/>
  <c r="T167" i="1" s="1"/>
  <c r="R170" i="1"/>
  <c r="AT949" i="1"/>
  <c r="AS948" i="1"/>
  <c r="U167" i="1" l="1"/>
  <c r="S168" i="1"/>
  <c r="T168" i="1" s="1"/>
  <c r="R171" i="1"/>
  <c r="AT950" i="1"/>
  <c r="AS949" i="1"/>
  <c r="U168" i="1" l="1"/>
  <c r="S169" i="1"/>
  <c r="T169" i="1" s="1"/>
  <c r="R172" i="1"/>
  <c r="AT951" i="1"/>
  <c r="AS950" i="1"/>
  <c r="U169" i="1" l="1"/>
  <c r="S170" i="1"/>
  <c r="T170" i="1" s="1"/>
  <c r="R173" i="1"/>
  <c r="AT952" i="1"/>
  <c r="AS951" i="1"/>
  <c r="U170" i="1" l="1"/>
  <c r="S171" i="1"/>
  <c r="T171" i="1" s="1"/>
  <c r="R174" i="1"/>
  <c r="AT953" i="1"/>
  <c r="AS952" i="1"/>
  <c r="U171" i="1" l="1"/>
  <c r="S172" i="1"/>
  <c r="T172" i="1" s="1"/>
  <c r="R175" i="1"/>
  <c r="AT954" i="1"/>
  <c r="AS953" i="1"/>
  <c r="U172" i="1" l="1"/>
  <c r="S173" i="1"/>
  <c r="T173" i="1" s="1"/>
  <c r="R176" i="1"/>
  <c r="AT955" i="1"/>
  <c r="AS954" i="1"/>
  <c r="U173" i="1" l="1"/>
  <c r="S174" i="1"/>
  <c r="T174" i="1" s="1"/>
  <c r="R177" i="1"/>
  <c r="AT956" i="1"/>
  <c r="AS955" i="1"/>
  <c r="U174" i="1" l="1"/>
  <c r="S175" i="1"/>
  <c r="T175" i="1" s="1"/>
  <c r="R178" i="1"/>
  <c r="AT957" i="1"/>
  <c r="AS956" i="1"/>
  <c r="U175" i="1" l="1"/>
  <c r="S176" i="1"/>
  <c r="T176" i="1" s="1"/>
  <c r="R179" i="1"/>
  <c r="AT958" i="1"/>
  <c r="AS957" i="1"/>
  <c r="U176" i="1" l="1"/>
  <c r="S177" i="1"/>
  <c r="T177" i="1" s="1"/>
  <c r="R180" i="1"/>
  <c r="AT959" i="1"/>
  <c r="AS958" i="1"/>
  <c r="U177" i="1" l="1"/>
  <c r="S178" i="1"/>
  <c r="T178" i="1" s="1"/>
  <c r="R181" i="1"/>
  <c r="AT960" i="1"/>
  <c r="AS959" i="1"/>
  <c r="U178" i="1" l="1"/>
  <c r="S179" i="1"/>
  <c r="T179" i="1" s="1"/>
  <c r="R182" i="1"/>
  <c r="AT961" i="1"/>
  <c r="AS960" i="1"/>
  <c r="U179" i="1" l="1"/>
  <c r="S180" i="1"/>
  <c r="T180" i="1" s="1"/>
  <c r="R183" i="1"/>
  <c r="AT962" i="1"/>
  <c r="AS961" i="1"/>
  <c r="U180" i="1" l="1"/>
  <c r="S181" i="1"/>
  <c r="T181" i="1" s="1"/>
  <c r="R184" i="1"/>
  <c r="AT963" i="1"/>
  <c r="AS962" i="1"/>
  <c r="U181" i="1" l="1"/>
  <c r="S182" i="1"/>
  <c r="T182" i="1" s="1"/>
  <c r="R185" i="1"/>
  <c r="AT964" i="1"/>
  <c r="AS963" i="1"/>
  <c r="U182" i="1" l="1"/>
  <c r="S183" i="1"/>
  <c r="T183" i="1" s="1"/>
  <c r="R186" i="1"/>
  <c r="AT965" i="1"/>
  <c r="AS964" i="1"/>
  <c r="U183" i="1" l="1"/>
  <c r="S184" i="1"/>
  <c r="T184" i="1" s="1"/>
  <c r="R187" i="1"/>
  <c r="AT966" i="1"/>
  <c r="AS965" i="1"/>
  <c r="U184" i="1" l="1"/>
  <c r="S185" i="1"/>
  <c r="T185" i="1" s="1"/>
  <c r="R188" i="1"/>
  <c r="AT967" i="1"/>
  <c r="AS966" i="1"/>
  <c r="U185" i="1" l="1"/>
  <c r="S186" i="1"/>
  <c r="T186" i="1" s="1"/>
  <c r="R189" i="1"/>
  <c r="AT968" i="1"/>
  <c r="AS967" i="1"/>
  <c r="U186" i="1" l="1"/>
  <c r="S187" i="1"/>
  <c r="T187" i="1" s="1"/>
  <c r="R190" i="1"/>
  <c r="AT969" i="1"/>
  <c r="AS968" i="1"/>
  <c r="U187" i="1" l="1"/>
  <c r="S188" i="1"/>
  <c r="T188" i="1" s="1"/>
  <c r="R191" i="1"/>
  <c r="AT970" i="1"/>
  <c r="AS969" i="1"/>
  <c r="U188" i="1" l="1"/>
  <c r="S189" i="1"/>
  <c r="T189" i="1" s="1"/>
  <c r="R192" i="1"/>
  <c r="AT971" i="1"/>
  <c r="AS970" i="1"/>
  <c r="U189" i="1" l="1"/>
  <c r="S190" i="1"/>
  <c r="T190" i="1" s="1"/>
  <c r="R193" i="1"/>
  <c r="AT972" i="1"/>
  <c r="AS971" i="1"/>
  <c r="U190" i="1" l="1"/>
  <c r="S191" i="1"/>
  <c r="T191" i="1" s="1"/>
  <c r="R194" i="1"/>
  <c r="AT973" i="1"/>
  <c r="AS972" i="1"/>
  <c r="U191" i="1" l="1"/>
  <c r="S192" i="1"/>
  <c r="T192" i="1" s="1"/>
  <c r="R195" i="1"/>
  <c r="AT974" i="1"/>
  <c r="AS973" i="1"/>
  <c r="U192" i="1" l="1"/>
  <c r="S193" i="1"/>
  <c r="T193" i="1" s="1"/>
  <c r="R196" i="1"/>
  <c r="AT975" i="1"/>
  <c r="AS974" i="1"/>
  <c r="U193" i="1" l="1"/>
  <c r="S194" i="1"/>
  <c r="T194" i="1" s="1"/>
  <c r="R197" i="1"/>
  <c r="AT976" i="1"/>
  <c r="AS975" i="1"/>
  <c r="U194" i="1" l="1"/>
  <c r="S195" i="1"/>
  <c r="T195" i="1" s="1"/>
  <c r="R198" i="1"/>
  <c r="AT977" i="1"/>
  <c r="AS976" i="1"/>
  <c r="U195" i="1" l="1"/>
  <c r="S196" i="1"/>
  <c r="T196" i="1" s="1"/>
  <c r="R199" i="1"/>
  <c r="AT978" i="1"/>
  <c r="AS977" i="1"/>
  <c r="U196" i="1" l="1"/>
  <c r="S197" i="1"/>
  <c r="T197" i="1" s="1"/>
  <c r="R200" i="1"/>
  <c r="AT979" i="1"/>
  <c r="AS978" i="1"/>
  <c r="U197" i="1" l="1"/>
  <c r="S198" i="1"/>
  <c r="T198" i="1" s="1"/>
  <c r="R201" i="1"/>
  <c r="AT980" i="1"/>
  <c r="AS979" i="1"/>
  <c r="U198" i="1" l="1"/>
  <c r="S199" i="1"/>
  <c r="T199" i="1" s="1"/>
  <c r="R202" i="1"/>
  <c r="AT981" i="1"/>
  <c r="AS980" i="1"/>
  <c r="U199" i="1" l="1"/>
  <c r="S200" i="1"/>
  <c r="T200" i="1" s="1"/>
  <c r="R203" i="1"/>
  <c r="AT982" i="1"/>
  <c r="AS981" i="1"/>
  <c r="U200" i="1" l="1"/>
  <c r="S201" i="1"/>
  <c r="T201" i="1" s="1"/>
  <c r="R204" i="1"/>
  <c r="AT983" i="1"/>
  <c r="AS982" i="1"/>
  <c r="U201" i="1" l="1"/>
  <c r="S202" i="1"/>
  <c r="T202" i="1" s="1"/>
  <c r="R205" i="1"/>
  <c r="AT984" i="1"/>
  <c r="AS983" i="1"/>
  <c r="U202" i="1" l="1"/>
  <c r="S203" i="1"/>
  <c r="T203" i="1" s="1"/>
  <c r="R206" i="1"/>
  <c r="AT985" i="1"/>
  <c r="AS984" i="1"/>
  <c r="U203" i="1" l="1"/>
  <c r="S204" i="1"/>
  <c r="T204" i="1" s="1"/>
  <c r="R207" i="1"/>
  <c r="AT986" i="1"/>
  <c r="AS985" i="1"/>
  <c r="U204" i="1" l="1"/>
  <c r="S205" i="1"/>
  <c r="T205" i="1" s="1"/>
  <c r="R208" i="1"/>
  <c r="AT987" i="1"/>
  <c r="AS986" i="1"/>
  <c r="U205" i="1" l="1"/>
  <c r="S206" i="1"/>
  <c r="T206" i="1" s="1"/>
  <c r="R209" i="1"/>
  <c r="AT988" i="1"/>
  <c r="AS987" i="1"/>
  <c r="U206" i="1" l="1"/>
  <c r="S207" i="1"/>
  <c r="T207" i="1" s="1"/>
  <c r="R210" i="1"/>
  <c r="AT989" i="1"/>
  <c r="AS988" i="1"/>
  <c r="U207" i="1" l="1"/>
  <c r="S208" i="1"/>
  <c r="T208" i="1" s="1"/>
  <c r="R211" i="1"/>
  <c r="AT990" i="1"/>
  <c r="AS989" i="1"/>
  <c r="U208" i="1" l="1"/>
  <c r="S209" i="1"/>
  <c r="T209" i="1" s="1"/>
  <c r="R212" i="1"/>
  <c r="AT991" i="1"/>
  <c r="AS990" i="1"/>
  <c r="U209" i="1" l="1"/>
  <c r="S210" i="1"/>
  <c r="T210" i="1" s="1"/>
  <c r="R213" i="1"/>
  <c r="AT992" i="1"/>
  <c r="AS991" i="1"/>
  <c r="U210" i="1" l="1"/>
  <c r="S211" i="1"/>
  <c r="T211" i="1" s="1"/>
  <c r="R214" i="1"/>
  <c r="AT993" i="1"/>
  <c r="AS992" i="1"/>
  <c r="U211" i="1" l="1"/>
  <c r="S212" i="1"/>
  <c r="T212" i="1" s="1"/>
  <c r="R215" i="1"/>
  <c r="AT994" i="1"/>
  <c r="AS993" i="1"/>
  <c r="U212" i="1" l="1"/>
  <c r="S213" i="1"/>
  <c r="T213" i="1" s="1"/>
  <c r="R216" i="1"/>
  <c r="AT995" i="1"/>
  <c r="AS994" i="1"/>
  <c r="U213" i="1" l="1"/>
  <c r="S214" i="1"/>
  <c r="T214" i="1" s="1"/>
  <c r="R217" i="1"/>
  <c r="AT996" i="1"/>
  <c r="AS995" i="1"/>
  <c r="U214" i="1" l="1"/>
  <c r="S215" i="1"/>
  <c r="T215" i="1" s="1"/>
  <c r="R218" i="1"/>
  <c r="AT997" i="1"/>
  <c r="AS996" i="1"/>
  <c r="U215" i="1" l="1"/>
  <c r="S216" i="1"/>
  <c r="T216" i="1" s="1"/>
  <c r="R219" i="1"/>
  <c r="AT998" i="1"/>
  <c r="AS997" i="1"/>
  <c r="U216" i="1" l="1"/>
  <c r="S217" i="1"/>
  <c r="T217" i="1" s="1"/>
  <c r="R220" i="1"/>
  <c r="AT999" i="1"/>
  <c r="AS998" i="1"/>
  <c r="U217" i="1" l="1"/>
  <c r="S218" i="1"/>
  <c r="T218" i="1" s="1"/>
  <c r="R221" i="1"/>
  <c r="AT1000" i="1"/>
  <c r="AS999" i="1"/>
  <c r="U218" i="1" l="1"/>
  <c r="S219" i="1"/>
  <c r="T219" i="1" s="1"/>
  <c r="R222" i="1"/>
  <c r="AT1001" i="1"/>
  <c r="AS1000" i="1"/>
  <c r="U219" i="1" l="1"/>
  <c r="S220" i="1"/>
  <c r="T220" i="1" s="1"/>
  <c r="R223" i="1"/>
  <c r="AT1002" i="1"/>
  <c r="AS1001" i="1"/>
  <c r="U220" i="1" l="1"/>
  <c r="S221" i="1"/>
  <c r="T221" i="1" s="1"/>
  <c r="R224" i="1"/>
  <c r="AT1003" i="1"/>
  <c r="AS1002" i="1"/>
  <c r="U221" i="1" l="1"/>
  <c r="S222" i="1"/>
  <c r="T222" i="1" s="1"/>
  <c r="R225" i="1"/>
  <c r="AT1004" i="1"/>
  <c r="AS1003" i="1"/>
  <c r="U222" i="1" l="1"/>
  <c r="S223" i="1"/>
  <c r="T223" i="1" s="1"/>
  <c r="R226" i="1"/>
  <c r="AT1005" i="1"/>
  <c r="AS1004" i="1"/>
  <c r="U223" i="1" l="1"/>
  <c r="S224" i="1"/>
  <c r="T224" i="1" s="1"/>
  <c r="R227" i="1"/>
  <c r="AT1006" i="1"/>
  <c r="AS1005" i="1"/>
  <c r="U224" i="1" l="1"/>
  <c r="S225" i="1"/>
  <c r="T225" i="1" s="1"/>
  <c r="R228" i="1"/>
  <c r="AT1007" i="1"/>
  <c r="AS1006" i="1"/>
  <c r="U225" i="1" l="1"/>
  <c r="S226" i="1"/>
  <c r="T226" i="1" s="1"/>
  <c r="R229" i="1"/>
  <c r="AT1008" i="1"/>
  <c r="AS1007" i="1"/>
  <c r="U226" i="1" l="1"/>
  <c r="S227" i="1"/>
  <c r="T227" i="1" s="1"/>
  <c r="R230" i="1"/>
  <c r="AT1009" i="1"/>
  <c r="AS1008" i="1"/>
  <c r="U227" i="1" l="1"/>
  <c r="S228" i="1"/>
  <c r="T228" i="1" s="1"/>
  <c r="R231" i="1"/>
  <c r="AT1010" i="1"/>
  <c r="AS1009" i="1"/>
  <c r="U228" i="1" l="1"/>
  <c r="S229" i="1"/>
  <c r="T229" i="1" s="1"/>
  <c r="R232" i="1"/>
  <c r="AT1011" i="1"/>
  <c r="AS1010" i="1"/>
  <c r="U229" i="1" l="1"/>
  <c r="S230" i="1"/>
  <c r="T230" i="1" s="1"/>
  <c r="R233" i="1"/>
  <c r="AT1012" i="1"/>
  <c r="AS1011" i="1"/>
  <c r="U230" i="1" l="1"/>
  <c r="S231" i="1"/>
  <c r="T231" i="1" s="1"/>
  <c r="R234" i="1"/>
  <c r="AT1013" i="1"/>
  <c r="AS1012" i="1"/>
  <c r="U231" i="1" l="1"/>
  <c r="S232" i="1"/>
  <c r="T232" i="1" s="1"/>
  <c r="R235" i="1"/>
  <c r="AT1014" i="1"/>
  <c r="AS1013" i="1"/>
  <c r="U232" i="1" l="1"/>
  <c r="S233" i="1"/>
  <c r="T233" i="1" s="1"/>
  <c r="R236" i="1"/>
  <c r="AT1015" i="1"/>
  <c r="AS1014" i="1"/>
  <c r="U233" i="1" l="1"/>
  <c r="S234" i="1"/>
  <c r="T234" i="1" s="1"/>
  <c r="R237" i="1"/>
  <c r="AT1016" i="1"/>
  <c r="AS1015" i="1"/>
  <c r="U234" i="1" l="1"/>
  <c r="S235" i="1"/>
  <c r="T235" i="1" s="1"/>
  <c r="R238" i="1"/>
  <c r="AT1017" i="1"/>
  <c r="AS1016" i="1"/>
  <c r="U235" i="1" l="1"/>
  <c r="S236" i="1"/>
  <c r="T236" i="1" s="1"/>
  <c r="R239" i="1"/>
  <c r="AT1018" i="1"/>
  <c r="AS1017" i="1"/>
  <c r="U236" i="1" l="1"/>
  <c r="S237" i="1"/>
  <c r="T237" i="1" s="1"/>
  <c r="R240" i="1"/>
  <c r="AT1019" i="1"/>
  <c r="AS1018" i="1"/>
  <c r="U237" i="1" l="1"/>
  <c r="S238" i="1"/>
  <c r="T238" i="1" s="1"/>
  <c r="R241" i="1"/>
  <c r="AT1020" i="1"/>
  <c r="AS1019" i="1"/>
  <c r="U238" i="1" l="1"/>
  <c r="S239" i="1"/>
  <c r="T239" i="1" s="1"/>
  <c r="R242" i="1"/>
  <c r="AT1021" i="1"/>
  <c r="AS1020" i="1"/>
  <c r="U239" i="1" l="1"/>
  <c r="S240" i="1"/>
  <c r="T240" i="1" s="1"/>
  <c r="R243" i="1"/>
  <c r="AT1022" i="1"/>
  <c r="AS1021" i="1"/>
  <c r="U240" i="1" l="1"/>
  <c r="S241" i="1"/>
  <c r="T241" i="1" s="1"/>
  <c r="R244" i="1"/>
  <c r="AT1023" i="1"/>
  <c r="AS1022" i="1"/>
  <c r="U241" i="1" l="1"/>
  <c r="S242" i="1"/>
  <c r="T242" i="1" s="1"/>
  <c r="R245" i="1"/>
  <c r="AT1024" i="1"/>
  <c r="AS1023" i="1"/>
  <c r="U242" i="1" l="1"/>
  <c r="S243" i="1"/>
  <c r="T243" i="1" s="1"/>
  <c r="R246" i="1"/>
  <c r="AT1025" i="1"/>
  <c r="AS1024" i="1"/>
  <c r="U243" i="1" l="1"/>
  <c r="S244" i="1"/>
  <c r="T244" i="1" s="1"/>
  <c r="R247" i="1"/>
  <c r="AT1026" i="1"/>
  <c r="AS1025" i="1"/>
  <c r="U244" i="1" l="1"/>
  <c r="S245" i="1"/>
  <c r="T245" i="1" s="1"/>
  <c r="R248" i="1"/>
  <c r="AT1027" i="1"/>
  <c r="AS1026" i="1"/>
  <c r="U245" i="1" l="1"/>
  <c r="S246" i="1"/>
  <c r="T246" i="1" s="1"/>
  <c r="R249" i="1"/>
  <c r="AT1028" i="1"/>
  <c r="AS1027" i="1"/>
  <c r="U246" i="1" l="1"/>
  <c r="S247" i="1"/>
  <c r="T247" i="1" s="1"/>
  <c r="R250" i="1"/>
  <c r="AT1029" i="1"/>
  <c r="AS1028" i="1"/>
  <c r="U247" i="1" l="1"/>
  <c r="S248" i="1"/>
  <c r="T248" i="1" s="1"/>
  <c r="R251" i="1"/>
  <c r="AT1030" i="1"/>
  <c r="AS1029" i="1"/>
  <c r="U248" i="1" l="1"/>
  <c r="S249" i="1"/>
  <c r="T249" i="1" s="1"/>
  <c r="R252" i="1"/>
  <c r="AT1031" i="1"/>
  <c r="AS1030" i="1"/>
  <c r="U249" i="1" l="1"/>
  <c r="S250" i="1"/>
  <c r="T250" i="1" s="1"/>
  <c r="R253" i="1"/>
  <c r="AT1032" i="1"/>
  <c r="AS1031" i="1"/>
  <c r="U250" i="1" l="1"/>
  <c r="S251" i="1"/>
  <c r="T251" i="1" s="1"/>
  <c r="R254" i="1"/>
  <c r="AT1033" i="1"/>
  <c r="AS1032" i="1"/>
  <c r="U251" i="1" l="1"/>
  <c r="S252" i="1"/>
  <c r="T252" i="1" s="1"/>
  <c r="R255" i="1"/>
  <c r="AT1034" i="1"/>
  <c r="AS1033" i="1"/>
  <c r="U252" i="1" l="1"/>
  <c r="S253" i="1"/>
  <c r="T253" i="1" s="1"/>
  <c r="R256" i="1"/>
  <c r="AT1035" i="1"/>
  <c r="AS1034" i="1"/>
  <c r="U253" i="1" l="1"/>
  <c r="S254" i="1"/>
  <c r="T254" i="1" s="1"/>
  <c r="R257" i="1"/>
  <c r="AT1036" i="1"/>
  <c r="AS1035" i="1"/>
  <c r="U254" i="1" l="1"/>
  <c r="S255" i="1"/>
  <c r="T255" i="1" s="1"/>
  <c r="R258" i="1"/>
  <c r="AT1037" i="1"/>
  <c r="AS1036" i="1"/>
  <c r="U255" i="1" l="1"/>
  <c r="S256" i="1"/>
  <c r="T256" i="1" s="1"/>
  <c r="R259" i="1"/>
  <c r="AT1038" i="1"/>
  <c r="AS1037" i="1"/>
  <c r="U256" i="1" l="1"/>
  <c r="S257" i="1"/>
  <c r="T257" i="1" s="1"/>
  <c r="R260" i="1"/>
  <c r="AT1039" i="1"/>
  <c r="AS1038" i="1"/>
  <c r="U257" i="1" l="1"/>
  <c r="S258" i="1"/>
  <c r="T258" i="1" s="1"/>
  <c r="R261" i="1"/>
  <c r="AT1040" i="1"/>
  <c r="AS1039" i="1"/>
  <c r="U258" i="1" l="1"/>
  <c r="S259" i="1"/>
  <c r="T259" i="1" s="1"/>
  <c r="R262" i="1"/>
  <c r="AT1041" i="1"/>
  <c r="AS1040" i="1"/>
  <c r="U259" i="1" l="1"/>
  <c r="S260" i="1"/>
  <c r="T260" i="1" s="1"/>
  <c r="R263" i="1"/>
  <c r="AT1042" i="1"/>
  <c r="AS1041" i="1"/>
  <c r="U260" i="1" l="1"/>
  <c r="S261" i="1"/>
  <c r="T261" i="1" s="1"/>
  <c r="R264" i="1"/>
  <c r="AT1043" i="1"/>
  <c r="AS1042" i="1"/>
  <c r="U261" i="1" l="1"/>
  <c r="S262" i="1"/>
  <c r="T262" i="1" s="1"/>
  <c r="R265" i="1"/>
  <c r="AT1044" i="1"/>
  <c r="AS1043" i="1"/>
  <c r="U262" i="1" l="1"/>
  <c r="S263" i="1"/>
  <c r="T263" i="1" s="1"/>
  <c r="R266" i="1"/>
  <c r="AT1045" i="1"/>
  <c r="AS1044" i="1"/>
  <c r="U263" i="1" l="1"/>
  <c r="S264" i="1"/>
  <c r="T264" i="1" s="1"/>
  <c r="R267" i="1"/>
  <c r="AT1046" i="1"/>
  <c r="AS1045" i="1"/>
  <c r="U264" i="1" l="1"/>
  <c r="S265" i="1"/>
  <c r="T265" i="1" s="1"/>
  <c r="R268" i="1"/>
  <c r="AT1047" i="1"/>
  <c r="AS1046" i="1"/>
  <c r="U265" i="1" l="1"/>
  <c r="S266" i="1"/>
  <c r="T266" i="1" s="1"/>
  <c r="R269" i="1"/>
  <c r="AT1048" i="1"/>
  <c r="AS1047" i="1"/>
  <c r="U266" i="1" l="1"/>
  <c r="S267" i="1"/>
  <c r="T267" i="1" s="1"/>
  <c r="R270" i="1"/>
  <c r="AT1049" i="1"/>
  <c r="AS1048" i="1"/>
  <c r="U267" i="1" l="1"/>
  <c r="S268" i="1"/>
  <c r="T268" i="1" s="1"/>
  <c r="R271" i="1"/>
  <c r="AT1050" i="1"/>
  <c r="AS1049" i="1"/>
  <c r="U268" i="1" l="1"/>
  <c r="S269" i="1"/>
  <c r="T269" i="1" s="1"/>
  <c r="R272" i="1"/>
  <c r="AT1051" i="1"/>
  <c r="AS1050" i="1"/>
  <c r="U269" i="1" l="1"/>
  <c r="S270" i="1"/>
  <c r="T270" i="1" s="1"/>
  <c r="R273" i="1"/>
  <c r="AT1052" i="1"/>
  <c r="AS1051" i="1"/>
  <c r="U270" i="1" l="1"/>
  <c r="S271" i="1"/>
  <c r="T271" i="1" s="1"/>
  <c r="R274" i="1"/>
  <c r="AT1053" i="1"/>
  <c r="AS1052" i="1"/>
  <c r="U271" i="1" l="1"/>
  <c r="S272" i="1"/>
  <c r="T272" i="1" s="1"/>
  <c r="R275" i="1"/>
  <c r="AT1054" i="1"/>
  <c r="AS1053" i="1"/>
  <c r="U272" i="1" l="1"/>
  <c r="S273" i="1"/>
  <c r="T273" i="1" s="1"/>
  <c r="R276" i="1"/>
  <c r="AT1055" i="1"/>
  <c r="AS1054" i="1"/>
  <c r="U273" i="1" l="1"/>
  <c r="S274" i="1"/>
  <c r="T274" i="1" s="1"/>
  <c r="R277" i="1"/>
  <c r="AT1056" i="1"/>
  <c r="AS1055" i="1"/>
  <c r="U274" i="1" l="1"/>
  <c r="S275" i="1"/>
  <c r="T275" i="1" s="1"/>
  <c r="R278" i="1"/>
  <c r="AT1057" i="1"/>
  <c r="AS1056" i="1"/>
  <c r="U275" i="1" l="1"/>
  <c r="S276" i="1"/>
  <c r="T276" i="1" s="1"/>
  <c r="R279" i="1"/>
  <c r="AT1058" i="1"/>
  <c r="AS1057" i="1"/>
  <c r="U276" i="1" l="1"/>
  <c r="S277" i="1"/>
  <c r="T277" i="1" s="1"/>
  <c r="R280" i="1"/>
  <c r="AT1059" i="1"/>
  <c r="AS1058" i="1"/>
  <c r="U277" i="1" l="1"/>
  <c r="S278" i="1"/>
  <c r="T278" i="1" s="1"/>
  <c r="R281" i="1"/>
  <c r="AT1060" i="1"/>
  <c r="AS1059" i="1"/>
  <c r="U278" i="1" l="1"/>
  <c r="S279" i="1"/>
  <c r="T279" i="1" s="1"/>
  <c r="R282" i="1"/>
  <c r="AT1061" i="1"/>
  <c r="AS1060" i="1"/>
  <c r="U279" i="1" l="1"/>
  <c r="S280" i="1"/>
  <c r="T280" i="1" s="1"/>
  <c r="R283" i="1"/>
  <c r="AT1062" i="1"/>
  <c r="AS1061" i="1"/>
  <c r="U280" i="1" l="1"/>
  <c r="S281" i="1"/>
  <c r="T281" i="1" s="1"/>
  <c r="R284" i="1"/>
  <c r="AT1063" i="1"/>
  <c r="AS1062" i="1"/>
  <c r="U281" i="1" l="1"/>
  <c r="S282" i="1"/>
  <c r="T282" i="1" s="1"/>
  <c r="R285" i="1"/>
  <c r="AT1064" i="1"/>
  <c r="AS1063" i="1"/>
  <c r="U282" i="1" l="1"/>
  <c r="S283" i="1"/>
  <c r="T283" i="1" s="1"/>
  <c r="R286" i="1"/>
  <c r="AT1065" i="1"/>
  <c r="AS1064" i="1"/>
  <c r="U283" i="1" l="1"/>
  <c r="S284" i="1"/>
  <c r="T284" i="1" s="1"/>
  <c r="R287" i="1"/>
  <c r="AT1066" i="1"/>
  <c r="AS1065" i="1"/>
  <c r="U284" i="1" l="1"/>
  <c r="S285" i="1"/>
  <c r="T285" i="1" s="1"/>
  <c r="R288" i="1"/>
  <c r="AT1067" i="1"/>
  <c r="AS1066" i="1"/>
  <c r="U285" i="1" l="1"/>
  <c r="S286" i="1"/>
  <c r="T286" i="1" s="1"/>
  <c r="R289" i="1"/>
  <c r="AT1068" i="1"/>
  <c r="AS1067" i="1"/>
  <c r="U286" i="1" l="1"/>
  <c r="S287" i="1"/>
  <c r="T287" i="1" s="1"/>
  <c r="R290" i="1"/>
  <c r="AT1069" i="1"/>
  <c r="AS1068" i="1"/>
  <c r="U287" i="1" l="1"/>
  <c r="S288" i="1"/>
  <c r="T288" i="1" s="1"/>
  <c r="R291" i="1"/>
  <c r="AT1070" i="1"/>
  <c r="AS1069" i="1"/>
  <c r="U288" i="1" l="1"/>
  <c r="S289" i="1"/>
  <c r="T289" i="1" s="1"/>
  <c r="R292" i="1"/>
  <c r="AT1071" i="1"/>
  <c r="AS1070" i="1"/>
  <c r="U289" i="1" l="1"/>
  <c r="S290" i="1"/>
  <c r="T290" i="1" s="1"/>
  <c r="R293" i="1"/>
  <c r="AT1072" i="1"/>
  <c r="AS1071" i="1"/>
  <c r="U290" i="1" l="1"/>
  <c r="S291" i="1"/>
  <c r="T291" i="1" s="1"/>
  <c r="R294" i="1"/>
  <c r="AT1073" i="1"/>
  <c r="AS1072" i="1"/>
  <c r="U291" i="1" l="1"/>
  <c r="S292" i="1"/>
  <c r="T292" i="1" s="1"/>
  <c r="R295" i="1"/>
  <c r="AT1074" i="1"/>
  <c r="AS1073" i="1"/>
  <c r="U292" i="1" l="1"/>
  <c r="S293" i="1"/>
  <c r="T293" i="1" s="1"/>
  <c r="R296" i="1"/>
  <c r="AT1075" i="1"/>
  <c r="AS1074" i="1"/>
  <c r="U293" i="1" l="1"/>
  <c r="S294" i="1"/>
  <c r="T294" i="1" s="1"/>
  <c r="R297" i="1"/>
  <c r="AT1076" i="1"/>
  <c r="AS1075" i="1"/>
  <c r="U294" i="1" l="1"/>
  <c r="S295" i="1"/>
  <c r="T295" i="1" s="1"/>
  <c r="R298" i="1"/>
  <c r="AT1077" i="1"/>
  <c r="AS1076" i="1"/>
  <c r="U295" i="1" l="1"/>
  <c r="S296" i="1"/>
  <c r="T296" i="1" s="1"/>
  <c r="R299" i="1"/>
  <c r="AT1078" i="1"/>
  <c r="AS1077" i="1"/>
  <c r="U296" i="1" l="1"/>
  <c r="S297" i="1"/>
  <c r="T297" i="1" s="1"/>
  <c r="R300" i="1"/>
  <c r="AT1079" i="1"/>
  <c r="AS1078" i="1"/>
  <c r="U297" i="1" l="1"/>
  <c r="S298" i="1"/>
  <c r="T298" i="1" s="1"/>
  <c r="R301" i="1"/>
  <c r="AT1080" i="1"/>
  <c r="AS1079" i="1"/>
  <c r="U298" i="1" l="1"/>
  <c r="S299" i="1"/>
  <c r="T299" i="1" s="1"/>
  <c r="R302" i="1"/>
  <c r="AT1081" i="1"/>
  <c r="AS1080" i="1"/>
  <c r="U299" i="1" l="1"/>
  <c r="S300" i="1"/>
  <c r="T300" i="1" s="1"/>
  <c r="R303" i="1"/>
  <c r="AT1082" i="1"/>
  <c r="AS1081" i="1"/>
  <c r="U300" i="1" l="1"/>
  <c r="S301" i="1"/>
  <c r="T301" i="1" s="1"/>
  <c r="R304" i="1"/>
  <c r="AT1083" i="1"/>
  <c r="AS1082" i="1"/>
  <c r="U301" i="1" l="1"/>
  <c r="S302" i="1"/>
  <c r="T302" i="1" s="1"/>
  <c r="R305" i="1"/>
  <c r="AT1084" i="1"/>
  <c r="AS1083" i="1"/>
  <c r="U302" i="1" l="1"/>
  <c r="S303" i="1"/>
  <c r="T303" i="1" s="1"/>
  <c r="R306" i="1"/>
  <c r="AT1085" i="1"/>
  <c r="AS1084" i="1"/>
  <c r="U303" i="1" l="1"/>
  <c r="S304" i="1"/>
  <c r="T304" i="1" s="1"/>
  <c r="R307" i="1"/>
  <c r="AT1086" i="1"/>
  <c r="AS1085" i="1"/>
  <c r="U304" i="1" l="1"/>
  <c r="S305" i="1"/>
  <c r="T305" i="1" s="1"/>
  <c r="R308" i="1"/>
  <c r="AT1087" i="1"/>
  <c r="AS1086" i="1"/>
  <c r="U305" i="1" l="1"/>
  <c r="S306" i="1"/>
  <c r="T306" i="1" s="1"/>
  <c r="R309" i="1"/>
  <c r="AT1088" i="1"/>
  <c r="AS1087" i="1"/>
  <c r="U306" i="1" l="1"/>
  <c r="S307" i="1"/>
  <c r="T307" i="1" s="1"/>
  <c r="R310" i="1"/>
  <c r="AT1089" i="1"/>
  <c r="AS1088" i="1"/>
  <c r="U307" i="1" l="1"/>
  <c r="S308" i="1"/>
  <c r="T308" i="1" s="1"/>
  <c r="R311" i="1"/>
  <c r="AT1090" i="1"/>
  <c r="AS1089" i="1"/>
  <c r="U308" i="1" l="1"/>
  <c r="S309" i="1"/>
  <c r="T309" i="1" s="1"/>
  <c r="R312" i="1"/>
  <c r="AT1091" i="1"/>
  <c r="AS1090" i="1"/>
  <c r="U309" i="1" l="1"/>
  <c r="S310" i="1"/>
  <c r="T310" i="1" s="1"/>
  <c r="R313" i="1"/>
  <c r="AT1092" i="1"/>
  <c r="AS1091" i="1"/>
  <c r="U310" i="1" l="1"/>
  <c r="S311" i="1"/>
  <c r="T311" i="1" s="1"/>
  <c r="R314" i="1"/>
  <c r="AT1093" i="1"/>
  <c r="AS1092" i="1"/>
  <c r="U311" i="1" l="1"/>
  <c r="S312" i="1"/>
  <c r="T312" i="1" s="1"/>
  <c r="R315" i="1"/>
  <c r="AT1094" i="1"/>
  <c r="AS1093" i="1"/>
  <c r="U312" i="1" l="1"/>
  <c r="S313" i="1"/>
  <c r="T313" i="1" s="1"/>
  <c r="R316" i="1"/>
  <c r="AT1095" i="1"/>
  <c r="AS1094" i="1"/>
  <c r="U313" i="1" l="1"/>
  <c r="S314" i="1"/>
  <c r="T314" i="1" s="1"/>
  <c r="R317" i="1"/>
  <c r="AT1096" i="1"/>
  <c r="AS1095" i="1"/>
  <c r="U314" i="1" l="1"/>
  <c r="S315" i="1"/>
  <c r="T315" i="1" s="1"/>
  <c r="R318" i="1"/>
  <c r="AT1097" i="1"/>
  <c r="AS1096" i="1"/>
  <c r="U315" i="1" l="1"/>
  <c r="S316" i="1"/>
  <c r="T316" i="1" s="1"/>
  <c r="R319" i="1"/>
  <c r="AT1098" i="1"/>
  <c r="AS1097" i="1"/>
  <c r="U316" i="1" l="1"/>
  <c r="S317" i="1"/>
  <c r="T317" i="1" s="1"/>
  <c r="R320" i="1"/>
  <c r="AT1099" i="1"/>
  <c r="AS1098" i="1"/>
  <c r="U317" i="1" l="1"/>
  <c r="S318" i="1"/>
  <c r="T318" i="1" s="1"/>
  <c r="R321" i="1"/>
  <c r="AT1100" i="1"/>
  <c r="AS1099" i="1"/>
  <c r="U318" i="1" l="1"/>
  <c r="S319" i="1"/>
  <c r="T319" i="1" s="1"/>
  <c r="R322" i="1"/>
  <c r="AT1101" i="1"/>
  <c r="AS1100" i="1"/>
  <c r="U319" i="1" l="1"/>
  <c r="S320" i="1"/>
  <c r="T320" i="1" s="1"/>
  <c r="R323" i="1"/>
  <c r="AT1102" i="1"/>
  <c r="AS1101" i="1"/>
  <c r="U320" i="1" l="1"/>
  <c r="S321" i="1"/>
  <c r="T321" i="1" s="1"/>
  <c r="R324" i="1"/>
  <c r="AT1103" i="1"/>
  <c r="AS1102" i="1"/>
  <c r="U321" i="1" l="1"/>
  <c r="S322" i="1"/>
  <c r="T322" i="1" s="1"/>
  <c r="R325" i="1"/>
  <c r="AT1104" i="1"/>
  <c r="AS1103" i="1"/>
  <c r="U322" i="1" l="1"/>
  <c r="S323" i="1"/>
  <c r="T323" i="1" s="1"/>
  <c r="R326" i="1"/>
  <c r="AT1105" i="1"/>
  <c r="AS1104" i="1"/>
  <c r="U323" i="1" l="1"/>
  <c r="S324" i="1"/>
  <c r="T324" i="1" s="1"/>
  <c r="R327" i="1"/>
  <c r="AT1106" i="1"/>
  <c r="AS1105" i="1"/>
  <c r="U324" i="1" l="1"/>
  <c r="S325" i="1"/>
  <c r="T325" i="1" s="1"/>
  <c r="R328" i="1"/>
  <c r="AT1107" i="1"/>
  <c r="AS1106" i="1"/>
  <c r="U325" i="1" l="1"/>
  <c r="S326" i="1"/>
  <c r="T326" i="1" s="1"/>
  <c r="R329" i="1"/>
  <c r="AT1108" i="1"/>
  <c r="AS1107" i="1"/>
  <c r="U326" i="1" l="1"/>
  <c r="S327" i="1"/>
  <c r="T327" i="1" s="1"/>
  <c r="R330" i="1"/>
  <c r="AT1109" i="1"/>
  <c r="AS1108" i="1"/>
  <c r="U327" i="1" l="1"/>
  <c r="S328" i="1"/>
  <c r="T328" i="1" s="1"/>
  <c r="R331" i="1"/>
  <c r="AT1110" i="1"/>
  <c r="AS1109" i="1"/>
  <c r="U328" i="1" l="1"/>
  <c r="S329" i="1"/>
  <c r="T329" i="1" s="1"/>
  <c r="R332" i="1"/>
  <c r="AT1111" i="1"/>
  <c r="AS1110" i="1"/>
  <c r="U329" i="1" l="1"/>
  <c r="S330" i="1"/>
  <c r="T330" i="1" s="1"/>
  <c r="R333" i="1"/>
  <c r="AT1112" i="1"/>
  <c r="AS1111" i="1"/>
  <c r="U330" i="1" l="1"/>
  <c r="S331" i="1"/>
  <c r="T331" i="1" s="1"/>
  <c r="R334" i="1"/>
  <c r="AT1113" i="1"/>
  <c r="AS1112" i="1"/>
  <c r="U331" i="1" l="1"/>
  <c r="S332" i="1"/>
  <c r="T332" i="1" s="1"/>
  <c r="R335" i="1"/>
  <c r="AT1114" i="1"/>
  <c r="AS1113" i="1"/>
  <c r="U332" i="1" l="1"/>
  <c r="S333" i="1"/>
  <c r="T333" i="1" s="1"/>
  <c r="R336" i="1"/>
  <c r="AT1115" i="1"/>
  <c r="AS1114" i="1"/>
  <c r="U333" i="1" l="1"/>
  <c r="S334" i="1"/>
  <c r="T334" i="1" s="1"/>
  <c r="R337" i="1"/>
  <c r="AT1116" i="1"/>
  <c r="AS1115" i="1"/>
  <c r="U334" i="1" l="1"/>
  <c r="S335" i="1"/>
  <c r="T335" i="1" s="1"/>
  <c r="R338" i="1"/>
  <c r="AT1117" i="1"/>
  <c r="AS1116" i="1"/>
  <c r="U335" i="1" l="1"/>
  <c r="S336" i="1"/>
  <c r="T336" i="1" s="1"/>
  <c r="R339" i="1"/>
  <c r="AT1118" i="1"/>
  <c r="AS1117" i="1"/>
  <c r="U336" i="1" l="1"/>
  <c r="S337" i="1"/>
  <c r="T337" i="1" s="1"/>
  <c r="R340" i="1"/>
  <c r="AT1119" i="1"/>
  <c r="AS1118" i="1"/>
  <c r="U337" i="1" l="1"/>
  <c r="S338" i="1"/>
  <c r="T338" i="1" s="1"/>
  <c r="R341" i="1"/>
  <c r="AT1120" i="1"/>
  <c r="AS1119" i="1"/>
  <c r="U338" i="1" l="1"/>
  <c r="S339" i="1"/>
  <c r="T339" i="1" s="1"/>
  <c r="R342" i="1"/>
  <c r="AT1121" i="1"/>
  <c r="AS1120" i="1"/>
  <c r="U339" i="1" l="1"/>
  <c r="S340" i="1"/>
  <c r="T340" i="1" s="1"/>
  <c r="R343" i="1"/>
  <c r="AT1122" i="1"/>
  <c r="AS1121" i="1"/>
  <c r="U340" i="1" l="1"/>
  <c r="S341" i="1"/>
  <c r="T341" i="1" s="1"/>
  <c r="R344" i="1"/>
  <c r="AT1123" i="1"/>
  <c r="AS1122" i="1"/>
  <c r="U341" i="1" l="1"/>
  <c r="S342" i="1"/>
  <c r="T342" i="1" s="1"/>
  <c r="R345" i="1"/>
  <c r="AT1124" i="1"/>
  <c r="AS1123" i="1"/>
  <c r="U342" i="1" l="1"/>
  <c r="S343" i="1"/>
  <c r="T343" i="1" s="1"/>
  <c r="R346" i="1"/>
  <c r="AT1125" i="1"/>
  <c r="AS1124" i="1"/>
  <c r="U343" i="1" l="1"/>
  <c r="S344" i="1"/>
  <c r="T344" i="1" s="1"/>
  <c r="R347" i="1"/>
  <c r="AT1126" i="1"/>
  <c r="AS1125" i="1"/>
  <c r="U344" i="1" l="1"/>
  <c r="S345" i="1"/>
  <c r="T345" i="1" s="1"/>
  <c r="R348" i="1"/>
  <c r="AT1127" i="1"/>
  <c r="AS1126" i="1"/>
  <c r="U345" i="1" l="1"/>
  <c r="S346" i="1"/>
  <c r="T346" i="1" s="1"/>
  <c r="R349" i="1"/>
  <c r="AT1128" i="1"/>
  <c r="AS1127" i="1"/>
  <c r="U346" i="1" l="1"/>
  <c r="S347" i="1"/>
  <c r="T347" i="1" s="1"/>
  <c r="R350" i="1"/>
  <c r="AT1129" i="1"/>
  <c r="AS1128" i="1"/>
  <c r="U347" i="1" l="1"/>
  <c r="S348" i="1"/>
  <c r="T348" i="1" s="1"/>
  <c r="R351" i="1"/>
  <c r="AT1130" i="1"/>
  <c r="AS1129" i="1"/>
  <c r="U348" i="1" l="1"/>
  <c r="S349" i="1"/>
  <c r="T349" i="1" s="1"/>
  <c r="R352" i="1"/>
  <c r="AT1131" i="1"/>
  <c r="AS1130" i="1"/>
  <c r="U349" i="1" l="1"/>
  <c r="S350" i="1"/>
  <c r="T350" i="1" s="1"/>
  <c r="R353" i="1"/>
  <c r="AT1132" i="1"/>
  <c r="AS1131" i="1"/>
  <c r="U350" i="1" l="1"/>
  <c r="S351" i="1"/>
  <c r="T351" i="1" s="1"/>
  <c r="R354" i="1"/>
  <c r="AT1133" i="1"/>
  <c r="AS1132" i="1"/>
  <c r="U351" i="1" l="1"/>
  <c r="S352" i="1"/>
  <c r="T352" i="1" s="1"/>
  <c r="R355" i="1"/>
  <c r="AT1134" i="1"/>
  <c r="AS1133" i="1"/>
  <c r="U352" i="1" l="1"/>
  <c r="S353" i="1"/>
  <c r="T353" i="1" s="1"/>
  <c r="R356" i="1"/>
  <c r="AT1135" i="1"/>
  <c r="AS1134" i="1"/>
  <c r="U353" i="1" l="1"/>
  <c r="S354" i="1"/>
  <c r="T354" i="1" s="1"/>
  <c r="R357" i="1"/>
  <c r="AT1136" i="1"/>
  <c r="AS1135" i="1"/>
  <c r="U354" i="1" l="1"/>
  <c r="S355" i="1"/>
  <c r="T355" i="1" s="1"/>
  <c r="R358" i="1"/>
  <c r="AT1137" i="1"/>
  <c r="AS1136" i="1"/>
  <c r="U355" i="1" l="1"/>
  <c r="S356" i="1"/>
  <c r="T356" i="1" s="1"/>
  <c r="R359" i="1"/>
  <c r="AT1138" i="1"/>
  <c r="AS1137" i="1"/>
  <c r="U356" i="1" l="1"/>
  <c r="S357" i="1"/>
  <c r="T357" i="1" s="1"/>
  <c r="R360" i="1"/>
  <c r="AT1139" i="1"/>
  <c r="AS1138" i="1"/>
  <c r="U357" i="1" l="1"/>
  <c r="S358" i="1"/>
  <c r="T358" i="1" s="1"/>
  <c r="R361" i="1"/>
  <c r="AT1140" i="1"/>
  <c r="AS1139" i="1"/>
  <c r="U358" i="1" l="1"/>
  <c r="S359" i="1"/>
  <c r="T359" i="1" s="1"/>
  <c r="R362" i="1"/>
  <c r="AT1141" i="1"/>
  <c r="AS1140" i="1"/>
  <c r="U359" i="1" l="1"/>
  <c r="S360" i="1"/>
  <c r="T360" i="1" s="1"/>
  <c r="R363" i="1"/>
  <c r="AT1142" i="1"/>
  <c r="AS1141" i="1"/>
  <c r="U360" i="1" l="1"/>
  <c r="S361" i="1"/>
  <c r="T361" i="1" s="1"/>
  <c r="R364" i="1"/>
  <c r="AT1143" i="1"/>
  <c r="AS1142" i="1"/>
  <c r="U361" i="1" l="1"/>
  <c r="S362" i="1"/>
  <c r="T362" i="1" s="1"/>
  <c r="R365" i="1"/>
  <c r="AT1144" i="1"/>
  <c r="AS1143" i="1"/>
  <c r="U362" i="1" l="1"/>
  <c r="S363" i="1"/>
  <c r="T363" i="1" s="1"/>
  <c r="R366" i="1"/>
  <c r="AT1145" i="1"/>
  <c r="AS1144" i="1"/>
  <c r="U363" i="1" l="1"/>
  <c r="S364" i="1"/>
  <c r="T364" i="1" s="1"/>
  <c r="R367" i="1"/>
  <c r="AT1146" i="1"/>
  <c r="AS1145" i="1"/>
  <c r="U364" i="1" l="1"/>
  <c r="S365" i="1"/>
  <c r="T365" i="1" s="1"/>
  <c r="R368" i="1"/>
  <c r="AT1147" i="1"/>
  <c r="AS1146" i="1"/>
  <c r="U365" i="1" l="1"/>
  <c r="S366" i="1"/>
  <c r="T366" i="1" s="1"/>
  <c r="R369" i="1"/>
  <c r="AT1148" i="1"/>
  <c r="AS1147" i="1"/>
  <c r="U366" i="1" l="1"/>
  <c r="S367" i="1"/>
  <c r="T367" i="1" s="1"/>
  <c r="R370" i="1"/>
  <c r="AT1149" i="1"/>
  <c r="AS1148" i="1"/>
  <c r="U367" i="1" l="1"/>
  <c r="S368" i="1"/>
  <c r="T368" i="1" s="1"/>
  <c r="R371" i="1"/>
  <c r="AT1150" i="1"/>
  <c r="AS1149" i="1"/>
  <c r="U368" i="1" l="1"/>
  <c r="S369" i="1"/>
  <c r="T369" i="1" s="1"/>
  <c r="R372" i="1"/>
  <c r="AT1151" i="1"/>
  <c r="AS1150" i="1"/>
  <c r="U369" i="1" l="1"/>
  <c r="S370" i="1"/>
  <c r="T370" i="1" s="1"/>
  <c r="R373" i="1"/>
  <c r="AT1152" i="1"/>
  <c r="AS1151" i="1"/>
  <c r="U370" i="1" l="1"/>
  <c r="S371" i="1"/>
  <c r="T371" i="1" s="1"/>
  <c r="R374" i="1"/>
  <c r="AT1153" i="1"/>
  <c r="AS1152" i="1"/>
  <c r="U371" i="1" l="1"/>
  <c r="S372" i="1"/>
  <c r="T372" i="1" s="1"/>
  <c r="R375" i="1"/>
  <c r="AT1154" i="1"/>
  <c r="AS1153" i="1"/>
  <c r="U372" i="1" l="1"/>
  <c r="S373" i="1"/>
  <c r="T373" i="1" s="1"/>
  <c r="R376" i="1"/>
  <c r="AT1155" i="1"/>
  <c r="AS1154" i="1"/>
  <c r="U373" i="1" l="1"/>
  <c r="S374" i="1"/>
  <c r="T374" i="1" s="1"/>
  <c r="R377" i="1"/>
  <c r="AT1156" i="1"/>
  <c r="AS1155" i="1"/>
  <c r="U374" i="1" l="1"/>
  <c r="S375" i="1"/>
  <c r="T375" i="1" s="1"/>
  <c r="R378" i="1"/>
  <c r="AT1157" i="1"/>
  <c r="AS1156" i="1"/>
  <c r="U375" i="1" l="1"/>
  <c r="S376" i="1"/>
  <c r="T376" i="1" s="1"/>
  <c r="R379" i="1"/>
  <c r="AT1158" i="1"/>
  <c r="AS1157" i="1"/>
  <c r="U376" i="1" l="1"/>
  <c r="S377" i="1"/>
  <c r="T377" i="1" s="1"/>
  <c r="R380" i="1"/>
  <c r="AT1159" i="1"/>
  <c r="AS1158" i="1"/>
  <c r="U377" i="1" l="1"/>
  <c r="S378" i="1"/>
  <c r="T378" i="1" s="1"/>
  <c r="R381" i="1"/>
  <c r="AT1160" i="1"/>
  <c r="AS1159" i="1"/>
  <c r="U378" i="1" l="1"/>
  <c r="S379" i="1"/>
  <c r="T379" i="1" s="1"/>
  <c r="R382" i="1"/>
  <c r="AT1161" i="1"/>
  <c r="AS1160" i="1"/>
  <c r="U379" i="1" l="1"/>
  <c r="S380" i="1"/>
  <c r="T380" i="1" s="1"/>
  <c r="R383" i="1"/>
  <c r="AT1162" i="1"/>
  <c r="AS1161" i="1"/>
  <c r="U380" i="1" l="1"/>
  <c r="S381" i="1"/>
  <c r="T381" i="1" s="1"/>
  <c r="R384" i="1"/>
  <c r="AT1163" i="1"/>
  <c r="AS1162" i="1"/>
  <c r="U381" i="1" l="1"/>
  <c r="S382" i="1"/>
  <c r="T382" i="1" s="1"/>
  <c r="R385" i="1"/>
  <c r="AT1164" i="1"/>
  <c r="AS1163" i="1"/>
  <c r="U382" i="1" l="1"/>
  <c r="S383" i="1"/>
  <c r="T383" i="1" s="1"/>
  <c r="R386" i="1"/>
  <c r="AT1165" i="1"/>
  <c r="AS1164" i="1"/>
  <c r="U383" i="1" l="1"/>
  <c r="S384" i="1"/>
  <c r="T384" i="1" s="1"/>
  <c r="R387" i="1"/>
  <c r="AT1166" i="1"/>
  <c r="AS1165" i="1"/>
  <c r="U384" i="1" l="1"/>
  <c r="S385" i="1"/>
  <c r="T385" i="1" s="1"/>
  <c r="R388" i="1"/>
  <c r="AT1167" i="1"/>
  <c r="AS1166" i="1"/>
  <c r="U385" i="1" l="1"/>
  <c r="S386" i="1"/>
  <c r="T386" i="1" s="1"/>
  <c r="R389" i="1"/>
  <c r="AT1168" i="1"/>
  <c r="AS1167" i="1"/>
  <c r="U386" i="1" l="1"/>
  <c r="S387" i="1"/>
  <c r="T387" i="1" s="1"/>
  <c r="R390" i="1"/>
  <c r="AT1169" i="1"/>
  <c r="AS1168" i="1"/>
  <c r="U387" i="1" l="1"/>
  <c r="S388" i="1"/>
  <c r="T388" i="1" s="1"/>
  <c r="R391" i="1"/>
  <c r="AT1170" i="1"/>
  <c r="AS1169" i="1"/>
  <c r="U388" i="1" l="1"/>
  <c r="S389" i="1"/>
  <c r="T389" i="1" s="1"/>
  <c r="R392" i="1"/>
  <c r="AT1171" i="1"/>
  <c r="AS1170" i="1"/>
  <c r="U389" i="1" l="1"/>
  <c r="S390" i="1"/>
  <c r="T390" i="1" s="1"/>
  <c r="R393" i="1"/>
  <c r="AT1172" i="1"/>
  <c r="AS1171" i="1"/>
  <c r="U390" i="1" l="1"/>
  <c r="S391" i="1"/>
  <c r="T391" i="1" s="1"/>
  <c r="R394" i="1"/>
  <c r="AT1173" i="1"/>
  <c r="AS1172" i="1"/>
  <c r="U391" i="1" l="1"/>
  <c r="S392" i="1"/>
  <c r="T392" i="1" s="1"/>
  <c r="R395" i="1"/>
  <c r="AT1174" i="1"/>
  <c r="AS1173" i="1"/>
  <c r="U392" i="1" l="1"/>
  <c r="S393" i="1"/>
  <c r="T393" i="1" s="1"/>
  <c r="R396" i="1"/>
  <c r="AT1175" i="1"/>
  <c r="AS1174" i="1"/>
  <c r="U393" i="1" l="1"/>
  <c r="S394" i="1"/>
  <c r="R397" i="1"/>
  <c r="AT1176" i="1"/>
  <c r="AS1175" i="1"/>
  <c r="T394" i="1" l="1"/>
  <c r="U394" i="1" s="1"/>
  <c r="S395" i="1"/>
  <c r="T395" i="1" s="1"/>
  <c r="R398" i="1"/>
  <c r="AT1177" i="1"/>
  <c r="AS1176" i="1"/>
  <c r="U395" i="1" l="1"/>
  <c r="S396" i="1"/>
  <c r="T396" i="1" s="1"/>
  <c r="R399" i="1"/>
  <c r="AT1178" i="1"/>
  <c r="AS1177" i="1"/>
  <c r="U396" i="1" l="1"/>
  <c r="S397" i="1"/>
  <c r="T397" i="1" s="1"/>
  <c r="R400" i="1"/>
  <c r="AT1179" i="1"/>
  <c r="AS1178" i="1"/>
  <c r="U397" i="1" l="1"/>
  <c r="S398" i="1"/>
  <c r="T398" i="1" s="1"/>
  <c r="R401" i="1"/>
  <c r="AT1180" i="1"/>
  <c r="AS1179" i="1"/>
  <c r="U398" i="1" l="1"/>
  <c r="S399" i="1"/>
  <c r="T399" i="1" s="1"/>
  <c r="R402" i="1"/>
  <c r="AT1181" i="1"/>
  <c r="AS1180" i="1"/>
  <c r="U399" i="1" l="1"/>
  <c r="S400" i="1"/>
  <c r="T400" i="1" s="1"/>
  <c r="R403" i="1"/>
  <c r="AT1182" i="1"/>
  <c r="AS1181" i="1"/>
  <c r="U400" i="1" l="1"/>
  <c r="S401" i="1"/>
  <c r="T401" i="1" s="1"/>
  <c r="R404" i="1"/>
  <c r="AT1183" i="1"/>
  <c r="AS1182" i="1"/>
  <c r="U401" i="1" l="1"/>
  <c r="S402" i="1"/>
  <c r="T402" i="1" s="1"/>
  <c r="R405" i="1"/>
  <c r="AT1184" i="1"/>
  <c r="AS1183" i="1"/>
  <c r="U402" i="1" l="1"/>
  <c r="S403" i="1"/>
  <c r="T403" i="1" s="1"/>
  <c r="R406" i="1"/>
  <c r="AT1185" i="1"/>
  <c r="AS1184" i="1"/>
  <c r="U403" i="1" l="1"/>
  <c r="S404" i="1"/>
  <c r="T404" i="1" s="1"/>
  <c r="R407" i="1"/>
  <c r="AT1186" i="1"/>
  <c r="AS1185" i="1"/>
  <c r="U404" i="1" l="1"/>
  <c r="S405" i="1"/>
  <c r="T405" i="1" s="1"/>
  <c r="R408" i="1"/>
  <c r="AT1187" i="1"/>
  <c r="AS1186" i="1"/>
  <c r="U405" i="1" l="1"/>
  <c r="S406" i="1"/>
  <c r="T406" i="1" s="1"/>
  <c r="R409" i="1"/>
  <c r="AT1188" i="1"/>
  <c r="AS1187" i="1"/>
  <c r="U406" i="1" l="1"/>
  <c r="S407" i="1"/>
  <c r="T407" i="1" s="1"/>
  <c r="R410" i="1"/>
  <c r="AT1189" i="1"/>
  <c r="AS1188" i="1"/>
  <c r="U407" i="1" l="1"/>
  <c r="S408" i="1"/>
  <c r="T408" i="1" s="1"/>
  <c r="R411" i="1"/>
  <c r="AT1190" i="1"/>
  <c r="AS1189" i="1"/>
  <c r="U408" i="1" l="1"/>
  <c r="S409" i="1"/>
  <c r="T409" i="1" s="1"/>
  <c r="R412" i="1"/>
  <c r="AT1191" i="1"/>
  <c r="AS1190" i="1"/>
  <c r="U409" i="1" l="1"/>
  <c r="S410" i="1"/>
  <c r="T410" i="1" s="1"/>
  <c r="R413" i="1"/>
  <c r="AT1192" i="1"/>
  <c r="AS1191" i="1"/>
  <c r="U410" i="1" l="1"/>
  <c r="S411" i="1"/>
  <c r="T411" i="1" s="1"/>
  <c r="R414" i="1"/>
  <c r="AT1193" i="1"/>
  <c r="AS1192" i="1"/>
  <c r="U411" i="1" l="1"/>
  <c r="S412" i="1"/>
  <c r="T412" i="1" s="1"/>
  <c r="R415" i="1"/>
  <c r="AT1194" i="1"/>
  <c r="AS1193" i="1"/>
  <c r="U412" i="1" l="1"/>
  <c r="S413" i="1"/>
  <c r="T413" i="1" s="1"/>
  <c r="R416" i="1"/>
  <c r="AT1195" i="1"/>
  <c r="AS1194" i="1"/>
  <c r="U413" i="1" l="1"/>
  <c r="S414" i="1"/>
  <c r="T414" i="1" s="1"/>
  <c r="R417" i="1"/>
  <c r="AT1196" i="1"/>
  <c r="AS1195" i="1"/>
  <c r="U414" i="1" l="1"/>
  <c r="S415" i="1"/>
  <c r="T415" i="1" s="1"/>
  <c r="R418" i="1"/>
  <c r="AT1197" i="1"/>
  <c r="AS1196" i="1"/>
  <c r="U415" i="1" l="1"/>
  <c r="S416" i="1"/>
  <c r="T416" i="1" s="1"/>
  <c r="R419" i="1"/>
  <c r="AT1198" i="1"/>
  <c r="AS1197" i="1"/>
  <c r="U416" i="1" l="1"/>
  <c r="S417" i="1"/>
  <c r="T417" i="1" s="1"/>
  <c r="R420" i="1"/>
  <c r="AT1199" i="1"/>
  <c r="AS1198" i="1"/>
  <c r="U417" i="1" l="1"/>
  <c r="S418" i="1"/>
  <c r="T418" i="1" s="1"/>
  <c r="R421" i="1"/>
  <c r="AT1200" i="1"/>
  <c r="AS1199" i="1"/>
  <c r="U418" i="1" l="1"/>
  <c r="S419" i="1"/>
  <c r="T419" i="1" s="1"/>
  <c r="R422" i="1"/>
  <c r="AT1201" i="1"/>
  <c r="AS1200" i="1"/>
  <c r="U419" i="1" l="1"/>
  <c r="S420" i="1"/>
  <c r="T420" i="1" s="1"/>
  <c r="R423" i="1"/>
  <c r="AT1202" i="1"/>
  <c r="AS1201" i="1"/>
  <c r="U420" i="1" l="1"/>
  <c r="S421" i="1"/>
  <c r="T421" i="1" s="1"/>
  <c r="R424" i="1"/>
  <c r="AT1203" i="1"/>
  <c r="AS1202" i="1"/>
  <c r="U421" i="1" l="1"/>
  <c r="S422" i="1"/>
  <c r="T422" i="1" s="1"/>
  <c r="R425" i="1"/>
  <c r="AT1204" i="1"/>
  <c r="AS1203" i="1"/>
  <c r="U422" i="1" l="1"/>
  <c r="S423" i="1"/>
  <c r="T423" i="1" s="1"/>
  <c r="R426" i="1"/>
  <c r="AT1205" i="1"/>
  <c r="AS1204" i="1"/>
  <c r="U423" i="1" l="1"/>
  <c r="S424" i="1"/>
  <c r="T424" i="1" s="1"/>
  <c r="R427" i="1"/>
  <c r="AT1206" i="1"/>
  <c r="AS1205" i="1"/>
  <c r="U424" i="1" l="1"/>
  <c r="S425" i="1"/>
  <c r="T425" i="1" s="1"/>
  <c r="R428" i="1"/>
  <c r="AT1207" i="1"/>
  <c r="AS1206" i="1"/>
  <c r="U425" i="1" l="1"/>
  <c r="S426" i="1"/>
  <c r="T426" i="1" s="1"/>
  <c r="R429" i="1"/>
  <c r="AT1208" i="1"/>
  <c r="AS1207" i="1"/>
  <c r="U426" i="1" l="1"/>
  <c r="S427" i="1"/>
  <c r="T427" i="1" s="1"/>
  <c r="R430" i="1"/>
  <c r="AT1209" i="1"/>
  <c r="AS1208" i="1"/>
  <c r="U427" i="1" l="1"/>
  <c r="S428" i="1"/>
  <c r="T428" i="1" s="1"/>
  <c r="R431" i="1"/>
  <c r="AT1210" i="1"/>
  <c r="AS1209" i="1"/>
  <c r="U428" i="1" l="1"/>
  <c r="S429" i="1"/>
  <c r="T429" i="1" s="1"/>
  <c r="R432" i="1"/>
  <c r="AT1211" i="1"/>
  <c r="AS1210" i="1"/>
  <c r="U429" i="1" l="1"/>
  <c r="S430" i="1"/>
  <c r="T430" i="1" s="1"/>
  <c r="R433" i="1"/>
  <c r="AT1212" i="1"/>
  <c r="AS1211" i="1"/>
  <c r="U430" i="1" l="1"/>
  <c r="S431" i="1"/>
  <c r="T431" i="1" s="1"/>
  <c r="R434" i="1"/>
  <c r="AT1213" i="1"/>
  <c r="AS1212" i="1"/>
  <c r="U431" i="1" l="1"/>
  <c r="S432" i="1"/>
  <c r="T432" i="1" s="1"/>
  <c r="R435" i="1"/>
  <c r="AT1214" i="1"/>
  <c r="AS1213" i="1"/>
  <c r="U432" i="1" l="1"/>
  <c r="S433" i="1"/>
  <c r="T433" i="1" s="1"/>
  <c r="R436" i="1"/>
  <c r="AT1215" i="1"/>
  <c r="AS1214" i="1"/>
  <c r="U433" i="1" l="1"/>
  <c r="S434" i="1"/>
  <c r="T434" i="1" s="1"/>
  <c r="R437" i="1"/>
  <c r="AT1216" i="1"/>
  <c r="AS1215" i="1"/>
  <c r="U434" i="1" l="1"/>
  <c r="S435" i="1"/>
  <c r="T435" i="1" s="1"/>
  <c r="R438" i="1"/>
  <c r="AT1217" i="1"/>
  <c r="AS1216" i="1"/>
  <c r="U435" i="1" l="1"/>
  <c r="S436" i="1"/>
  <c r="T436" i="1" s="1"/>
  <c r="R439" i="1"/>
  <c r="AT1218" i="1"/>
  <c r="AS1217" i="1"/>
  <c r="U436" i="1" l="1"/>
  <c r="S437" i="1"/>
  <c r="T437" i="1" s="1"/>
  <c r="R440" i="1"/>
  <c r="AT1219" i="1"/>
  <c r="AS1218" i="1"/>
  <c r="U437" i="1" l="1"/>
  <c r="S438" i="1"/>
  <c r="T438" i="1" s="1"/>
  <c r="R441" i="1"/>
  <c r="AT1220" i="1"/>
  <c r="AS1219" i="1"/>
  <c r="U438" i="1" l="1"/>
  <c r="S439" i="1"/>
  <c r="T439" i="1" s="1"/>
  <c r="R442" i="1"/>
  <c r="AT1221" i="1"/>
  <c r="AS1220" i="1"/>
  <c r="U439" i="1" l="1"/>
  <c r="S440" i="1"/>
  <c r="T440" i="1" s="1"/>
  <c r="R443" i="1"/>
  <c r="AT1222" i="1"/>
  <c r="AS1221" i="1"/>
  <c r="U440" i="1" l="1"/>
  <c r="S441" i="1"/>
  <c r="T441" i="1" s="1"/>
  <c r="R444" i="1"/>
  <c r="AT1223" i="1"/>
  <c r="AS1222" i="1"/>
  <c r="U441" i="1" l="1"/>
  <c r="S442" i="1"/>
  <c r="T442" i="1" s="1"/>
  <c r="R445" i="1"/>
  <c r="AT1224" i="1"/>
  <c r="AS1223" i="1"/>
  <c r="U442" i="1" l="1"/>
  <c r="S443" i="1"/>
  <c r="T443" i="1" s="1"/>
  <c r="R446" i="1"/>
  <c r="AT1225" i="1"/>
  <c r="AS1224" i="1"/>
  <c r="U443" i="1" l="1"/>
  <c r="S444" i="1"/>
  <c r="T444" i="1" s="1"/>
  <c r="R447" i="1"/>
  <c r="AT1226" i="1"/>
  <c r="AS1225" i="1"/>
  <c r="U444" i="1" l="1"/>
  <c r="S445" i="1"/>
  <c r="T445" i="1" s="1"/>
  <c r="R448" i="1"/>
  <c r="AT1227" i="1"/>
  <c r="AS1226" i="1"/>
  <c r="U445" i="1" l="1"/>
  <c r="S446" i="1"/>
  <c r="T446" i="1" s="1"/>
  <c r="R449" i="1"/>
  <c r="AT1228" i="1"/>
  <c r="AS1227" i="1"/>
  <c r="U446" i="1" l="1"/>
  <c r="S447" i="1"/>
  <c r="T447" i="1" s="1"/>
  <c r="R450" i="1"/>
  <c r="AT1229" i="1"/>
  <c r="AS1228" i="1"/>
  <c r="U447" i="1" l="1"/>
  <c r="S448" i="1"/>
  <c r="T448" i="1" s="1"/>
  <c r="R451" i="1"/>
  <c r="AT1230" i="1"/>
  <c r="AS1229" i="1"/>
  <c r="U448" i="1" l="1"/>
  <c r="S449" i="1"/>
  <c r="T449" i="1" s="1"/>
  <c r="R452" i="1"/>
  <c r="AT1231" i="1"/>
  <c r="AS1230" i="1"/>
  <c r="U449" i="1" l="1"/>
  <c r="S450" i="1"/>
  <c r="T450" i="1" s="1"/>
  <c r="R453" i="1"/>
  <c r="AT1232" i="1"/>
  <c r="AS1231" i="1"/>
  <c r="U450" i="1" l="1"/>
  <c r="S451" i="1"/>
  <c r="T451" i="1" s="1"/>
  <c r="R454" i="1"/>
  <c r="AT1233" i="1"/>
  <c r="AS1232" i="1"/>
  <c r="U451" i="1" l="1"/>
  <c r="S452" i="1"/>
  <c r="T452" i="1" s="1"/>
  <c r="R455" i="1"/>
  <c r="AT1234" i="1"/>
  <c r="AS1233" i="1"/>
  <c r="U452" i="1" l="1"/>
  <c r="S453" i="1"/>
  <c r="T453" i="1" s="1"/>
  <c r="R456" i="1"/>
  <c r="AT1235" i="1"/>
  <c r="AS1234" i="1"/>
  <c r="U453" i="1" l="1"/>
  <c r="S454" i="1"/>
  <c r="T454" i="1" s="1"/>
  <c r="R457" i="1"/>
  <c r="AT1236" i="1"/>
  <c r="AS1235" i="1"/>
  <c r="U454" i="1" l="1"/>
  <c r="S455" i="1"/>
  <c r="T455" i="1" s="1"/>
  <c r="R458" i="1"/>
  <c r="AT1237" i="1"/>
  <c r="AS1236" i="1"/>
  <c r="U455" i="1" l="1"/>
  <c r="S456" i="1"/>
  <c r="T456" i="1" s="1"/>
  <c r="R459" i="1"/>
  <c r="AT1238" i="1"/>
  <c r="AS1237" i="1"/>
  <c r="U456" i="1" l="1"/>
  <c r="S457" i="1"/>
  <c r="T457" i="1" s="1"/>
  <c r="R460" i="1"/>
  <c r="AT1239" i="1"/>
  <c r="AS1238" i="1"/>
  <c r="U457" i="1" l="1"/>
  <c r="S458" i="1"/>
  <c r="T458" i="1" s="1"/>
  <c r="R461" i="1"/>
  <c r="AT1240" i="1"/>
  <c r="AS1239" i="1"/>
  <c r="U458" i="1" l="1"/>
  <c r="S459" i="1"/>
  <c r="T459" i="1" s="1"/>
  <c r="R462" i="1"/>
  <c r="AT1241" i="1"/>
  <c r="AS1240" i="1"/>
  <c r="U459" i="1" l="1"/>
  <c r="S460" i="1"/>
  <c r="T460" i="1" s="1"/>
  <c r="R463" i="1"/>
  <c r="AT1242" i="1"/>
  <c r="AS1241" i="1"/>
  <c r="U460" i="1" l="1"/>
  <c r="S461" i="1"/>
  <c r="T461" i="1" s="1"/>
  <c r="R464" i="1"/>
  <c r="AT1243" i="1"/>
  <c r="AS1242" i="1"/>
  <c r="U461" i="1" l="1"/>
  <c r="S462" i="1"/>
  <c r="T462" i="1" s="1"/>
  <c r="R465" i="1"/>
  <c r="AT1244" i="1"/>
  <c r="AS1243" i="1"/>
  <c r="U462" i="1" l="1"/>
  <c r="S463" i="1"/>
  <c r="T463" i="1" s="1"/>
  <c r="R466" i="1"/>
  <c r="AT1245" i="1"/>
  <c r="AS1244" i="1"/>
  <c r="U463" i="1" l="1"/>
  <c r="S464" i="1"/>
  <c r="T464" i="1" s="1"/>
  <c r="R467" i="1"/>
  <c r="AT1246" i="1"/>
  <c r="AS1245" i="1"/>
  <c r="U464" i="1" l="1"/>
  <c r="S465" i="1"/>
  <c r="T465" i="1" s="1"/>
  <c r="R468" i="1"/>
  <c r="AT1247" i="1"/>
  <c r="AS1246" i="1"/>
  <c r="U465" i="1" l="1"/>
  <c r="S466" i="1"/>
  <c r="T466" i="1" s="1"/>
  <c r="R469" i="1"/>
  <c r="AT1248" i="1"/>
  <c r="AS1247" i="1"/>
  <c r="U466" i="1" l="1"/>
  <c r="S467" i="1"/>
  <c r="T467" i="1" s="1"/>
  <c r="R470" i="1"/>
  <c r="AT1249" i="1"/>
  <c r="AS1248" i="1"/>
  <c r="U467" i="1" l="1"/>
  <c r="S468" i="1"/>
  <c r="T468" i="1" s="1"/>
  <c r="R471" i="1"/>
  <c r="AT1250" i="1"/>
  <c r="AS1249" i="1"/>
  <c r="U468" i="1" l="1"/>
  <c r="S469" i="1"/>
  <c r="T469" i="1" s="1"/>
  <c r="R472" i="1"/>
  <c r="AT1251" i="1"/>
  <c r="AS1250" i="1"/>
  <c r="U469" i="1" l="1"/>
  <c r="S470" i="1"/>
  <c r="T470" i="1" s="1"/>
  <c r="R473" i="1"/>
  <c r="AT1252" i="1"/>
  <c r="AS1251" i="1"/>
  <c r="U470" i="1" l="1"/>
  <c r="S471" i="1"/>
  <c r="T471" i="1" s="1"/>
  <c r="R474" i="1"/>
  <c r="AT1253" i="1"/>
  <c r="AS1252" i="1"/>
  <c r="U471" i="1" l="1"/>
  <c r="S472" i="1"/>
  <c r="T472" i="1" s="1"/>
  <c r="R475" i="1"/>
  <c r="AT1254" i="1"/>
  <c r="AS1253" i="1"/>
  <c r="U472" i="1" l="1"/>
  <c r="S473" i="1"/>
  <c r="T473" i="1" s="1"/>
  <c r="R476" i="1"/>
  <c r="AT1255" i="1"/>
  <c r="AS1254" i="1"/>
  <c r="U473" i="1" l="1"/>
  <c r="S474" i="1"/>
  <c r="T474" i="1" s="1"/>
  <c r="R477" i="1"/>
  <c r="AT1256" i="1"/>
  <c r="AS1255" i="1"/>
  <c r="U474" i="1" l="1"/>
  <c r="S475" i="1"/>
  <c r="T475" i="1" s="1"/>
  <c r="R478" i="1"/>
  <c r="AT1257" i="1"/>
  <c r="AS1256" i="1"/>
  <c r="U475" i="1" l="1"/>
  <c r="S476" i="1"/>
  <c r="T476" i="1" s="1"/>
  <c r="R479" i="1"/>
  <c r="AT1258" i="1"/>
  <c r="AS1257" i="1"/>
  <c r="U476" i="1" l="1"/>
  <c r="S477" i="1"/>
  <c r="T477" i="1" s="1"/>
  <c r="R480" i="1"/>
  <c r="AT1259" i="1"/>
  <c r="AS1258" i="1"/>
  <c r="U477" i="1" l="1"/>
  <c r="S478" i="1"/>
  <c r="T478" i="1" s="1"/>
  <c r="R481" i="1"/>
  <c r="AT1260" i="1"/>
  <c r="AS1259" i="1"/>
  <c r="U478" i="1" l="1"/>
  <c r="S479" i="1"/>
  <c r="T479" i="1" s="1"/>
  <c r="R482" i="1"/>
  <c r="AT1261" i="1"/>
  <c r="AS1260" i="1"/>
  <c r="U479" i="1" l="1"/>
  <c r="S480" i="1"/>
  <c r="T480" i="1" s="1"/>
  <c r="R483" i="1"/>
  <c r="AT1262" i="1"/>
  <c r="AS1261" i="1"/>
  <c r="U480" i="1" l="1"/>
  <c r="S481" i="1"/>
  <c r="T481" i="1" s="1"/>
  <c r="R484" i="1"/>
  <c r="AT1263" i="1"/>
  <c r="AS1262" i="1"/>
  <c r="U481" i="1" l="1"/>
  <c r="S482" i="1"/>
  <c r="T482" i="1" s="1"/>
  <c r="R485" i="1"/>
  <c r="AT1264" i="1"/>
  <c r="AS1263" i="1"/>
  <c r="U482" i="1" l="1"/>
  <c r="S483" i="1"/>
  <c r="T483" i="1" s="1"/>
  <c r="R486" i="1"/>
  <c r="AT1265" i="1"/>
  <c r="AS1264" i="1"/>
  <c r="U483" i="1" l="1"/>
  <c r="S484" i="1"/>
  <c r="T484" i="1" s="1"/>
  <c r="R487" i="1"/>
  <c r="AT1266" i="1"/>
  <c r="AS1265" i="1"/>
  <c r="U484" i="1" l="1"/>
  <c r="S485" i="1"/>
  <c r="T485" i="1" s="1"/>
  <c r="R488" i="1"/>
  <c r="AT1267" i="1"/>
  <c r="AS1266" i="1"/>
  <c r="U485" i="1" l="1"/>
  <c r="S486" i="1"/>
  <c r="T486" i="1" s="1"/>
  <c r="R489" i="1"/>
  <c r="AT1268" i="1"/>
  <c r="AS1267" i="1"/>
  <c r="U486" i="1" l="1"/>
  <c r="S487" i="1"/>
  <c r="T487" i="1" s="1"/>
  <c r="R490" i="1"/>
  <c r="AT1269" i="1"/>
  <c r="AS1268" i="1"/>
  <c r="U487" i="1" l="1"/>
  <c r="S488" i="1"/>
  <c r="T488" i="1" s="1"/>
  <c r="R491" i="1"/>
  <c r="AT1270" i="1"/>
  <c r="AS1269" i="1"/>
  <c r="U488" i="1" l="1"/>
  <c r="S489" i="1"/>
  <c r="T489" i="1" s="1"/>
  <c r="R492" i="1"/>
  <c r="AT1271" i="1"/>
  <c r="AS1270" i="1"/>
  <c r="U489" i="1" l="1"/>
  <c r="S490" i="1"/>
  <c r="T490" i="1" s="1"/>
  <c r="R493" i="1"/>
  <c r="AT1272" i="1"/>
  <c r="AS1271" i="1"/>
  <c r="U490" i="1" l="1"/>
  <c r="S491" i="1"/>
  <c r="T491" i="1" s="1"/>
  <c r="R494" i="1"/>
  <c r="AT1273" i="1"/>
  <c r="AS1272" i="1"/>
  <c r="U491" i="1" l="1"/>
  <c r="S492" i="1"/>
  <c r="T492" i="1" s="1"/>
  <c r="R495" i="1"/>
  <c r="AT1274" i="1"/>
  <c r="AS1273" i="1"/>
  <c r="U492" i="1" l="1"/>
  <c r="S493" i="1"/>
  <c r="T493" i="1" s="1"/>
  <c r="R496" i="1"/>
  <c r="AT1275" i="1"/>
  <c r="AS1274" i="1"/>
  <c r="U493" i="1" l="1"/>
  <c r="S494" i="1"/>
  <c r="T494" i="1" s="1"/>
  <c r="R497" i="1"/>
  <c r="AT1276" i="1"/>
  <c r="AS1275" i="1"/>
  <c r="U494" i="1" l="1"/>
  <c r="S495" i="1"/>
  <c r="T495" i="1" s="1"/>
  <c r="R498" i="1"/>
  <c r="AT1277" i="1"/>
  <c r="AS1276" i="1"/>
  <c r="U495" i="1" l="1"/>
  <c r="S496" i="1"/>
  <c r="T496" i="1" s="1"/>
  <c r="R499" i="1"/>
  <c r="AT1278" i="1"/>
  <c r="AS1277" i="1"/>
  <c r="U496" i="1" l="1"/>
  <c r="S497" i="1"/>
  <c r="T497" i="1" s="1"/>
  <c r="R500" i="1"/>
  <c r="AT1279" i="1"/>
  <c r="AS1278" i="1"/>
  <c r="U497" i="1" l="1"/>
  <c r="S498" i="1"/>
  <c r="T498" i="1" s="1"/>
  <c r="R501" i="1"/>
  <c r="AT1280" i="1"/>
  <c r="AS1279" i="1"/>
  <c r="U498" i="1" l="1"/>
  <c r="S499" i="1"/>
  <c r="T499" i="1" s="1"/>
  <c r="R502" i="1"/>
  <c r="AT1281" i="1"/>
  <c r="AS1280" i="1"/>
  <c r="U499" i="1" l="1"/>
  <c r="S500" i="1"/>
  <c r="T500" i="1" s="1"/>
  <c r="R503" i="1"/>
  <c r="AT1282" i="1"/>
  <c r="AS1281" i="1"/>
  <c r="U500" i="1" l="1"/>
  <c r="S501" i="1"/>
  <c r="T501" i="1" s="1"/>
  <c r="R504" i="1"/>
  <c r="AT1283" i="1"/>
  <c r="AS1282" i="1"/>
  <c r="U501" i="1" l="1"/>
  <c r="S502" i="1"/>
  <c r="T502" i="1" s="1"/>
  <c r="R505" i="1"/>
  <c r="AT1284" i="1"/>
  <c r="AS1283" i="1"/>
  <c r="U502" i="1" l="1"/>
  <c r="S503" i="1"/>
  <c r="T503" i="1" s="1"/>
  <c r="R506" i="1"/>
  <c r="AT1285" i="1"/>
  <c r="AS1284" i="1"/>
  <c r="U503" i="1" l="1"/>
  <c r="S504" i="1"/>
  <c r="T504" i="1" s="1"/>
  <c r="R507" i="1"/>
  <c r="AT1286" i="1"/>
  <c r="AS1285" i="1"/>
  <c r="U504" i="1" l="1"/>
  <c r="S505" i="1"/>
  <c r="T505" i="1" s="1"/>
  <c r="R508" i="1"/>
  <c r="AT1287" i="1"/>
  <c r="AS1286" i="1"/>
  <c r="U505" i="1" l="1"/>
  <c r="S506" i="1"/>
  <c r="T506" i="1" s="1"/>
  <c r="R509" i="1"/>
  <c r="AT1288" i="1"/>
  <c r="AS1287" i="1"/>
  <c r="U506" i="1" l="1"/>
  <c r="S507" i="1"/>
  <c r="T507" i="1" s="1"/>
  <c r="R510" i="1"/>
  <c r="AT1289" i="1"/>
  <c r="AS1288" i="1"/>
  <c r="U507" i="1" l="1"/>
  <c r="S508" i="1"/>
  <c r="T508" i="1" s="1"/>
  <c r="R511" i="1"/>
  <c r="AT1290" i="1"/>
  <c r="AS1289" i="1"/>
  <c r="U508" i="1" l="1"/>
  <c r="S509" i="1"/>
  <c r="T509" i="1" s="1"/>
  <c r="R512" i="1"/>
  <c r="AT1291" i="1"/>
  <c r="AS1290" i="1"/>
  <c r="U509" i="1" l="1"/>
  <c r="S510" i="1"/>
  <c r="T510" i="1" s="1"/>
  <c r="R513" i="1"/>
  <c r="AT1292" i="1"/>
  <c r="AS1291" i="1"/>
  <c r="U510" i="1" l="1"/>
  <c r="S511" i="1"/>
  <c r="T511" i="1" s="1"/>
  <c r="R514" i="1"/>
  <c r="AT1293" i="1"/>
  <c r="AS1292" i="1"/>
  <c r="U511" i="1" l="1"/>
  <c r="S512" i="1"/>
  <c r="T512" i="1" s="1"/>
  <c r="R515" i="1"/>
  <c r="AT1294" i="1"/>
  <c r="AS1293" i="1"/>
  <c r="U512" i="1" l="1"/>
  <c r="S513" i="1"/>
  <c r="T513" i="1" s="1"/>
  <c r="R516" i="1"/>
  <c r="AT1295" i="1"/>
  <c r="AS1294" i="1"/>
  <c r="U513" i="1" l="1"/>
  <c r="S514" i="1"/>
  <c r="T514" i="1" s="1"/>
  <c r="R517" i="1"/>
  <c r="AT1296" i="1"/>
  <c r="AS1295" i="1"/>
  <c r="U514" i="1" l="1"/>
  <c r="S515" i="1"/>
  <c r="T515" i="1" s="1"/>
  <c r="R518" i="1"/>
  <c r="AT1297" i="1"/>
  <c r="AS1296" i="1"/>
  <c r="U515" i="1" l="1"/>
  <c r="S516" i="1"/>
  <c r="T516" i="1" s="1"/>
  <c r="R519" i="1"/>
  <c r="AT1298" i="1"/>
  <c r="AS1297" i="1"/>
  <c r="U516" i="1" l="1"/>
  <c r="S517" i="1"/>
  <c r="T517" i="1" s="1"/>
  <c r="R520" i="1"/>
  <c r="AT1299" i="1"/>
  <c r="AS1298" i="1"/>
  <c r="U517" i="1" l="1"/>
  <c r="S518" i="1"/>
  <c r="T518" i="1" s="1"/>
  <c r="R521" i="1"/>
  <c r="AT1300" i="1"/>
  <c r="AS1299" i="1"/>
  <c r="U518" i="1" l="1"/>
  <c r="S519" i="1"/>
  <c r="T519" i="1" s="1"/>
  <c r="R522" i="1"/>
  <c r="AT1301" i="1"/>
  <c r="AS1300" i="1"/>
  <c r="U519" i="1" l="1"/>
  <c r="S520" i="1"/>
  <c r="T520" i="1" s="1"/>
  <c r="R523" i="1"/>
  <c r="AT1302" i="1"/>
  <c r="AS1301" i="1"/>
  <c r="U520" i="1" l="1"/>
  <c r="S521" i="1"/>
  <c r="T521" i="1" s="1"/>
  <c r="R524" i="1"/>
  <c r="AT1303" i="1"/>
  <c r="AS1302" i="1"/>
  <c r="U521" i="1" l="1"/>
  <c r="S522" i="1"/>
  <c r="T522" i="1" s="1"/>
  <c r="R525" i="1"/>
  <c r="AT1304" i="1"/>
  <c r="AS1303" i="1"/>
  <c r="U522" i="1" l="1"/>
  <c r="S523" i="1"/>
  <c r="T523" i="1" s="1"/>
  <c r="R526" i="1"/>
  <c r="AT1305" i="1"/>
  <c r="AS1304" i="1"/>
  <c r="U523" i="1" l="1"/>
  <c r="S524" i="1"/>
  <c r="T524" i="1" s="1"/>
  <c r="R527" i="1"/>
  <c r="AT1306" i="1"/>
  <c r="AS1305" i="1"/>
  <c r="U524" i="1" l="1"/>
  <c r="S525" i="1"/>
  <c r="T525" i="1" s="1"/>
  <c r="R528" i="1"/>
  <c r="AT1307" i="1"/>
  <c r="AS1306" i="1"/>
  <c r="U525" i="1" l="1"/>
  <c r="S526" i="1"/>
  <c r="T526" i="1" s="1"/>
  <c r="R529" i="1"/>
  <c r="AT1308" i="1"/>
  <c r="AS1307" i="1"/>
  <c r="U526" i="1" l="1"/>
  <c r="S527" i="1"/>
  <c r="T527" i="1" s="1"/>
  <c r="R530" i="1"/>
  <c r="AT1309" i="1"/>
  <c r="AS1308" i="1"/>
  <c r="U527" i="1" l="1"/>
  <c r="S528" i="1"/>
  <c r="T528" i="1" s="1"/>
  <c r="R531" i="1"/>
  <c r="AT1310" i="1"/>
  <c r="AS1309" i="1"/>
  <c r="U528" i="1" l="1"/>
  <c r="S529" i="1"/>
  <c r="T529" i="1" s="1"/>
  <c r="R532" i="1"/>
  <c r="AT1311" i="1"/>
  <c r="AS1310" i="1"/>
  <c r="U529" i="1" l="1"/>
  <c r="S530" i="1"/>
  <c r="T530" i="1" s="1"/>
  <c r="R533" i="1"/>
  <c r="AT1312" i="1"/>
  <c r="AS1311" i="1"/>
  <c r="U530" i="1" l="1"/>
  <c r="S531" i="1"/>
  <c r="T531" i="1" s="1"/>
  <c r="R534" i="1"/>
  <c r="AT1313" i="1"/>
  <c r="AS1312" i="1"/>
  <c r="U531" i="1" l="1"/>
  <c r="S532" i="1"/>
  <c r="T532" i="1" s="1"/>
  <c r="R535" i="1"/>
  <c r="AT1314" i="1"/>
  <c r="AS1313" i="1"/>
  <c r="U532" i="1" l="1"/>
  <c r="S533" i="1"/>
  <c r="T533" i="1" s="1"/>
  <c r="R536" i="1"/>
  <c r="AT1315" i="1"/>
  <c r="AS1314" i="1"/>
  <c r="U533" i="1" l="1"/>
  <c r="S534" i="1"/>
  <c r="T534" i="1" s="1"/>
  <c r="R537" i="1"/>
  <c r="AT1316" i="1"/>
  <c r="AS1315" i="1"/>
  <c r="U534" i="1" l="1"/>
  <c r="S535" i="1"/>
  <c r="T535" i="1" s="1"/>
  <c r="R538" i="1"/>
  <c r="AT1317" i="1"/>
  <c r="AS1316" i="1"/>
  <c r="U535" i="1" l="1"/>
  <c r="S536" i="1"/>
  <c r="T536" i="1" s="1"/>
  <c r="R539" i="1"/>
  <c r="AT1318" i="1"/>
  <c r="AS1317" i="1"/>
  <c r="U536" i="1" l="1"/>
  <c r="S537" i="1"/>
  <c r="T537" i="1" s="1"/>
  <c r="R540" i="1"/>
  <c r="AT1319" i="1"/>
  <c r="AS1318" i="1"/>
  <c r="U537" i="1" l="1"/>
  <c r="S538" i="1"/>
  <c r="T538" i="1" s="1"/>
  <c r="R541" i="1"/>
  <c r="AT1320" i="1"/>
  <c r="AS1319" i="1"/>
  <c r="U538" i="1" l="1"/>
  <c r="S539" i="1"/>
  <c r="T539" i="1" s="1"/>
  <c r="R542" i="1"/>
  <c r="AT1321" i="1"/>
  <c r="AS1320" i="1"/>
  <c r="U539" i="1" l="1"/>
  <c r="S540" i="1"/>
  <c r="T540" i="1" s="1"/>
  <c r="R543" i="1"/>
  <c r="AT1322" i="1"/>
  <c r="AS1321" i="1"/>
  <c r="U540" i="1" l="1"/>
  <c r="S541" i="1"/>
  <c r="T541" i="1" s="1"/>
  <c r="R544" i="1"/>
  <c r="AT1323" i="1"/>
  <c r="AS1322" i="1"/>
  <c r="U541" i="1" l="1"/>
  <c r="S542" i="1"/>
  <c r="T542" i="1" s="1"/>
  <c r="R545" i="1"/>
  <c r="AT1324" i="1"/>
  <c r="AS1323" i="1"/>
  <c r="U542" i="1" l="1"/>
  <c r="S543" i="1"/>
  <c r="T543" i="1" s="1"/>
  <c r="R546" i="1"/>
  <c r="AT1325" i="1"/>
  <c r="AS1324" i="1"/>
  <c r="U543" i="1" l="1"/>
  <c r="S544" i="1"/>
  <c r="T544" i="1" s="1"/>
  <c r="R547" i="1"/>
  <c r="AT1326" i="1"/>
  <c r="AS1325" i="1"/>
  <c r="U544" i="1" l="1"/>
  <c r="S545" i="1"/>
  <c r="T545" i="1" s="1"/>
  <c r="R548" i="1"/>
  <c r="AT1327" i="1"/>
  <c r="AS1326" i="1"/>
  <c r="U545" i="1" l="1"/>
  <c r="S546" i="1"/>
  <c r="T546" i="1" s="1"/>
  <c r="R549" i="1"/>
  <c r="AT1328" i="1"/>
  <c r="AS1327" i="1"/>
  <c r="U546" i="1" l="1"/>
  <c r="S547" i="1"/>
  <c r="T547" i="1" s="1"/>
  <c r="R550" i="1"/>
  <c r="AT1329" i="1"/>
  <c r="AS1328" i="1"/>
  <c r="U547" i="1" l="1"/>
  <c r="S548" i="1"/>
  <c r="T548" i="1" s="1"/>
  <c r="R551" i="1"/>
  <c r="AT1330" i="1"/>
  <c r="AS1329" i="1"/>
  <c r="U548" i="1" l="1"/>
  <c r="S549" i="1"/>
  <c r="T549" i="1" s="1"/>
  <c r="R552" i="1"/>
  <c r="AT1331" i="1"/>
  <c r="AS1330" i="1"/>
  <c r="U549" i="1" l="1"/>
  <c r="S550" i="1"/>
  <c r="T550" i="1" s="1"/>
  <c r="R553" i="1"/>
  <c r="AT1332" i="1"/>
  <c r="AS1331" i="1"/>
  <c r="U550" i="1" l="1"/>
  <c r="S551" i="1"/>
  <c r="T551" i="1" s="1"/>
  <c r="R554" i="1"/>
  <c r="AT1333" i="1"/>
  <c r="AS1332" i="1"/>
  <c r="U551" i="1" l="1"/>
  <c r="S552" i="1"/>
  <c r="T552" i="1" s="1"/>
  <c r="R555" i="1"/>
  <c r="AT1334" i="1"/>
  <c r="AS1333" i="1"/>
  <c r="U552" i="1" l="1"/>
  <c r="S553" i="1"/>
  <c r="T553" i="1" s="1"/>
  <c r="R556" i="1"/>
  <c r="AT1335" i="1"/>
  <c r="AS1334" i="1"/>
  <c r="U553" i="1" l="1"/>
  <c r="S554" i="1"/>
  <c r="T554" i="1" s="1"/>
  <c r="R557" i="1"/>
  <c r="AT1336" i="1"/>
  <c r="AS1335" i="1"/>
  <c r="U554" i="1" l="1"/>
  <c r="S555" i="1"/>
  <c r="T555" i="1" s="1"/>
  <c r="R558" i="1"/>
  <c r="AT1337" i="1"/>
  <c r="AS1336" i="1"/>
  <c r="U555" i="1" l="1"/>
  <c r="S556" i="1"/>
  <c r="T556" i="1" s="1"/>
  <c r="R559" i="1"/>
  <c r="AT1338" i="1"/>
  <c r="AS1337" i="1"/>
  <c r="U556" i="1" l="1"/>
  <c r="S557" i="1"/>
  <c r="T557" i="1" s="1"/>
  <c r="R560" i="1"/>
  <c r="AT1339" i="1"/>
  <c r="AS1338" i="1"/>
  <c r="U557" i="1" l="1"/>
  <c r="S558" i="1"/>
  <c r="T558" i="1" s="1"/>
  <c r="R561" i="1"/>
  <c r="AT1340" i="1"/>
  <c r="AS1339" i="1"/>
  <c r="U558" i="1" l="1"/>
  <c r="S559" i="1"/>
  <c r="T559" i="1" s="1"/>
  <c r="R562" i="1"/>
  <c r="AT1341" i="1"/>
  <c r="AS1340" i="1"/>
  <c r="U559" i="1" l="1"/>
  <c r="S560" i="1"/>
  <c r="T560" i="1" s="1"/>
  <c r="R563" i="1"/>
  <c r="AT1342" i="1"/>
  <c r="AS1341" i="1"/>
  <c r="U560" i="1" l="1"/>
  <c r="S561" i="1"/>
  <c r="T561" i="1" s="1"/>
  <c r="R564" i="1"/>
  <c r="AT1343" i="1"/>
  <c r="AS1342" i="1"/>
  <c r="U561" i="1" l="1"/>
  <c r="S562" i="1"/>
  <c r="T562" i="1" s="1"/>
  <c r="R565" i="1"/>
  <c r="AT1344" i="1"/>
  <c r="AS1343" i="1"/>
  <c r="U562" i="1" l="1"/>
  <c r="S563" i="1"/>
  <c r="T563" i="1" s="1"/>
  <c r="R566" i="1"/>
  <c r="AT1345" i="1"/>
  <c r="AS1344" i="1"/>
  <c r="U563" i="1" l="1"/>
  <c r="S564" i="1"/>
  <c r="T564" i="1" s="1"/>
  <c r="R567" i="1"/>
  <c r="AT1346" i="1"/>
  <c r="AS1345" i="1"/>
  <c r="U564" i="1" l="1"/>
  <c r="S565" i="1"/>
  <c r="T565" i="1" s="1"/>
  <c r="R568" i="1"/>
  <c r="AT1347" i="1"/>
  <c r="AS1346" i="1"/>
  <c r="U565" i="1" l="1"/>
  <c r="S566" i="1"/>
  <c r="T566" i="1" s="1"/>
  <c r="R569" i="1"/>
  <c r="AT1348" i="1"/>
  <c r="AS1347" i="1"/>
  <c r="U566" i="1" l="1"/>
  <c r="S567" i="1"/>
  <c r="T567" i="1" s="1"/>
  <c r="R570" i="1"/>
  <c r="AT1349" i="1"/>
  <c r="AS1348" i="1"/>
  <c r="U567" i="1" l="1"/>
  <c r="S568" i="1"/>
  <c r="T568" i="1" s="1"/>
  <c r="R571" i="1"/>
  <c r="AT1350" i="1"/>
  <c r="AS1349" i="1"/>
  <c r="U568" i="1" l="1"/>
  <c r="S569" i="1"/>
  <c r="T569" i="1" s="1"/>
  <c r="R572" i="1"/>
  <c r="AT1351" i="1"/>
  <c r="AS1350" i="1"/>
  <c r="U569" i="1" l="1"/>
  <c r="S570" i="1"/>
  <c r="T570" i="1" s="1"/>
  <c r="R573" i="1"/>
  <c r="AT1352" i="1"/>
  <c r="AS1351" i="1"/>
  <c r="U570" i="1" l="1"/>
  <c r="S571" i="1"/>
  <c r="T571" i="1" s="1"/>
  <c r="R574" i="1"/>
  <c r="AT1353" i="1"/>
  <c r="AS1352" i="1"/>
  <c r="U571" i="1" l="1"/>
  <c r="S572" i="1"/>
  <c r="T572" i="1" s="1"/>
  <c r="R575" i="1"/>
  <c r="AT1354" i="1"/>
  <c r="AS1353" i="1"/>
  <c r="U572" i="1" l="1"/>
  <c r="S573" i="1"/>
  <c r="T573" i="1" s="1"/>
  <c r="R576" i="1"/>
  <c r="AT1355" i="1"/>
  <c r="AS1354" i="1"/>
  <c r="U573" i="1" l="1"/>
  <c r="S574" i="1"/>
  <c r="T574" i="1" s="1"/>
  <c r="R577" i="1"/>
  <c r="AT1356" i="1"/>
  <c r="AS1355" i="1"/>
  <c r="U574" i="1" l="1"/>
  <c r="S575" i="1"/>
  <c r="T575" i="1" s="1"/>
  <c r="R578" i="1"/>
  <c r="AT1357" i="1"/>
  <c r="AS1356" i="1"/>
  <c r="U575" i="1" l="1"/>
  <c r="S576" i="1"/>
  <c r="T576" i="1" s="1"/>
  <c r="R579" i="1"/>
  <c r="AT1358" i="1"/>
  <c r="AS1357" i="1"/>
  <c r="U576" i="1" l="1"/>
  <c r="S577" i="1"/>
  <c r="T577" i="1" s="1"/>
  <c r="R580" i="1"/>
  <c r="AT1359" i="1"/>
  <c r="AS1358" i="1"/>
  <c r="U577" i="1" l="1"/>
  <c r="S578" i="1"/>
  <c r="T578" i="1" s="1"/>
  <c r="R581" i="1"/>
  <c r="AT1360" i="1"/>
  <c r="AS1359" i="1"/>
  <c r="U578" i="1" l="1"/>
  <c r="S579" i="1"/>
  <c r="T579" i="1" s="1"/>
  <c r="R582" i="1"/>
  <c r="AT1361" i="1"/>
  <c r="AS1360" i="1"/>
  <c r="U579" i="1" l="1"/>
  <c r="S580" i="1"/>
  <c r="T580" i="1" s="1"/>
  <c r="R583" i="1"/>
  <c r="AT1362" i="1"/>
  <c r="AS1361" i="1"/>
  <c r="U580" i="1" l="1"/>
  <c r="S581" i="1"/>
  <c r="T581" i="1" s="1"/>
  <c r="R584" i="1"/>
  <c r="AT1363" i="1"/>
  <c r="AS1362" i="1"/>
  <c r="U581" i="1" l="1"/>
  <c r="S582" i="1"/>
  <c r="T582" i="1" s="1"/>
  <c r="R585" i="1"/>
  <c r="AT1364" i="1"/>
  <c r="AS1363" i="1"/>
  <c r="U582" i="1" l="1"/>
  <c r="S583" i="1"/>
  <c r="T583" i="1" s="1"/>
  <c r="R586" i="1"/>
  <c r="AT1365" i="1"/>
  <c r="AS1364" i="1"/>
  <c r="U583" i="1" l="1"/>
  <c r="S584" i="1"/>
  <c r="T584" i="1" s="1"/>
  <c r="R587" i="1"/>
  <c r="AT1366" i="1"/>
  <c r="AS1365" i="1"/>
  <c r="U584" i="1" l="1"/>
  <c r="S585" i="1"/>
  <c r="T585" i="1" s="1"/>
  <c r="R588" i="1"/>
  <c r="AT1367" i="1"/>
  <c r="AS1366" i="1"/>
  <c r="U585" i="1" l="1"/>
  <c r="S586" i="1"/>
  <c r="T586" i="1" s="1"/>
  <c r="R589" i="1"/>
  <c r="AT1368" i="1"/>
  <c r="AS1367" i="1"/>
  <c r="U586" i="1" l="1"/>
  <c r="S587" i="1"/>
  <c r="T587" i="1" s="1"/>
  <c r="R590" i="1"/>
  <c r="AT1369" i="1"/>
  <c r="AS1368" i="1"/>
  <c r="U587" i="1" l="1"/>
  <c r="S588" i="1"/>
  <c r="T588" i="1" s="1"/>
  <c r="R591" i="1"/>
  <c r="AT1370" i="1"/>
  <c r="AS1369" i="1"/>
  <c r="U588" i="1" l="1"/>
  <c r="S589" i="1"/>
  <c r="T589" i="1" s="1"/>
  <c r="R592" i="1"/>
  <c r="AT1371" i="1"/>
  <c r="AS1370" i="1"/>
  <c r="U589" i="1" l="1"/>
  <c r="S590" i="1"/>
  <c r="T590" i="1" s="1"/>
  <c r="R593" i="1"/>
  <c r="AT1372" i="1"/>
  <c r="AS1371" i="1"/>
  <c r="U590" i="1" l="1"/>
  <c r="S591" i="1"/>
  <c r="T591" i="1" s="1"/>
  <c r="R594" i="1"/>
  <c r="AT1373" i="1"/>
  <c r="AS1372" i="1"/>
  <c r="U591" i="1" l="1"/>
  <c r="S592" i="1"/>
  <c r="T592" i="1" s="1"/>
  <c r="R595" i="1"/>
  <c r="AT1374" i="1"/>
  <c r="AS1373" i="1"/>
  <c r="U592" i="1" l="1"/>
  <c r="S593" i="1"/>
  <c r="T593" i="1" s="1"/>
  <c r="R596" i="1"/>
  <c r="AT1375" i="1"/>
  <c r="AS1374" i="1"/>
  <c r="U593" i="1" l="1"/>
  <c r="S594" i="1"/>
  <c r="T594" i="1" s="1"/>
  <c r="R597" i="1"/>
  <c r="AT1376" i="1"/>
  <c r="AS1375" i="1"/>
  <c r="U594" i="1" l="1"/>
  <c r="S595" i="1"/>
  <c r="T595" i="1" s="1"/>
  <c r="R598" i="1"/>
  <c r="AT1377" i="1"/>
  <c r="AS1376" i="1"/>
  <c r="U595" i="1" l="1"/>
  <c r="S596" i="1"/>
  <c r="T596" i="1" s="1"/>
  <c r="R599" i="1"/>
  <c r="AT1378" i="1"/>
  <c r="AS1377" i="1"/>
  <c r="U596" i="1" l="1"/>
  <c r="S597" i="1"/>
  <c r="T597" i="1" s="1"/>
  <c r="R600" i="1"/>
  <c r="AT1379" i="1"/>
  <c r="AS1378" i="1"/>
  <c r="U597" i="1" l="1"/>
  <c r="S598" i="1"/>
  <c r="T598" i="1" s="1"/>
  <c r="R601" i="1"/>
  <c r="AT1380" i="1"/>
  <c r="AS1379" i="1"/>
  <c r="U598" i="1" l="1"/>
  <c r="S599" i="1"/>
  <c r="T599" i="1" s="1"/>
  <c r="R602" i="1"/>
  <c r="AT1381" i="1"/>
  <c r="AS1380" i="1"/>
  <c r="U599" i="1" l="1"/>
  <c r="S600" i="1"/>
  <c r="T600" i="1" s="1"/>
  <c r="R603" i="1"/>
  <c r="AT1382" i="1"/>
  <c r="AS1381" i="1"/>
  <c r="U600" i="1" l="1"/>
  <c r="S601" i="1"/>
  <c r="T601" i="1" s="1"/>
  <c r="R604" i="1"/>
  <c r="AT1383" i="1"/>
  <c r="AS1382" i="1"/>
  <c r="U601" i="1" l="1"/>
  <c r="S602" i="1"/>
  <c r="T602" i="1" s="1"/>
  <c r="R605" i="1"/>
  <c r="AT1384" i="1"/>
  <c r="AS1383" i="1"/>
  <c r="U602" i="1" l="1"/>
  <c r="S603" i="1"/>
  <c r="T603" i="1" s="1"/>
  <c r="R606" i="1"/>
  <c r="AT1385" i="1"/>
  <c r="AS1384" i="1"/>
  <c r="U603" i="1" l="1"/>
  <c r="S604" i="1"/>
  <c r="T604" i="1" s="1"/>
  <c r="R607" i="1"/>
  <c r="AT1386" i="1"/>
  <c r="AS1385" i="1"/>
  <c r="U604" i="1" l="1"/>
  <c r="S605" i="1"/>
  <c r="T605" i="1" s="1"/>
  <c r="R608" i="1"/>
  <c r="AT1387" i="1"/>
  <c r="AS1386" i="1"/>
  <c r="U605" i="1" l="1"/>
  <c r="S606" i="1"/>
  <c r="T606" i="1" s="1"/>
  <c r="R609" i="1"/>
  <c r="AT1388" i="1"/>
  <c r="AS1387" i="1"/>
  <c r="U606" i="1" l="1"/>
  <c r="S607" i="1"/>
  <c r="T607" i="1" s="1"/>
  <c r="R610" i="1"/>
  <c r="AT1389" i="1"/>
  <c r="AS1388" i="1"/>
  <c r="U607" i="1" l="1"/>
  <c r="S608" i="1"/>
  <c r="T608" i="1" s="1"/>
  <c r="R611" i="1"/>
  <c r="AT1390" i="1"/>
  <c r="AS1389" i="1"/>
  <c r="U608" i="1" l="1"/>
  <c r="S609" i="1"/>
  <c r="T609" i="1" s="1"/>
  <c r="R612" i="1"/>
  <c r="AT1391" i="1"/>
  <c r="AS1390" i="1"/>
  <c r="U609" i="1" l="1"/>
  <c r="S610" i="1"/>
  <c r="T610" i="1" s="1"/>
  <c r="R613" i="1"/>
  <c r="AT1392" i="1"/>
  <c r="AS1391" i="1"/>
  <c r="U610" i="1" l="1"/>
  <c r="S611" i="1"/>
  <c r="T611" i="1" s="1"/>
  <c r="R614" i="1"/>
  <c r="AT1393" i="1"/>
  <c r="AS1392" i="1"/>
  <c r="U611" i="1" l="1"/>
  <c r="S612" i="1"/>
  <c r="T612" i="1" s="1"/>
  <c r="R615" i="1"/>
  <c r="AT1394" i="1"/>
  <c r="AS1393" i="1"/>
  <c r="U612" i="1" l="1"/>
  <c r="S613" i="1"/>
  <c r="T613" i="1" s="1"/>
  <c r="R616" i="1"/>
  <c r="AT1395" i="1"/>
  <c r="AS1394" i="1"/>
  <c r="U613" i="1" l="1"/>
  <c r="S614" i="1"/>
  <c r="T614" i="1" s="1"/>
  <c r="R617" i="1"/>
  <c r="AT1396" i="1"/>
  <c r="AS1395" i="1"/>
  <c r="U614" i="1" l="1"/>
  <c r="S615" i="1"/>
  <c r="T615" i="1" s="1"/>
  <c r="R618" i="1"/>
  <c r="AT1397" i="1"/>
  <c r="AS1396" i="1"/>
  <c r="U615" i="1" l="1"/>
  <c r="S616" i="1"/>
  <c r="T616" i="1" s="1"/>
  <c r="R619" i="1"/>
  <c r="AT1398" i="1"/>
  <c r="AS1397" i="1"/>
  <c r="U616" i="1" l="1"/>
  <c r="S617" i="1"/>
  <c r="T617" i="1" s="1"/>
  <c r="R620" i="1"/>
  <c r="AT1399" i="1"/>
  <c r="AS1398" i="1"/>
  <c r="U617" i="1" l="1"/>
  <c r="S618" i="1"/>
  <c r="T618" i="1" s="1"/>
  <c r="R621" i="1"/>
  <c r="AT1400" i="1"/>
  <c r="AS1399" i="1"/>
  <c r="U618" i="1" l="1"/>
  <c r="S619" i="1"/>
  <c r="T619" i="1" s="1"/>
  <c r="R622" i="1"/>
  <c r="AT1401" i="1"/>
  <c r="AS1400" i="1"/>
  <c r="U619" i="1" l="1"/>
  <c r="S620" i="1"/>
  <c r="T620" i="1" s="1"/>
  <c r="R623" i="1"/>
  <c r="AT1402" i="1"/>
  <c r="AS1401" i="1"/>
  <c r="U620" i="1" l="1"/>
  <c r="S621" i="1"/>
  <c r="T621" i="1" s="1"/>
  <c r="R624" i="1"/>
  <c r="AT1403" i="1"/>
  <c r="AS1402" i="1"/>
  <c r="U621" i="1" l="1"/>
  <c r="S622" i="1"/>
  <c r="T622" i="1" s="1"/>
  <c r="R625" i="1"/>
  <c r="AT1404" i="1"/>
  <c r="AS1403" i="1"/>
  <c r="U622" i="1" l="1"/>
  <c r="S623" i="1"/>
  <c r="T623" i="1" s="1"/>
  <c r="R626" i="1"/>
  <c r="AT1405" i="1"/>
  <c r="AS1404" i="1"/>
  <c r="U623" i="1" l="1"/>
  <c r="S624" i="1"/>
  <c r="T624" i="1" s="1"/>
  <c r="R627" i="1"/>
  <c r="AT1406" i="1"/>
  <c r="AS1405" i="1"/>
  <c r="U624" i="1" l="1"/>
  <c r="S625" i="1"/>
  <c r="T625" i="1" s="1"/>
  <c r="R628" i="1"/>
  <c r="AT1407" i="1"/>
  <c r="AS1406" i="1"/>
  <c r="U625" i="1" l="1"/>
  <c r="S626" i="1"/>
  <c r="T626" i="1" s="1"/>
  <c r="R629" i="1"/>
  <c r="AT1408" i="1"/>
  <c r="AS1407" i="1"/>
  <c r="U626" i="1" l="1"/>
  <c r="S627" i="1"/>
  <c r="T627" i="1" s="1"/>
  <c r="R630" i="1"/>
  <c r="AT1409" i="1"/>
  <c r="AS1408" i="1"/>
  <c r="U627" i="1" l="1"/>
  <c r="S628" i="1"/>
  <c r="T628" i="1" s="1"/>
  <c r="R631" i="1"/>
  <c r="AT1410" i="1"/>
  <c r="AS1409" i="1"/>
  <c r="U628" i="1" l="1"/>
  <c r="S629" i="1"/>
  <c r="T629" i="1" s="1"/>
  <c r="R632" i="1"/>
  <c r="AT1411" i="1"/>
  <c r="AS1410" i="1"/>
  <c r="U629" i="1" l="1"/>
  <c r="S630" i="1"/>
  <c r="T630" i="1" s="1"/>
  <c r="R633" i="1"/>
  <c r="AT1412" i="1"/>
  <c r="AS1411" i="1"/>
  <c r="U630" i="1" l="1"/>
  <c r="S631" i="1"/>
  <c r="T631" i="1" s="1"/>
  <c r="R634" i="1"/>
  <c r="AT1413" i="1"/>
  <c r="AS1412" i="1"/>
  <c r="U631" i="1" l="1"/>
  <c r="S632" i="1"/>
  <c r="T632" i="1" s="1"/>
  <c r="R635" i="1"/>
  <c r="AT1414" i="1"/>
  <c r="AS1413" i="1"/>
  <c r="U632" i="1" l="1"/>
  <c r="S633" i="1"/>
  <c r="T633" i="1" s="1"/>
  <c r="R636" i="1"/>
  <c r="AT1415" i="1"/>
  <c r="AS1414" i="1"/>
  <c r="U633" i="1" l="1"/>
  <c r="S634" i="1"/>
  <c r="T634" i="1" s="1"/>
  <c r="R637" i="1"/>
  <c r="AT1416" i="1"/>
  <c r="AS1415" i="1"/>
  <c r="U634" i="1" l="1"/>
  <c r="S635" i="1"/>
  <c r="T635" i="1" s="1"/>
  <c r="R638" i="1"/>
  <c r="AT1417" i="1"/>
  <c r="AS1416" i="1"/>
  <c r="U635" i="1" l="1"/>
  <c r="S636" i="1"/>
  <c r="T636" i="1" s="1"/>
  <c r="R639" i="1"/>
  <c r="AT1418" i="1"/>
  <c r="AS1417" i="1"/>
  <c r="U636" i="1" l="1"/>
  <c r="S637" i="1"/>
  <c r="T637" i="1" s="1"/>
  <c r="R640" i="1"/>
  <c r="AT1419" i="1"/>
  <c r="AS1418" i="1"/>
  <c r="U637" i="1" l="1"/>
  <c r="S638" i="1"/>
  <c r="T638" i="1" s="1"/>
  <c r="R641" i="1"/>
  <c r="AT1420" i="1"/>
  <c r="AS1419" i="1"/>
  <c r="U638" i="1" l="1"/>
  <c r="S639" i="1"/>
  <c r="T639" i="1" s="1"/>
  <c r="R642" i="1"/>
  <c r="AT1421" i="1"/>
  <c r="AS1420" i="1"/>
  <c r="U639" i="1" l="1"/>
  <c r="S640" i="1"/>
  <c r="T640" i="1" s="1"/>
  <c r="R643" i="1"/>
  <c r="AT1422" i="1"/>
  <c r="AS1421" i="1"/>
  <c r="U640" i="1" l="1"/>
  <c r="S641" i="1"/>
  <c r="T641" i="1" s="1"/>
  <c r="R644" i="1"/>
  <c r="AT1423" i="1"/>
  <c r="AS1422" i="1"/>
  <c r="U641" i="1" l="1"/>
  <c r="S642" i="1"/>
  <c r="T642" i="1" s="1"/>
  <c r="R645" i="1"/>
  <c r="AT1424" i="1"/>
  <c r="AS1423" i="1"/>
  <c r="U642" i="1" l="1"/>
  <c r="S643" i="1"/>
  <c r="T643" i="1" s="1"/>
  <c r="R646" i="1"/>
  <c r="AT1425" i="1"/>
  <c r="AS1424" i="1"/>
  <c r="U643" i="1" l="1"/>
  <c r="S644" i="1"/>
  <c r="T644" i="1" s="1"/>
  <c r="R647" i="1"/>
  <c r="AT1426" i="1"/>
  <c r="AS1425" i="1"/>
  <c r="U644" i="1" l="1"/>
  <c r="S645" i="1"/>
  <c r="T645" i="1" s="1"/>
  <c r="R648" i="1"/>
  <c r="AT1427" i="1"/>
  <c r="AS1426" i="1"/>
  <c r="U645" i="1" l="1"/>
  <c r="S646" i="1"/>
  <c r="T646" i="1" s="1"/>
  <c r="R649" i="1"/>
  <c r="AT1428" i="1"/>
  <c r="AS1427" i="1"/>
  <c r="U646" i="1" l="1"/>
  <c r="S647" i="1"/>
  <c r="T647" i="1" s="1"/>
  <c r="R650" i="1"/>
  <c r="AT1429" i="1"/>
  <c r="AS1428" i="1"/>
  <c r="U647" i="1" l="1"/>
  <c r="S648" i="1"/>
  <c r="T648" i="1" s="1"/>
  <c r="R651" i="1"/>
  <c r="AT1430" i="1"/>
  <c r="AS1429" i="1"/>
  <c r="U648" i="1" l="1"/>
  <c r="S649" i="1"/>
  <c r="T649" i="1" s="1"/>
  <c r="R652" i="1"/>
  <c r="AT1431" i="1"/>
  <c r="AS1430" i="1"/>
  <c r="U649" i="1" l="1"/>
  <c r="S650" i="1"/>
  <c r="T650" i="1" s="1"/>
  <c r="R653" i="1"/>
  <c r="AT1432" i="1"/>
  <c r="AS1431" i="1"/>
  <c r="U650" i="1" l="1"/>
  <c r="S651" i="1"/>
  <c r="T651" i="1" s="1"/>
  <c r="R654" i="1"/>
  <c r="AT1433" i="1"/>
  <c r="AS1432" i="1"/>
  <c r="U651" i="1" l="1"/>
  <c r="S652" i="1"/>
  <c r="T652" i="1" s="1"/>
  <c r="R655" i="1"/>
  <c r="AT1434" i="1"/>
  <c r="AS1433" i="1"/>
  <c r="U652" i="1" l="1"/>
  <c r="S653" i="1"/>
  <c r="T653" i="1" s="1"/>
  <c r="R656" i="1"/>
  <c r="AT1435" i="1"/>
  <c r="AS1434" i="1"/>
  <c r="U653" i="1" l="1"/>
  <c r="S654" i="1"/>
  <c r="T654" i="1" s="1"/>
  <c r="R657" i="1"/>
  <c r="AT1436" i="1"/>
  <c r="AS1435" i="1"/>
  <c r="U654" i="1" l="1"/>
  <c r="S655" i="1"/>
  <c r="T655" i="1" s="1"/>
  <c r="R658" i="1"/>
  <c r="AT1437" i="1"/>
  <c r="AS1436" i="1"/>
  <c r="U655" i="1" l="1"/>
  <c r="S656" i="1"/>
  <c r="T656" i="1" s="1"/>
  <c r="R659" i="1"/>
  <c r="AT1438" i="1"/>
  <c r="AS1437" i="1"/>
  <c r="U656" i="1" l="1"/>
  <c r="S657" i="1"/>
  <c r="T657" i="1" s="1"/>
  <c r="R660" i="1"/>
  <c r="AT1439" i="1"/>
  <c r="AS1438" i="1"/>
  <c r="U657" i="1" l="1"/>
  <c r="S658" i="1"/>
  <c r="T658" i="1" s="1"/>
  <c r="R661" i="1"/>
  <c r="AT1440" i="1"/>
  <c r="AS1439" i="1"/>
  <c r="U658" i="1" l="1"/>
  <c r="S659" i="1"/>
  <c r="T659" i="1" s="1"/>
  <c r="R662" i="1"/>
  <c r="AT1441" i="1"/>
  <c r="AS1440" i="1"/>
  <c r="U659" i="1" l="1"/>
  <c r="S660" i="1"/>
  <c r="T660" i="1" s="1"/>
  <c r="R663" i="1"/>
  <c r="AT1442" i="1"/>
  <c r="AS1441" i="1"/>
  <c r="U660" i="1" l="1"/>
  <c r="S661" i="1"/>
  <c r="T661" i="1" s="1"/>
  <c r="R664" i="1"/>
  <c r="AT1443" i="1"/>
  <c r="AS1442" i="1"/>
  <c r="U661" i="1" l="1"/>
  <c r="S662" i="1"/>
  <c r="T662" i="1" s="1"/>
  <c r="R665" i="1"/>
  <c r="AT1444" i="1"/>
  <c r="AS1443" i="1"/>
  <c r="U662" i="1" l="1"/>
  <c r="S663" i="1"/>
  <c r="T663" i="1" s="1"/>
  <c r="R666" i="1"/>
  <c r="AT1445" i="1"/>
  <c r="AS1444" i="1"/>
  <c r="U663" i="1" l="1"/>
  <c r="S664" i="1"/>
  <c r="T664" i="1" s="1"/>
  <c r="R667" i="1"/>
  <c r="AT1446" i="1"/>
  <c r="AS1445" i="1"/>
  <c r="U664" i="1" l="1"/>
  <c r="S665" i="1"/>
  <c r="T665" i="1" s="1"/>
  <c r="R668" i="1"/>
  <c r="AT1447" i="1"/>
  <c r="AS1446" i="1"/>
  <c r="U665" i="1" l="1"/>
  <c r="S666" i="1"/>
  <c r="T666" i="1" s="1"/>
  <c r="R669" i="1"/>
  <c r="AT1448" i="1"/>
  <c r="AS1447" i="1"/>
  <c r="U666" i="1" l="1"/>
  <c r="S667" i="1"/>
  <c r="T667" i="1" s="1"/>
  <c r="R670" i="1"/>
  <c r="AT1449" i="1"/>
  <c r="AS1448" i="1"/>
  <c r="U667" i="1" l="1"/>
  <c r="S668" i="1"/>
  <c r="T668" i="1" s="1"/>
  <c r="R671" i="1"/>
  <c r="AT1450" i="1"/>
  <c r="AS1449" i="1"/>
  <c r="U668" i="1" l="1"/>
  <c r="S669" i="1"/>
  <c r="T669" i="1" s="1"/>
  <c r="R672" i="1"/>
  <c r="AT1451" i="1"/>
  <c r="AS1450" i="1"/>
  <c r="U669" i="1" l="1"/>
  <c r="S670" i="1"/>
  <c r="T670" i="1" s="1"/>
  <c r="R673" i="1"/>
  <c r="AT1452" i="1"/>
  <c r="AS1451" i="1"/>
  <c r="U670" i="1" l="1"/>
  <c r="S671" i="1"/>
  <c r="T671" i="1" s="1"/>
  <c r="R674" i="1"/>
  <c r="AT1453" i="1"/>
  <c r="AS1452" i="1"/>
  <c r="U671" i="1" l="1"/>
  <c r="S672" i="1"/>
  <c r="T672" i="1" s="1"/>
  <c r="R675" i="1"/>
  <c r="AT1454" i="1"/>
  <c r="AS1453" i="1"/>
  <c r="U672" i="1" l="1"/>
  <c r="S673" i="1"/>
  <c r="T673" i="1" s="1"/>
  <c r="R676" i="1"/>
  <c r="AT1455" i="1"/>
  <c r="AS1454" i="1"/>
  <c r="U673" i="1" l="1"/>
  <c r="S674" i="1"/>
  <c r="T674" i="1" s="1"/>
  <c r="R677" i="1"/>
  <c r="AT1456" i="1"/>
  <c r="AS1455" i="1"/>
  <c r="U674" i="1" l="1"/>
  <c r="S675" i="1"/>
  <c r="T675" i="1" s="1"/>
  <c r="R678" i="1"/>
  <c r="AT1457" i="1"/>
  <c r="AS1456" i="1"/>
  <c r="U675" i="1" l="1"/>
  <c r="S676" i="1"/>
  <c r="T676" i="1" s="1"/>
  <c r="R679" i="1"/>
  <c r="AT1458" i="1"/>
  <c r="AS1457" i="1"/>
  <c r="U676" i="1" l="1"/>
  <c r="S677" i="1"/>
  <c r="T677" i="1" s="1"/>
  <c r="R680" i="1"/>
  <c r="AT1459" i="1"/>
  <c r="AS1458" i="1"/>
  <c r="U677" i="1" l="1"/>
  <c r="S678" i="1"/>
  <c r="T678" i="1" s="1"/>
  <c r="R681" i="1"/>
  <c r="AT1460" i="1"/>
  <c r="AS1459" i="1"/>
  <c r="U678" i="1" l="1"/>
  <c r="S679" i="1"/>
  <c r="T679" i="1" s="1"/>
  <c r="R682" i="1"/>
  <c r="AT1461" i="1"/>
  <c r="AS1460" i="1"/>
  <c r="U679" i="1" l="1"/>
  <c r="S680" i="1"/>
  <c r="T680" i="1" s="1"/>
  <c r="R683" i="1"/>
  <c r="AT1462" i="1"/>
  <c r="AS1461" i="1"/>
  <c r="U680" i="1" l="1"/>
  <c r="S681" i="1"/>
  <c r="T681" i="1" s="1"/>
  <c r="R684" i="1"/>
  <c r="AT1463" i="1"/>
  <c r="AS1462" i="1"/>
  <c r="U681" i="1" l="1"/>
  <c r="S682" i="1"/>
  <c r="T682" i="1" s="1"/>
  <c r="R685" i="1"/>
  <c r="AT1464" i="1"/>
  <c r="AS1463" i="1"/>
  <c r="U682" i="1" l="1"/>
  <c r="S683" i="1"/>
  <c r="T683" i="1" s="1"/>
  <c r="R686" i="1"/>
  <c r="AT1465" i="1"/>
  <c r="AS1464" i="1"/>
  <c r="U683" i="1" l="1"/>
  <c r="S684" i="1"/>
  <c r="T684" i="1" s="1"/>
  <c r="R687" i="1"/>
  <c r="AT1466" i="1"/>
  <c r="AS1465" i="1"/>
  <c r="U684" i="1" l="1"/>
  <c r="S685" i="1"/>
  <c r="T685" i="1" s="1"/>
  <c r="R688" i="1"/>
  <c r="AT1467" i="1"/>
  <c r="AS1466" i="1"/>
  <c r="U685" i="1" l="1"/>
  <c r="S686" i="1"/>
  <c r="T686" i="1" s="1"/>
  <c r="R689" i="1"/>
  <c r="AT1468" i="1"/>
  <c r="AS1467" i="1"/>
  <c r="U686" i="1" l="1"/>
  <c r="S687" i="1"/>
  <c r="T687" i="1" s="1"/>
  <c r="R690" i="1"/>
  <c r="AT1469" i="1"/>
  <c r="AS1468" i="1"/>
  <c r="U687" i="1" l="1"/>
  <c r="S688" i="1"/>
  <c r="T688" i="1" s="1"/>
  <c r="R691" i="1"/>
  <c r="AT1470" i="1"/>
  <c r="AS1469" i="1"/>
  <c r="U688" i="1" l="1"/>
  <c r="S689" i="1"/>
  <c r="T689" i="1" s="1"/>
  <c r="R692" i="1"/>
  <c r="AT1471" i="1"/>
  <c r="AS1470" i="1"/>
  <c r="U689" i="1" l="1"/>
  <c r="S690" i="1"/>
  <c r="T690" i="1" s="1"/>
  <c r="R693" i="1"/>
  <c r="AT1472" i="1"/>
  <c r="AS1471" i="1"/>
  <c r="U690" i="1" l="1"/>
  <c r="S691" i="1"/>
  <c r="T691" i="1" s="1"/>
  <c r="R694" i="1"/>
  <c r="AT1473" i="1"/>
  <c r="AS1472" i="1"/>
  <c r="U691" i="1" l="1"/>
  <c r="S692" i="1"/>
  <c r="T692" i="1" s="1"/>
  <c r="R695" i="1"/>
  <c r="AT1474" i="1"/>
  <c r="AS1473" i="1"/>
  <c r="U692" i="1" l="1"/>
  <c r="S693" i="1"/>
  <c r="T693" i="1" s="1"/>
  <c r="R696" i="1"/>
  <c r="AT1475" i="1"/>
  <c r="AS1474" i="1"/>
  <c r="U693" i="1" l="1"/>
  <c r="S694" i="1"/>
  <c r="T694" i="1" s="1"/>
  <c r="R697" i="1"/>
  <c r="AT1476" i="1"/>
  <c r="AS1475" i="1"/>
  <c r="U694" i="1" l="1"/>
  <c r="S695" i="1"/>
  <c r="T695" i="1" s="1"/>
  <c r="R698" i="1"/>
  <c r="AT1477" i="1"/>
  <c r="AS1476" i="1"/>
  <c r="U695" i="1" l="1"/>
  <c r="S696" i="1"/>
  <c r="T696" i="1" s="1"/>
  <c r="R699" i="1"/>
  <c r="AT1478" i="1"/>
  <c r="AS1477" i="1"/>
  <c r="U696" i="1" l="1"/>
  <c r="S697" i="1"/>
  <c r="T697" i="1" s="1"/>
  <c r="R700" i="1"/>
  <c r="AT1479" i="1"/>
  <c r="AS1478" i="1"/>
  <c r="U697" i="1" l="1"/>
  <c r="S698" i="1"/>
  <c r="T698" i="1" s="1"/>
  <c r="R701" i="1"/>
  <c r="AT1480" i="1"/>
  <c r="AS1479" i="1"/>
  <c r="U698" i="1" l="1"/>
  <c r="S699" i="1"/>
  <c r="T699" i="1" s="1"/>
  <c r="R702" i="1"/>
  <c r="AT1481" i="1"/>
  <c r="AS1480" i="1"/>
  <c r="U699" i="1" l="1"/>
  <c r="S700" i="1"/>
  <c r="T700" i="1" s="1"/>
  <c r="R703" i="1"/>
  <c r="AT1482" i="1"/>
  <c r="AS1481" i="1"/>
  <c r="U700" i="1" l="1"/>
  <c r="S701" i="1"/>
  <c r="T701" i="1" s="1"/>
  <c r="R704" i="1"/>
  <c r="AT1483" i="1"/>
  <c r="AS1482" i="1"/>
  <c r="U701" i="1" l="1"/>
  <c r="S702" i="1"/>
  <c r="T702" i="1" s="1"/>
  <c r="R705" i="1"/>
  <c r="AT1484" i="1"/>
  <c r="AS1483" i="1"/>
  <c r="U702" i="1" l="1"/>
  <c r="S703" i="1"/>
  <c r="T703" i="1" s="1"/>
  <c r="R706" i="1"/>
  <c r="AT1485" i="1"/>
  <c r="AS1484" i="1"/>
  <c r="U703" i="1" l="1"/>
  <c r="S704" i="1"/>
  <c r="T704" i="1" s="1"/>
  <c r="R707" i="1"/>
  <c r="AT1486" i="1"/>
  <c r="AS1485" i="1"/>
  <c r="U704" i="1" l="1"/>
  <c r="S705" i="1"/>
  <c r="T705" i="1" s="1"/>
  <c r="R708" i="1"/>
  <c r="AT1487" i="1"/>
  <c r="AS1486" i="1"/>
  <c r="U705" i="1" l="1"/>
  <c r="S706" i="1"/>
  <c r="T706" i="1" s="1"/>
  <c r="R709" i="1"/>
  <c r="AT1488" i="1"/>
  <c r="AS1487" i="1"/>
  <c r="U706" i="1" l="1"/>
  <c r="S707" i="1"/>
  <c r="T707" i="1" s="1"/>
  <c r="R710" i="1"/>
  <c r="AT1489" i="1"/>
  <c r="AS1488" i="1"/>
  <c r="U707" i="1" l="1"/>
  <c r="S708" i="1"/>
  <c r="T708" i="1" s="1"/>
  <c r="R711" i="1"/>
  <c r="AT1490" i="1"/>
  <c r="AS1489" i="1"/>
  <c r="U708" i="1" l="1"/>
  <c r="S709" i="1"/>
  <c r="T709" i="1" s="1"/>
  <c r="R712" i="1"/>
  <c r="AT1491" i="1"/>
  <c r="AS1490" i="1"/>
  <c r="U709" i="1" l="1"/>
  <c r="S710" i="1"/>
  <c r="T710" i="1" s="1"/>
  <c r="R713" i="1"/>
  <c r="AT1492" i="1"/>
  <c r="AS1491" i="1"/>
  <c r="U710" i="1" l="1"/>
  <c r="S711" i="1"/>
  <c r="T711" i="1" s="1"/>
  <c r="R714" i="1"/>
  <c r="AT1493" i="1"/>
  <c r="AS1492" i="1"/>
  <c r="U711" i="1" l="1"/>
  <c r="S712" i="1"/>
  <c r="T712" i="1" s="1"/>
  <c r="R715" i="1"/>
  <c r="AT1494" i="1"/>
  <c r="AS1493" i="1"/>
  <c r="U712" i="1" l="1"/>
  <c r="S713" i="1"/>
  <c r="T713" i="1" s="1"/>
  <c r="R716" i="1"/>
  <c r="AT1495" i="1"/>
  <c r="AS1494" i="1"/>
  <c r="U713" i="1" l="1"/>
  <c r="S714" i="1"/>
  <c r="T714" i="1" s="1"/>
  <c r="R717" i="1"/>
  <c r="AT1496" i="1"/>
  <c r="AS1495" i="1"/>
  <c r="U714" i="1" l="1"/>
  <c r="S715" i="1"/>
  <c r="T715" i="1" s="1"/>
  <c r="R718" i="1"/>
  <c r="AT1497" i="1"/>
  <c r="AS1496" i="1"/>
  <c r="U715" i="1" l="1"/>
  <c r="S716" i="1"/>
  <c r="T716" i="1" s="1"/>
  <c r="R719" i="1"/>
  <c r="AT1498" i="1"/>
  <c r="AS1497" i="1"/>
  <c r="U716" i="1" l="1"/>
  <c r="S717" i="1"/>
  <c r="T717" i="1" s="1"/>
  <c r="R720" i="1"/>
  <c r="AT1499" i="1"/>
  <c r="AS1498" i="1"/>
  <c r="U717" i="1" l="1"/>
  <c r="S718" i="1"/>
  <c r="T718" i="1" s="1"/>
  <c r="R721" i="1"/>
  <c r="AT1500" i="1"/>
  <c r="AS1499" i="1"/>
  <c r="U718" i="1" l="1"/>
  <c r="S719" i="1"/>
  <c r="T719" i="1" s="1"/>
  <c r="R722" i="1"/>
  <c r="AT1501" i="1"/>
  <c r="AS1500" i="1"/>
  <c r="U719" i="1" l="1"/>
  <c r="S720" i="1"/>
  <c r="T720" i="1" s="1"/>
  <c r="R723" i="1"/>
  <c r="AT1502" i="1"/>
  <c r="AS1501" i="1"/>
  <c r="U720" i="1" l="1"/>
  <c r="S721" i="1"/>
  <c r="T721" i="1" s="1"/>
  <c r="R724" i="1"/>
  <c r="AT1503" i="1"/>
  <c r="AS1502" i="1"/>
  <c r="U721" i="1" l="1"/>
  <c r="S722" i="1"/>
  <c r="T722" i="1" s="1"/>
  <c r="R725" i="1"/>
  <c r="AT1504" i="1"/>
  <c r="AS1503" i="1"/>
  <c r="U722" i="1" l="1"/>
  <c r="S723" i="1"/>
  <c r="T723" i="1" s="1"/>
  <c r="R726" i="1"/>
  <c r="AT1505" i="1"/>
  <c r="AS1504" i="1"/>
  <c r="U723" i="1" l="1"/>
  <c r="S724" i="1"/>
  <c r="T724" i="1" s="1"/>
  <c r="R727" i="1"/>
  <c r="AT1506" i="1"/>
  <c r="AS1505" i="1"/>
  <c r="U724" i="1" l="1"/>
  <c r="S725" i="1"/>
  <c r="T725" i="1" s="1"/>
  <c r="R728" i="1"/>
  <c r="AT1507" i="1"/>
  <c r="AS1506" i="1"/>
  <c r="U725" i="1" l="1"/>
  <c r="S726" i="1"/>
  <c r="T726" i="1" s="1"/>
  <c r="R729" i="1"/>
  <c r="AT1508" i="1"/>
  <c r="AS1507" i="1"/>
  <c r="U726" i="1" l="1"/>
  <c r="S727" i="1"/>
  <c r="T727" i="1" s="1"/>
  <c r="R730" i="1"/>
  <c r="AT1509" i="1"/>
  <c r="AS1508" i="1"/>
  <c r="U727" i="1" l="1"/>
  <c r="S728" i="1"/>
  <c r="T728" i="1" s="1"/>
  <c r="R731" i="1"/>
  <c r="AT1510" i="1"/>
  <c r="AS1509" i="1"/>
  <c r="U728" i="1" l="1"/>
  <c r="S729" i="1"/>
  <c r="T729" i="1" s="1"/>
  <c r="R732" i="1"/>
  <c r="AT1511" i="1"/>
  <c r="AS1510" i="1"/>
  <c r="U729" i="1" l="1"/>
  <c r="S730" i="1"/>
  <c r="T730" i="1" s="1"/>
  <c r="R733" i="1"/>
  <c r="AT1512" i="1"/>
  <c r="AS1511" i="1"/>
  <c r="U730" i="1" l="1"/>
  <c r="S731" i="1"/>
  <c r="T731" i="1" s="1"/>
  <c r="R734" i="1"/>
  <c r="AT1513" i="1"/>
  <c r="AS1512" i="1"/>
  <c r="U731" i="1" l="1"/>
  <c r="S732" i="1"/>
  <c r="T732" i="1" s="1"/>
  <c r="R735" i="1"/>
  <c r="AT1514" i="1"/>
  <c r="AS1513" i="1"/>
  <c r="U732" i="1" l="1"/>
  <c r="S733" i="1"/>
  <c r="T733" i="1" s="1"/>
  <c r="R736" i="1"/>
  <c r="AT1515" i="1"/>
  <c r="AS1514" i="1"/>
  <c r="U733" i="1" l="1"/>
  <c r="S734" i="1"/>
  <c r="T734" i="1" s="1"/>
  <c r="R737" i="1"/>
  <c r="AT1516" i="1"/>
  <c r="AS1515" i="1"/>
  <c r="U734" i="1" l="1"/>
  <c r="S735" i="1"/>
  <c r="T735" i="1" s="1"/>
  <c r="R738" i="1"/>
  <c r="AT1517" i="1"/>
  <c r="AS1516" i="1"/>
  <c r="U735" i="1" l="1"/>
  <c r="S736" i="1"/>
  <c r="T736" i="1" s="1"/>
  <c r="R739" i="1"/>
  <c r="AT1518" i="1"/>
  <c r="AS1517" i="1"/>
  <c r="U736" i="1" l="1"/>
  <c r="S737" i="1"/>
  <c r="T737" i="1" s="1"/>
  <c r="R740" i="1"/>
  <c r="AT1519" i="1"/>
  <c r="AS1518" i="1"/>
  <c r="U737" i="1" l="1"/>
  <c r="S738" i="1"/>
  <c r="T738" i="1" s="1"/>
  <c r="R741" i="1"/>
  <c r="AT1520" i="1"/>
  <c r="AS1519" i="1"/>
  <c r="U738" i="1" l="1"/>
  <c r="S739" i="1"/>
  <c r="T739" i="1" s="1"/>
  <c r="R742" i="1"/>
  <c r="AT1521" i="1"/>
  <c r="AS1520" i="1"/>
  <c r="U739" i="1" l="1"/>
  <c r="S740" i="1"/>
  <c r="T740" i="1" s="1"/>
  <c r="R743" i="1"/>
  <c r="AT1522" i="1"/>
  <c r="AS1521" i="1"/>
  <c r="U740" i="1" l="1"/>
  <c r="S741" i="1"/>
  <c r="T741" i="1" s="1"/>
  <c r="R744" i="1"/>
  <c r="AT1523" i="1"/>
  <c r="AS1522" i="1"/>
  <c r="U741" i="1" l="1"/>
  <c r="S742" i="1"/>
  <c r="T742" i="1" s="1"/>
  <c r="R745" i="1"/>
  <c r="AT1524" i="1"/>
  <c r="AS1523" i="1"/>
  <c r="U742" i="1" l="1"/>
  <c r="S743" i="1"/>
  <c r="T743" i="1" s="1"/>
  <c r="R746" i="1"/>
  <c r="AT1525" i="1"/>
  <c r="AS1524" i="1"/>
  <c r="U743" i="1" l="1"/>
  <c r="S744" i="1"/>
  <c r="T744" i="1" s="1"/>
  <c r="R747" i="1"/>
  <c r="AT1526" i="1"/>
  <c r="AS1525" i="1"/>
  <c r="U744" i="1" l="1"/>
  <c r="S745" i="1"/>
  <c r="T745" i="1" s="1"/>
  <c r="R748" i="1"/>
  <c r="AT1527" i="1"/>
  <c r="AS1526" i="1"/>
  <c r="U745" i="1" l="1"/>
  <c r="S746" i="1"/>
  <c r="T746" i="1" s="1"/>
  <c r="R749" i="1"/>
  <c r="AT1528" i="1"/>
  <c r="AS1527" i="1"/>
  <c r="U746" i="1" l="1"/>
  <c r="S747" i="1"/>
  <c r="T747" i="1" s="1"/>
  <c r="R750" i="1"/>
  <c r="AT1529" i="1"/>
  <c r="AS1528" i="1"/>
  <c r="U747" i="1" l="1"/>
  <c r="S748" i="1"/>
  <c r="T748" i="1" s="1"/>
  <c r="R751" i="1"/>
  <c r="AT1530" i="1"/>
  <c r="AS1529" i="1"/>
  <c r="U748" i="1" l="1"/>
  <c r="S749" i="1"/>
  <c r="T749" i="1" s="1"/>
  <c r="R752" i="1"/>
  <c r="AT1531" i="1"/>
  <c r="AS1530" i="1"/>
  <c r="U749" i="1" l="1"/>
  <c r="S750" i="1"/>
  <c r="T750" i="1" s="1"/>
  <c r="R753" i="1"/>
  <c r="AT1532" i="1"/>
  <c r="AS1531" i="1"/>
  <c r="U750" i="1" l="1"/>
  <c r="S751" i="1"/>
  <c r="T751" i="1" s="1"/>
  <c r="R754" i="1"/>
  <c r="AT1533" i="1"/>
  <c r="AS1532" i="1"/>
  <c r="U751" i="1" l="1"/>
  <c r="S752" i="1"/>
  <c r="T752" i="1" s="1"/>
  <c r="R755" i="1"/>
  <c r="AT1534" i="1"/>
  <c r="AS1533" i="1"/>
  <c r="U752" i="1" l="1"/>
  <c r="S753" i="1"/>
  <c r="T753" i="1" s="1"/>
  <c r="R756" i="1"/>
  <c r="AT1535" i="1"/>
  <c r="AS1534" i="1"/>
  <c r="U753" i="1" l="1"/>
  <c r="S754" i="1"/>
  <c r="T754" i="1" s="1"/>
  <c r="R757" i="1"/>
  <c r="AT1536" i="1"/>
  <c r="AS1535" i="1"/>
  <c r="U754" i="1" l="1"/>
  <c r="S755" i="1"/>
  <c r="T755" i="1" s="1"/>
  <c r="R758" i="1"/>
  <c r="AT1537" i="1"/>
  <c r="AS1536" i="1"/>
  <c r="U755" i="1" l="1"/>
  <c r="S756" i="1"/>
  <c r="T756" i="1" s="1"/>
  <c r="R759" i="1"/>
  <c r="AT1538" i="1"/>
  <c r="AS1537" i="1"/>
  <c r="U756" i="1" l="1"/>
  <c r="S757" i="1"/>
  <c r="T757" i="1" s="1"/>
  <c r="R760" i="1"/>
  <c r="AT1539" i="1"/>
  <c r="AS1538" i="1"/>
  <c r="U757" i="1" l="1"/>
  <c r="S758" i="1"/>
  <c r="T758" i="1" s="1"/>
  <c r="R761" i="1"/>
  <c r="AT1540" i="1"/>
  <c r="AS1539" i="1"/>
  <c r="U758" i="1" l="1"/>
  <c r="S759" i="1"/>
  <c r="T759" i="1" s="1"/>
  <c r="R762" i="1"/>
  <c r="AT1541" i="1"/>
  <c r="AS1540" i="1"/>
  <c r="U759" i="1" l="1"/>
  <c r="S760" i="1"/>
  <c r="T760" i="1" s="1"/>
  <c r="R763" i="1"/>
  <c r="AT1542" i="1"/>
  <c r="AS1541" i="1"/>
  <c r="U760" i="1" l="1"/>
  <c r="S761" i="1"/>
  <c r="T761" i="1" s="1"/>
  <c r="R764" i="1"/>
  <c r="AT1543" i="1"/>
  <c r="AS1542" i="1"/>
  <c r="U761" i="1" l="1"/>
  <c r="S762" i="1"/>
  <c r="T762" i="1" s="1"/>
  <c r="R765" i="1"/>
  <c r="AT1544" i="1"/>
  <c r="AS1543" i="1"/>
  <c r="U762" i="1" l="1"/>
  <c r="S763" i="1"/>
  <c r="T763" i="1" s="1"/>
  <c r="R766" i="1"/>
  <c r="AT1545" i="1"/>
  <c r="AS1544" i="1"/>
  <c r="U763" i="1" l="1"/>
  <c r="S764" i="1"/>
  <c r="T764" i="1" s="1"/>
  <c r="R767" i="1"/>
  <c r="AT1546" i="1"/>
  <c r="AS1545" i="1"/>
  <c r="U764" i="1" l="1"/>
  <c r="S765" i="1"/>
  <c r="T765" i="1" s="1"/>
  <c r="R768" i="1"/>
  <c r="AT1547" i="1"/>
  <c r="AS1546" i="1"/>
  <c r="U765" i="1" l="1"/>
  <c r="S766" i="1"/>
  <c r="T766" i="1" s="1"/>
  <c r="R769" i="1"/>
  <c r="AT1548" i="1"/>
  <c r="AS1547" i="1"/>
  <c r="U766" i="1" l="1"/>
  <c r="S767" i="1"/>
  <c r="T767" i="1" s="1"/>
  <c r="R770" i="1"/>
  <c r="AT1549" i="1"/>
  <c r="AS1548" i="1"/>
  <c r="U767" i="1" l="1"/>
  <c r="S768" i="1"/>
  <c r="T768" i="1" s="1"/>
  <c r="R771" i="1"/>
  <c r="AT1550" i="1"/>
  <c r="AS1549" i="1"/>
  <c r="U768" i="1" l="1"/>
  <c r="S769" i="1"/>
  <c r="T769" i="1" s="1"/>
  <c r="R772" i="1"/>
  <c r="AT1551" i="1"/>
  <c r="AS1550" i="1"/>
  <c r="U769" i="1" l="1"/>
  <c r="S770" i="1"/>
  <c r="T770" i="1" s="1"/>
  <c r="R773" i="1"/>
  <c r="AT1552" i="1"/>
  <c r="AS1551" i="1"/>
  <c r="U770" i="1" l="1"/>
  <c r="S771" i="1"/>
  <c r="T771" i="1" s="1"/>
  <c r="R774" i="1"/>
  <c r="AT1553" i="1"/>
  <c r="AS1552" i="1"/>
  <c r="U771" i="1" l="1"/>
  <c r="S772" i="1"/>
  <c r="T772" i="1" s="1"/>
  <c r="R775" i="1"/>
  <c r="AT1554" i="1"/>
  <c r="AS1553" i="1"/>
  <c r="U772" i="1" l="1"/>
  <c r="S773" i="1"/>
  <c r="T773" i="1" s="1"/>
  <c r="R776" i="1"/>
  <c r="AT1555" i="1"/>
  <c r="AS1554" i="1"/>
  <c r="U773" i="1" l="1"/>
  <c r="S774" i="1"/>
  <c r="T774" i="1" s="1"/>
  <c r="R777" i="1"/>
  <c r="AT1556" i="1"/>
  <c r="AS1555" i="1"/>
  <c r="U774" i="1" l="1"/>
  <c r="S775" i="1"/>
  <c r="T775" i="1" s="1"/>
  <c r="R778" i="1"/>
  <c r="AT1557" i="1"/>
  <c r="AS1556" i="1"/>
  <c r="U775" i="1" l="1"/>
  <c r="S776" i="1"/>
  <c r="T776" i="1" s="1"/>
  <c r="R779" i="1"/>
  <c r="AT1558" i="1"/>
  <c r="AS1557" i="1"/>
  <c r="U776" i="1" l="1"/>
  <c r="S777" i="1"/>
  <c r="T777" i="1" s="1"/>
  <c r="R780" i="1"/>
  <c r="AT1559" i="1"/>
  <c r="AS1558" i="1"/>
  <c r="U777" i="1" l="1"/>
  <c r="S778" i="1"/>
  <c r="T778" i="1" s="1"/>
  <c r="R781" i="1"/>
  <c r="AT1560" i="1"/>
  <c r="AS1559" i="1"/>
  <c r="U778" i="1" l="1"/>
  <c r="S779" i="1"/>
  <c r="T779" i="1" s="1"/>
  <c r="R782" i="1"/>
  <c r="AT1561" i="1"/>
  <c r="AS1560" i="1"/>
  <c r="U779" i="1" l="1"/>
  <c r="S780" i="1"/>
  <c r="T780" i="1" s="1"/>
  <c r="R783" i="1"/>
  <c r="AT1562" i="1"/>
  <c r="AS1561" i="1"/>
  <c r="U780" i="1" l="1"/>
  <c r="S781" i="1"/>
  <c r="T781" i="1" s="1"/>
  <c r="R784" i="1"/>
  <c r="AT1563" i="1"/>
  <c r="AS1562" i="1"/>
  <c r="U781" i="1" l="1"/>
  <c r="S782" i="1"/>
  <c r="T782" i="1" s="1"/>
  <c r="AT1564" i="1"/>
  <c r="AS1563" i="1"/>
  <c r="U782" i="1" l="1"/>
  <c r="S783" i="1"/>
  <c r="T783" i="1" s="1"/>
  <c r="AT1565" i="1"/>
  <c r="AS1564" i="1"/>
  <c r="U783" i="1" l="1"/>
  <c r="S784" i="1"/>
  <c r="T784" i="1" s="1"/>
  <c r="AT1566" i="1"/>
  <c r="AS1565" i="1"/>
  <c r="U784" i="1" l="1"/>
  <c r="C36" i="1"/>
  <c r="AT1567" i="1"/>
  <c r="AS1566" i="1"/>
  <c r="AT1568" i="1" l="1"/>
  <c r="AS1567" i="1"/>
  <c r="AT1569" i="1" l="1"/>
  <c r="AS1568" i="1"/>
  <c r="AT1570" i="1" l="1"/>
  <c r="AS1569" i="1"/>
  <c r="AT1571" i="1" l="1"/>
  <c r="AS1570" i="1"/>
  <c r="AT1572" i="1" l="1"/>
  <c r="AS1571" i="1"/>
  <c r="AT1573" i="1" l="1"/>
  <c r="AS1572" i="1"/>
  <c r="AT1574" i="1" l="1"/>
  <c r="AS1573" i="1"/>
  <c r="AT1575" i="1" l="1"/>
  <c r="AS1574" i="1"/>
  <c r="AT1576" i="1" l="1"/>
  <c r="AS1575" i="1"/>
  <c r="AT1577" i="1" l="1"/>
  <c r="AS1576" i="1"/>
  <c r="AT1578" i="1" l="1"/>
  <c r="AS1577" i="1"/>
  <c r="AT1579" i="1" l="1"/>
  <c r="AS1578" i="1"/>
  <c r="AT1580" i="1" l="1"/>
  <c r="AS1579" i="1"/>
  <c r="AT1581" i="1" l="1"/>
  <c r="AS1580" i="1"/>
  <c r="AT1582" i="1" l="1"/>
  <c r="AS1581" i="1"/>
  <c r="AT1583" i="1" l="1"/>
  <c r="AS1582" i="1"/>
  <c r="AT1584" i="1" l="1"/>
  <c r="AS1583" i="1"/>
  <c r="AT1585" i="1" l="1"/>
  <c r="AS1584" i="1"/>
  <c r="AT1586" i="1" l="1"/>
  <c r="AS1585" i="1"/>
  <c r="AT1587" i="1" l="1"/>
  <c r="AS1586" i="1"/>
  <c r="AT1588" i="1" l="1"/>
  <c r="AS1587" i="1"/>
  <c r="AT1589" i="1" l="1"/>
  <c r="AS1588" i="1"/>
  <c r="AT1590" i="1" l="1"/>
  <c r="AS1589" i="1"/>
  <c r="AT1591" i="1" l="1"/>
  <c r="AS1590" i="1"/>
  <c r="AT1592" i="1" l="1"/>
  <c r="AS1591" i="1"/>
  <c r="AT1593" i="1" l="1"/>
  <c r="AS1592" i="1"/>
  <c r="AT1594" i="1" l="1"/>
  <c r="AS1593" i="1"/>
  <c r="AT1595" i="1" l="1"/>
  <c r="AS1594" i="1"/>
  <c r="AT1596" i="1" l="1"/>
  <c r="AS1595" i="1"/>
  <c r="AT1597" i="1" l="1"/>
  <c r="AS1596" i="1"/>
  <c r="AT1598" i="1" l="1"/>
  <c r="AS1597" i="1"/>
  <c r="AT1599" i="1" l="1"/>
  <c r="AS1598" i="1"/>
  <c r="AT1600" i="1" l="1"/>
  <c r="AS1599" i="1"/>
  <c r="AT1601" i="1" l="1"/>
  <c r="AS1600" i="1"/>
  <c r="AT1602" i="1" l="1"/>
  <c r="AS1601" i="1"/>
  <c r="AT1603" i="1" l="1"/>
  <c r="AS1602" i="1"/>
  <c r="AT1604" i="1" l="1"/>
  <c r="AS1603" i="1"/>
  <c r="AT1605" i="1" l="1"/>
  <c r="AS1604" i="1"/>
  <c r="AT1606" i="1" l="1"/>
  <c r="AS1605" i="1"/>
  <c r="AT1607" i="1" l="1"/>
  <c r="AS1606" i="1"/>
  <c r="AT1608" i="1" l="1"/>
  <c r="AS1607" i="1"/>
  <c r="AT1609" i="1" l="1"/>
  <c r="AS1608" i="1"/>
  <c r="AT1610" i="1" l="1"/>
  <c r="AS1609" i="1"/>
  <c r="AT1611" i="1" l="1"/>
  <c r="AS1610" i="1"/>
  <c r="AT1612" i="1" l="1"/>
  <c r="AS1611" i="1"/>
  <c r="AT1613" i="1" l="1"/>
  <c r="AS1612" i="1"/>
  <c r="AT1614" i="1" l="1"/>
  <c r="AS1613" i="1"/>
  <c r="AT1615" i="1" l="1"/>
  <c r="AS1614" i="1"/>
  <c r="AT1616" i="1" l="1"/>
  <c r="AS1615" i="1"/>
  <c r="AT1617" i="1" l="1"/>
  <c r="AS1616" i="1"/>
  <c r="AT1618" i="1" l="1"/>
  <c r="AS1617" i="1"/>
  <c r="AT1619" i="1" l="1"/>
  <c r="AS1618" i="1"/>
  <c r="AT1620" i="1" l="1"/>
  <c r="AS1619" i="1"/>
  <c r="AT1621" i="1" l="1"/>
  <c r="AS1620" i="1"/>
  <c r="AT1622" i="1" l="1"/>
  <c r="AS1621" i="1"/>
  <c r="AT1623" i="1" l="1"/>
  <c r="AS1622" i="1"/>
  <c r="AT1624" i="1" l="1"/>
  <c r="AS1623" i="1"/>
  <c r="AT1625" i="1" l="1"/>
  <c r="AS1624" i="1"/>
  <c r="AT1626" i="1" l="1"/>
  <c r="AS1625" i="1"/>
  <c r="AT1627" i="1" l="1"/>
  <c r="AS1626" i="1"/>
  <c r="AT1628" i="1" l="1"/>
  <c r="AS1627" i="1"/>
  <c r="AT1629" i="1" l="1"/>
  <c r="AS1628" i="1"/>
  <c r="AT1630" i="1" l="1"/>
  <c r="AS1629" i="1"/>
  <c r="AT1631" i="1" l="1"/>
  <c r="AS1630" i="1"/>
  <c r="AT1632" i="1" l="1"/>
  <c r="AS1631" i="1"/>
  <c r="AT1633" i="1" l="1"/>
  <c r="AS1632" i="1"/>
  <c r="AT1634" i="1" l="1"/>
  <c r="AS1633" i="1"/>
  <c r="AT1635" i="1" l="1"/>
  <c r="AS1634" i="1"/>
  <c r="AT1636" i="1" l="1"/>
  <c r="AS1635" i="1"/>
  <c r="AT1637" i="1" l="1"/>
  <c r="AS1636" i="1"/>
  <c r="AT1638" i="1" l="1"/>
  <c r="AS1637" i="1"/>
  <c r="AT1639" i="1" l="1"/>
  <c r="AS1638" i="1"/>
  <c r="AT1640" i="1" l="1"/>
  <c r="AS1639" i="1"/>
  <c r="AT1641" i="1" l="1"/>
  <c r="AS1640" i="1"/>
  <c r="AT1642" i="1" l="1"/>
  <c r="AS1641" i="1"/>
  <c r="AT1643" i="1" l="1"/>
  <c r="AS1642" i="1"/>
  <c r="AT1644" i="1" l="1"/>
  <c r="AS1643" i="1"/>
  <c r="AT1645" i="1" l="1"/>
  <c r="AS1644" i="1"/>
  <c r="AT1646" i="1" l="1"/>
  <c r="AS1645" i="1"/>
  <c r="AT1647" i="1" l="1"/>
  <c r="AS1646" i="1"/>
  <c r="AT1648" i="1" l="1"/>
  <c r="AS1647" i="1"/>
  <c r="AT1649" i="1" l="1"/>
  <c r="AS1648" i="1"/>
  <c r="AT1650" i="1" l="1"/>
  <c r="AS1649" i="1"/>
  <c r="AT1651" i="1" l="1"/>
  <c r="AS1650" i="1"/>
  <c r="AT1652" i="1" l="1"/>
  <c r="AS1651" i="1"/>
  <c r="AT1653" i="1" l="1"/>
  <c r="AS1652" i="1"/>
  <c r="AT1654" i="1" l="1"/>
  <c r="AS1653" i="1"/>
  <c r="AT1655" i="1" l="1"/>
  <c r="AS1654" i="1"/>
  <c r="AT1656" i="1" l="1"/>
  <c r="AS1655" i="1"/>
  <c r="AT1657" i="1" l="1"/>
  <c r="AS1656" i="1"/>
  <c r="AT1658" i="1" l="1"/>
  <c r="AS1657" i="1"/>
  <c r="AT1659" i="1" l="1"/>
  <c r="AS1658" i="1"/>
  <c r="AT1660" i="1" l="1"/>
  <c r="AS1659" i="1"/>
  <c r="AT1661" i="1" l="1"/>
  <c r="AS1660" i="1"/>
  <c r="AT1662" i="1" l="1"/>
  <c r="AS1661" i="1"/>
  <c r="AT1663" i="1" l="1"/>
  <c r="AS1662" i="1"/>
  <c r="AT1664" i="1" l="1"/>
  <c r="AS1663" i="1"/>
  <c r="AT1665" i="1" l="1"/>
  <c r="AS1664" i="1"/>
  <c r="AT1666" i="1" l="1"/>
  <c r="AS1665" i="1"/>
  <c r="AT1667" i="1" l="1"/>
  <c r="AS1666" i="1"/>
  <c r="AT1668" i="1" l="1"/>
  <c r="AS1667" i="1"/>
  <c r="AT1669" i="1" l="1"/>
  <c r="AS1668" i="1"/>
  <c r="AT1670" i="1" l="1"/>
  <c r="AS1669" i="1"/>
  <c r="AT1671" i="1" l="1"/>
  <c r="AS1670" i="1"/>
  <c r="AT1672" i="1" l="1"/>
  <c r="AS1671" i="1"/>
  <c r="AT1673" i="1" l="1"/>
  <c r="AS1672" i="1"/>
  <c r="AT1674" i="1" l="1"/>
  <c r="AS1673" i="1"/>
  <c r="AT1675" i="1" l="1"/>
  <c r="AS1674" i="1"/>
  <c r="AT1676" i="1" l="1"/>
  <c r="AS1675" i="1"/>
  <c r="AT1677" i="1" l="1"/>
  <c r="AS1676" i="1"/>
  <c r="AT1678" i="1" l="1"/>
  <c r="AS1677" i="1"/>
  <c r="AT1679" i="1" l="1"/>
  <c r="AS1678" i="1"/>
  <c r="AT1680" i="1" l="1"/>
  <c r="AS1679" i="1"/>
  <c r="AT1681" i="1" l="1"/>
  <c r="AS1680" i="1"/>
  <c r="AT1682" i="1" l="1"/>
  <c r="AS1681" i="1"/>
  <c r="AT1683" i="1" l="1"/>
  <c r="AS1682" i="1"/>
  <c r="AT1684" i="1" l="1"/>
  <c r="AS1683" i="1"/>
  <c r="AT1685" i="1" l="1"/>
  <c r="AS1684" i="1"/>
  <c r="AT1686" i="1" l="1"/>
  <c r="AS1685" i="1"/>
  <c r="AT1687" i="1" l="1"/>
  <c r="AS1686" i="1"/>
  <c r="AT1688" i="1" l="1"/>
  <c r="AS1687" i="1"/>
  <c r="AT1689" i="1" l="1"/>
  <c r="AS1688" i="1"/>
  <c r="AT1690" i="1" l="1"/>
  <c r="AS1689" i="1"/>
  <c r="AT1691" i="1" l="1"/>
  <c r="AS1690" i="1"/>
  <c r="AT1692" i="1" l="1"/>
  <c r="AS1691" i="1"/>
  <c r="AT1693" i="1" l="1"/>
  <c r="AS1692" i="1"/>
  <c r="AT1694" i="1" l="1"/>
  <c r="AS1693" i="1"/>
  <c r="AT1695" i="1" l="1"/>
  <c r="AS1694" i="1"/>
  <c r="AT1696" i="1" l="1"/>
  <c r="AS1695" i="1"/>
  <c r="AT1697" i="1" l="1"/>
  <c r="AS1696" i="1"/>
  <c r="AT1698" i="1" l="1"/>
  <c r="AS1697" i="1"/>
  <c r="AT1699" i="1" l="1"/>
  <c r="AS1698" i="1"/>
  <c r="AT1700" i="1" l="1"/>
  <c r="AS1699" i="1"/>
  <c r="AT1701" i="1" l="1"/>
  <c r="AS1700" i="1"/>
  <c r="AT1702" i="1" l="1"/>
  <c r="AS1701" i="1"/>
  <c r="AT1703" i="1" l="1"/>
  <c r="AS1702" i="1"/>
  <c r="AT1704" i="1" l="1"/>
  <c r="AS1703" i="1"/>
  <c r="AT1705" i="1" l="1"/>
  <c r="AS1704" i="1"/>
  <c r="AT1706" i="1" l="1"/>
  <c r="AS1705" i="1"/>
  <c r="AT1707" i="1" l="1"/>
  <c r="AS1706" i="1"/>
  <c r="AT1708" i="1" l="1"/>
  <c r="AS1707" i="1"/>
  <c r="AT1709" i="1" l="1"/>
  <c r="AS1708" i="1"/>
  <c r="AT1710" i="1" l="1"/>
  <c r="AS1709" i="1"/>
  <c r="AT1711" i="1" l="1"/>
  <c r="AS1710" i="1"/>
  <c r="AT1712" i="1" l="1"/>
  <c r="AS1711" i="1"/>
  <c r="AT1713" i="1" l="1"/>
  <c r="AS1712" i="1"/>
  <c r="AT1714" i="1" l="1"/>
  <c r="AS1713" i="1"/>
  <c r="AT1715" i="1" l="1"/>
  <c r="AS1714" i="1"/>
  <c r="AT1716" i="1" l="1"/>
  <c r="AS1715" i="1"/>
  <c r="AT1717" i="1" l="1"/>
  <c r="AS1716" i="1"/>
  <c r="AT1718" i="1" l="1"/>
  <c r="AS1717" i="1"/>
  <c r="AT1719" i="1" l="1"/>
  <c r="AS1718" i="1"/>
  <c r="AT1720" i="1" l="1"/>
  <c r="AS1719" i="1"/>
  <c r="AT1721" i="1" l="1"/>
  <c r="AS1720" i="1"/>
  <c r="AT1722" i="1" l="1"/>
  <c r="AS1721" i="1"/>
  <c r="AT1723" i="1" l="1"/>
  <c r="AS1722" i="1"/>
  <c r="AT1724" i="1" l="1"/>
  <c r="AS1723" i="1"/>
  <c r="AT1725" i="1" l="1"/>
  <c r="AS1724" i="1"/>
  <c r="AT1726" i="1" l="1"/>
  <c r="AS1725" i="1"/>
  <c r="AT1727" i="1" l="1"/>
  <c r="AS1726" i="1"/>
  <c r="AT1728" i="1" l="1"/>
  <c r="AS1727" i="1"/>
  <c r="AT1729" i="1" l="1"/>
  <c r="AS1728" i="1"/>
  <c r="AT1730" i="1" l="1"/>
  <c r="AS1729" i="1"/>
  <c r="AT1731" i="1" l="1"/>
  <c r="AS1730" i="1"/>
  <c r="AT1732" i="1" l="1"/>
  <c r="AS1731" i="1"/>
  <c r="AT1733" i="1" l="1"/>
  <c r="AS1732" i="1"/>
  <c r="AT1734" i="1" l="1"/>
  <c r="AS1733" i="1"/>
  <c r="AT1735" i="1" l="1"/>
  <c r="AS1734" i="1"/>
  <c r="AT1736" i="1" l="1"/>
  <c r="AS1735" i="1"/>
  <c r="AT1737" i="1" l="1"/>
  <c r="AS1736" i="1"/>
  <c r="AT1738" i="1" l="1"/>
  <c r="AS1737" i="1"/>
  <c r="AT1739" i="1" l="1"/>
  <c r="AS1738" i="1"/>
  <c r="AT1740" i="1" l="1"/>
  <c r="AS1739" i="1"/>
  <c r="AT1741" i="1" l="1"/>
  <c r="AS1740" i="1"/>
  <c r="AT1742" i="1" l="1"/>
  <c r="AS1741" i="1"/>
  <c r="AT1743" i="1" l="1"/>
  <c r="AS1742" i="1"/>
  <c r="AT1744" i="1" l="1"/>
  <c r="AS1743" i="1"/>
  <c r="AT1745" i="1" l="1"/>
  <c r="AS1744" i="1"/>
  <c r="AT1746" i="1" l="1"/>
  <c r="AS1745" i="1"/>
  <c r="AT1747" i="1" l="1"/>
  <c r="AS1746" i="1"/>
  <c r="AT1748" i="1" l="1"/>
  <c r="AS1747" i="1"/>
  <c r="AT1749" i="1" l="1"/>
  <c r="AS1748" i="1"/>
  <c r="AT1750" i="1" l="1"/>
  <c r="AS1749" i="1"/>
  <c r="AT1751" i="1" l="1"/>
  <c r="AS1750" i="1"/>
  <c r="AT1752" i="1" l="1"/>
  <c r="AS1751" i="1"/>
  <c r="AT1753" i="1" l="1"/>
  <c r="AS1752" i="1"/>
  <c r="AT1754" i="1" l="1"/>
  <c r="AS1753" i="1"/>
  <c r="AT1755" i="1" l="1"/>
  <c r="AS1754" i="1"/>
  <c r="AT1756" i="1" l="1"/>
  <c r="AS1755" i="1"/>
  <c r="AT1757" i="1" l="1"/>
  <c r="AS1756" i="1"/>
  <c r="AT1758" i="1" l="1"/>
  <c r="AS1757" i="1"/>
  <c r="AT1759" i="1" l="1"/>
  <c r="AS1758" i="1"/>
  <c r="AT1760" i="1" l="1"/>
  <c r="AS1759" i="1"/>
  <c r="AT1761" i="1" l="1"/>
  <c r="AS1760" i="1"/>
  <c r="AT1762" i="1" l="1"/>
  <c r="AS1761" i="1"/>
  <c r="AT1763" i="1" l="1"/>
  <c r="AS1762" i="1"/>
  <c r="AT1764" i="1" l="1"/>
  <c r="AS1763" i="1"/>
  <c r="AT1765" i="1" l="1"/>
  <c r="AS1764" i="1"/>
  <c r="AT1766" i="1" l="1"/>
  <c r="AS1765" i="1"/>
  <c r="AT1767" i="1" l="1"/>
  <c r="AS1766" i="1"/>
  <c r="AT1768" i="1" l="1"/>
  <c r="AS1767" i="1"/>
  <c r="AT1769" i="1" l="1"/>
  <c r="AS1768" i="1"/>
  <c r="AT1770" i="1" l="1"/>
  <c r="AS1769" i="1"/>
  <c r="AT1771" i="1" l="1"/>
  <c r="AS1770" i="1"/>
  <c r="AT1772" i="1" l="1"/>
  <c r="AS1771" i="1"/>
  <c r="AT1773" i="1" l="1"/>
  <c r="AS1772" i="1"/>
  <c r="AT1774" i="1" l="1"/>
  <c r="AS1773" i="1"/>
  <c r="AT1775" i="1" l="1"/>
  <c r="AS1774" i="1"/>
  <c r="AT1776" i="1" l="1"/>
  <c r="AS1775" i="1"/>
  <c r="AT1777" i="1" l="1"/>
  <c r="AS1776" i="1"/>
  <c r="AT1778" i="1" l="1"/>
  <c r="AS1777" i="1"/>
  <c r="AT1779" i="1" l="1"/>
  <c r="AS1778" i="1"/>
  <c r="AT1780" i="1" l="1"/>
  <c r="AS1779" i="1"/>
  <c r="AT1781" i="1" l="1"/>
  <c r="AS1780" i="1"/>
  <c r="AT1782" i="1" l="1"/>
  <c r="AS1781" i="1"/>
  <c r="AT1783" i="1" l="1"/>
  <c r="AS1782" i="1"/>
  <c r="AT1784" i="1" l="1"/>
  <c r="AS1783" i="1"/>
  <c r="AT1785" i="1" l="1"/>
  <c r="AS1784" i="1"/>
  <c r="AT1786" i="1" l="1"/>
  <c r="AS1785" i="1"/>
  <c r="AT1787" i="1" l="1"/>
  <c r="AS1786" i="1"/>
  <c r="AT1788" i="1" l="1"/>
  <c r="AS1787" i="1"/>
  <c r="AT1789" i="1" l="1"/>
  <c r="AS1788" i="1"/>
  <c r="AT1790" i="1" l="1"/>
  <c r="AS1789" i="1"/>
  <c r="AT1791" i="1" l="1"/>
  <c r="AS1790" i="1"/>
  <c r="AT1792" i="1" l="1"/>
  <c r="AS1791" i="1"/>
  <c r="AT1793" i="1" l="1"/>
  <c r="AS1792" i="1"/>
  <c r="AT1794" i="1" l="1"/>
  <c r="AS1793" i="1"/>
  <c r="AT1795" i="1" l="1"/>
  <c r="AS1794" i="1"/>
  <c r="AT1796" i="1" l="1"/>
  <c r="AS1795" i="1"/>
  <c r="AT1797" i="1" l="1"/>
  <c r="AS1796" i="1"/>
  <c r="AT1798" i="1" l="1"/>
  <c r="AS1797" i="1"/>
  <c r="AT1799" i="1" l="1"/>
  <c r="AS1798" i="1"/>
  <c r="AT1800" i="1" l="1"/>
  <c r="AS1799" i="1"/>
  <c r="AT1801" i="1" l="1"/>
  <c r="AS1800" i="1"/>
  <c r="AT1802" i="1" l="1"/>
  <c r="AS1801" i="1"/>
  <c r="AT1803" i="1" l="1"/>
  <c r="AS1803" i="1" s="1"/>
  <c r="AS1802" i="1"/>
  <c r="AW597" i="1" l="1"/>
  <c r="BF53" i="1" s="1"/>
  <c r="AW596" i="1"/>
  <c r="BE53" i="1" s="1"/>
  <c r="AW595" i="1"/>
  <c r="BD53" i="1" s="1"/>
  <c r="AW593" i="1"/>
  <c r="BB53" i="1" s="1"/>
  <c r="AW592" i="1"/>
  <c r="BA53" i="1" s="1"/>
  <c r="AW591" i="1"/>
  <c r="BL52" i="1" s="1"/>
  <c r="AW589" i="1"/>
  <c r="BJ52" i="1" s="1"/>
  <c r="AW588" i="1"/>
  <c r="BI52" i="1" s="1"/>
  <c r="AW587" i="1"/>
  <c r="BH52" i="1" s="1"/>
  <c r="AW585" i="1"/>
  <c r="BF52" i="1" s="1"/>
  <c r="AW584" i="1"/>
  <c r="BE52" i="1" s="1"/>
  <c r="AW583" i="1"/>
  <c r="BD52" i="1" s="1"/>
  <c r="AW581" i="1"/>
  <c r="BB52" i="1" s="1"/>
  <c r="AW580" i="1"/>
  <c r="BA52" i="1" s="1"/>
  <c r="AW579" i="1"/>
  <c r="BL51" i="1" s="1"/>
  <c r="AW577" i="1"/>
  <c r="BJ51" i="1" s="1"/>
  <c r="AW576" i="1"/>
  <c r="BI51" i="1" s="1"/>
  <c r="AW575" i="1"/>
  <c r="BH51" i="1" s="1"/>
  <c r="AW573" i="1"/>
  <c r="BF51" i="1" s="1"/>
  <c r="AW572" i="1"/>
  <c r="BE51" i="1" s="1"/>
  <c r="AW571" i="1"/>
  <c r="BD51" i="1" s="1"/>
  <c r="AW569" i="1"/>
  <c r="BB51" i="1" s="1"/>
  <c r="AW568" i="1"/>
  <c r="BA51" i="1" s="1"/>
  <c r="AW567" i="1"/>
  <c r="BL50" i="1" s="1"/>
  <c r="AW566" i="1"/>
  <c r="BK50" i="1" s="1"/>
  <c r="AW565" i="1"/>
  <c r="BJ50" i="1" s="1"/>
  <c r="AW564" i="1"/>
  <c r="BI50" i="1" s="1"/>
  <c r="AW563" i="1"/>
  <c r="BH50" i="1" s="1"/>
  <c r="AW562" i="1"/>
  <c r="BG50" i="1" s="1"/>
  <c r="AW561" i="1"/>
  <c r="BF50" i="1" s="1"/>
  <c r="AW560" i="1"/>
  <c r="BE50" i="1" s="1"/>
  <c r="AW559" i="1"/>
  <c r="BD50" i="1" s="1"/>
  <c r="AW557" i="1"/>
  <c r="BB50" i="1" s="1"/>
  <c r="AW556" i="1"/>
  <c r="BA50" i="1" s="1"/>
  <c r="AW555" i="1"/>
  <c r="BL49" i="1" s="1"/>
  <c r="AW553" i="1"/>
  <c r="BJ49" i="1" s="1"/>
  <c r="AW552" i="1"/>
  <c r="BI49" i="1" s="1"/>
  <c r="AW551" i="1"/>
  <c r="BH49" i="1" s="1"/>
  <c r="AW549" i="1"/>
  <c r="BF49" i="1" s="1"/>
  <c r="AW548" i="1"/>
  <c r="BE49" i="1" s="1"/>
  <c r="AW547" i="1"/>
  <c r="BD49" i="1" s="1"/>
  <c r="AW545" i="1"/>
  <c r="BB49" i="1" s="1"/>
  <c r="AW544" i="1"/>
  <c r="BA49" i="1" s="1"/>
  <c r="AW543" i="1"/>
  <c r="BL48" i="1" s="1"/>
  <c r="AW541" i="1"/>
  <c r="BJ48" i="1" s="1"/>
  <c r="AW540" i="1"/>
  <c r="BI48" i="1" s="1"/>
  <c r="AW539" i="1"/>
  <c r="BH48" i="1" s="1"/>
  <c r="AW537" i="1"/>
  <c r="BF48" i="1" s="1"/>
  <c r="AW536" i="1"/>
  <c r="BE48" i="1" s="1"/>
  <c r="AW535" i="1"/>
  <c r="BD48" i="1" s="1"/>
  <c r="AW534" i="1"/>
  <c r="BC48" i="1" s="1"/>
  <c r="AW533" i="1"/>
  <c r="BB48" i="1" s="1"/>
  <c r="AW532" i="1"/>
  <c r="BA48" i="1" s="1"/>
  <c r="AW531" i="1"/>
  <c r="BL47" i="1" s="1"/>
  <c r="AW530" i="1"/>
  <c r="BK47" i="1" s="1"/>
  <c r="AW529" i="1"/>
  <c r="BJ47" i="1" s="1"/>
  <c r="AW528" i="1"/>
  <c r="BI47" i="1" s="1"/>
  <c r="AW527" i="1"/>
  <c r="BH47" i="1" s="1"/>
  <c r="AW525" i="1"/>
  <c r="BF47" i="1" s="1"/>
  <c r="AW524" i="1"/>
  <c r="BE47" i="1" s="1"/>
  <c r="AW523" i="1"/>
  <c r="BD47" i="1" s="1"/>
  <c r="AW522" i="1"/>
  <c r="BC47" i="1" s="1"/>
  <c r="AW521" i="1"/>
  <c r="BB47" i="1" s="1"/>
  <c r="AW520" i="1"/>
  <c r="BA47" i="1" s="1"/>
  <c r="AW519" i="1"/>
  <c r="BL46" i="1" s="1"/>
  <c r="AW517" i="1"/>
  <c r="BJ46" i="1" s="1"/>
  <c r="AW516" i="1"/>
  <c r="BI46" i="1" s="1"/>
  <c r="AW515" i="1"/>
  <c r="BH46" i="1" s="1"/>
  <c r="AW513" i="1"/>
  <c r="BF46" i="1" s="1"/>
  <c r="AW512" i="1"/>
  <c r="BE46" i="1" s="1"/>
  <c r="AW511" i="1"/>
  <c r="BD46" i="1" s="1"/>
  <c r="AW509" i="1"/>
  <c r="BB46" i="1" s="1"/>
  <c r="AW508" i="1"/>
  <c r="BA46" i="1" s="1"/>
  <c r="AW507" i="1"/>
  <c r="BL45" i="1" s="1"/>
  <c r="AW505" i="1"/>
  <c r="BJ45" i="1" s="1"/>
  <c r="AW504" i="1"/>
  <c r="BI45" i="1" s="1"/>
  <c r="AW503" i="1"/>
  <c r="BH45" i="1" s="1"/>
  <c r="AW502" i="1"/>
  <c r="BG45" i="1" s="1"/>
  <c r="AW501" i="1"/>
  <c r="BF45" i="1" s="1"/>
  <c r="AW500" i="1"/>
  <c r="BE45" i="1" s="1"/>
  <c r="AW499" i="1"/>
  <c r="BD45" i="1" s="1"/>
  <c r="AW498" i="1"/>
  <c r="BC45" i="1" s="1"/>
  <c r="AW497" i="1"/>
  <c r="BB45" i="1" s="1"/>
  <c r="AW496" i="1"/>
  <c r="BA45" i="1" s="1"/>
  <c r="AW495" i="1"/>
  <c r="BL44" i="1" s="1"/>
  <c r="AW493" i="1"/>
  <c r="BJ44" i="1" s="1"/>
  <c r="AW492" i="1"/>
  <c r="BI44" i="1" s="1"/>
  <c r="AW491" i="1"/>
  <c r="BH44" i="1" s="1"/>
  <c r="AW490" i="1"/>
  <c r="BG44" i="1" s="1"/>
  <c r="AW489" i="1"/>
  <c r="BF44" i="1" s="1"/>
  <c r="AW488" i="1"/>
  <c r="BE44" i="1" s="1"/>
  <c r="AW487" i="1"/>
  <c r="BD44" i="1" s="1"/>
  <c r="AW485" i="1"/>
  <c r="BB44" i="1" s="1"/>
  <c r="AW484" i="1"/>
  <c r="BA44" i="1" s="1"/>
  <c r="AW483" i="1"/>
  <c r="BL43" i="1" s="1"/>
  <c r="AW481" i="1"/>
  <c r="BJ43" i="1" s="1"/>
  <c r="AW480" i="1"/>
  <c r="BI43" i="1" s="1"/>
  <c r="AW479" i="1"/>
  <c r="BH43" i="1" s="1"/>
  <c r="AW477" i="1"/>
  <c r="BF43" i="1" s="1"/>
  <c r="AW476" i="1"/>
  <c r="BE43" i="1" s="1"/>
  <c r="AW475" i="1"/>
  <c r="BD43" i="1" s="1"/>
  <c r="AW473" i="1"/>
  <c r="BB43" i="1" s="1"/>
  <c r="AW472" i="1"/>
  <c r="BA43" i="1" s="1"/>
  <c r="AW471" i="1"/>
  <c r="BL42" i="1" s="1"/>
  <c r="AW470" i="1"/>
  <c r="BK42" i="1" s="1"/>
  <c r="AW469" i="1"/>
  <c r="BJ42" i="1" s="1"/>
  <c r="AW468" i="1"/>
  <c r="BI42" i="1" s="1"/>
  <c r="AW467" i="1"/>
  <c r="BH42" i="1" s="1"/>
  <c r="AW466" i="1"/>
  <c r="BG42" i="1" s="1"/>
  <c r="AW465" i="1"/>
  <c r="BF42" i="1" s="1"/>
  <c r="AW464" i="1"/>
  <c r="BE42" i="1" s="1"/>
  <c r="AW463" i="1"/>
  <c r="BD42" i="1" s="1"/>
  <c r="AW461" i="1"/>
  <c r="BB42" i="1" s="1"/>
  <c r="AW460" i="1"/>
  <c r="BA42" i="1" s="1"/>
  <c r="AW459" i="1"/>
  <c r="BL41" i="1" s="1"/>
  <c r="AW457" i="1"/>
  <c r="BJ41" i="1" s="1"/>
  <c r="AW456" i="1"/>
  <c r="BI41" i="1" s="1"/>
  <c r="AW455" i="1"/>
  <c r="BH41" i="1" s="1"/>
  <c r="AW453" i="1"/>
  <c r="BF41" i="1" s="1"/>
  <c r="AW452" i="1"/>
  <c r="BE41" i="1" s="1"/>
  <c r="AW451" i="1"/>
  <c r="BD41" i="1" s="1"/>
  <c r="AW449" i="1"/>
  <c r="BB41" i="1" s="1"/>
  <c r="AW448" i="1"/>
  <c r="BA41" i="1" s="1"/>
  <c r="AW447" i="1"/>
  <c r="BL40" i="1" s="1"/>
  <c r="AW445" i="1"/>
  <c r="BJ40" i="1" s="1"/>
  <c r="AW444" i="1"/>
  <c r="BI40" i="1" s="1"/>
  <c r="AW443" i="1"/>
  <c r="BH40" i="1" s="1"/>
  <c r="AW442" i="1"/>
  <c r="BG40" i="1" s="1"/>
  <c r="AW441" i="1"/>
  <c r="BF40" i="1" s="1"/>
  <c r="AW440" i="1"/>
  <c r="BE40" i="1" s="1"/>
  <c r="AW439" i="1"/>
  <c r="BD40" i="1" s="1"/>
  <c r="AW438" i="1"/>
  <c r="BC40" i="1" s="1"/>
  <c r="AW437" i="1"/>
  <c r="BB40" i="1" s="1"/>
  <c r="AW436" i="1"/>
  <c r="BA40" i="1" s="1"/>
  <c r="AW435" i="1"/>
  <c r="BL39" i="1" s="1"/>
  <c r="AW433" i="1"/>
  <c r="BJ39" i="1" s="1"/>
  <c r="AW432" i="1"/>
  <c r="BI39" i="1" s="1"/>
  <c r="AW431" i="1"/>
  <c r="BH39" i="1" s="1"/>
  <c r="AW429" i="1"/>
  <c r="BF39" i="1" s="1"/>
  <c r="AW428" i="1"/>
  <c r="BE39" i="1" s="1"/>
  <c r="AW427" i="1"/>
  <c r="BD39" i="1" s="1"/>
  <c r="AW426" i="1"/>
  <c r="BC39" i="1" s="1"/>
  <c r="AW425" i="1"/>
  <c r="BB39" i="1" s="1"/>
  <c r="AW424" i="1"/>
  <c r="BA39" i="1" s="1"/>
  <c r="AW423" i="1"/>
  <c r="BL38" i="1" s="1"/>
  <c r="AW422" i="1"/>
  <c r="BK38" i="1" s="1"/>
  <c r="AW421" i="1"/>
  <c r="BJ38" i="1" s="1"/>
  <c r="AW420" i="1"/>
  <c r="BI38" i="1" s="1"/>
  <c r="AW419" i="1"/>
  <c r="BH38" i="1" s="1"/>
  <c r="AW417" i="1"/>
  <c r="BF38" i="1" s="1"/>
  <c r="AW416" i="1"/>
  <c r="BE38" i="1" s="1"/>
  <c r="AW415" i="1"/>
  <c r="BD38" i="1" s="1"/>
  <c r="AW413" i="1"/>
  <c r="BB38" i="1" s="1"/>
  <c r="AW412" i="1"/>
  <c r="BA38" i="1" s="1"/>
  <c r="AW411" i="1"/>
  <c r="BL37" i="1" s="1"/>
  <c r="AW410" i="1"/>
  <c r="BK37" i="1" s="1"/>
  <c r="AW409" i="1"/>
  <c r="BJ37" i="1" s="1"/>
  <c r="AW408" i="1"/>
  <c r="BI37" i="1" s="1"/>
  <c r="AW407" i="1"/>
  <c r="BH37" i="1" s="1"/>
  <c r="AW405" i="1"/>
  <c r="BF37" i="1" s="1"/>
  <c r="AW404" i="1"/>
  <c r="BE37" i="1" s="1"/>
  <c r="AW403" i="1"/>
  <c r="BD37" i="1" s="1"/>
  <c r="AW401" i="1"/>
  <c r="BB37" i="1" s="1"/>
  <c r="AW400" i="1"/>
  <c r="BA37" i="1" s="1"/>
  <c r="AW399" i="1"/>
  <c r="BL36" i="1" s="1"/>
  <c r="AW397" i="1"/>
  <c r="BJ36" i="1" s="1"/>
  <c r="AW396" i="1"/>
  <c r="BI36" i="1" s="1"/>
  <c r="AW395" i="1"/>
  <c r="BH36" i="1" s="1"/>
  <c r="AW394" i="1"/>
  <c r="BG36" i="1" s="1"/>
  <c r="AW393" i="1"/>
  <c r="BF36" i="1" s="1"/>
  <c r="AW392" i="1"/>
  <c r="BE36" i="1" s="1"/>
  <c r="AW391" i="1"/>
  <c r="BD36" i="1" s="1"/>
  <c r="AW389" i="1"/>
  <c r="BB36" i="1" s="1"/>
  <c r="AW388" i="1"/>
  <c r="BA36" i="1" s="1"/>
  <c r="AW387" i="1"/>
  <c r="BL35" i="1" s="1"/>
  <c r="AW385" i="1"/>
  <c r="BJ35" i="1" s="1"/>
  <c r="AW384" i="1"/>
  <c r="BI35" i="1" s="1"/>
  <c r="AW383" i="1"/>
  <c r="BH35" i="1" s="1"/>
  <c r="AW381" i="1"/>
  <c r="BF35" i="1" s="1"/>
  <c r="AW380" i="1"/>
  <c r="BE35" i="1" s="1"/>
  <c r="AW379" i="1"/>
  <c r="BD35" i="1" s="1"/>
  <c r="AW378" i="1"/>
  <c r="BC35" i="1" s="1"/>
  <c r="AW377" i="1"/>
  <c r="BB35" i="1" s="1"/>
  <c r="AW376" i="1"/>
  <c r="BA35" i="1" s="1"/>
  <c r="AW375" i="1"/>
  <c r="BL34" i="1" s="1"/>
  <c r="AW373" i="1"/>
  <c r="BJ34" i="1" s="1"/>
  <c r="AW372" i="1"/>
  <c r="BI34" i="1" s="1"/>
  <c r="AW371" i="1"/>
  <c r="BH34" i="1" s="1"/>
  <c r="AW369" i="1"/>
  <c r="BF34" i="1" s="1"/>
  <c r="AW368" i="1"/>
  <c r="BE34" i="1" s="1"/>
  <c r="AW367" i="1"/>
  <c r="BD34" i="1" s="1"/>
  <c r="AW365" i="1"/>
  <c r="BB34" i="1" s="1"/>
  <c r="AW364" i="1"/>
  <c r="BA34" i="1" s="1"/>
  <c r="AW363" i="1"/>
  <c r="BL33" i="1" s="1"/>
  <c r="AW362" i="1"/>
  <c r="BK33" i="1" s="1"/>
  <c r="AW361" i="1"/>
  <c r="BJ33" i="1" s="1"/>
  <c r="AW360" i="1"/>
  <c r="BI33" i="1" s="1"/>
  <c r="AW359" i="1"/>
  <c r="BH33" i="1" s="1"/>
  <c r="AW357" i="1"/>
  <c r="BF33" i="1" s="1"/>
  <c r="AW356" i="1"/>
  <c r="BE33" i="1" s="1"/>
  <c r="AW355" i="1"/>
  <c r="BD33" i="1" s="1"/>
  <c r="AW353" i="1"/>
  <c r="BB33" i="1" s="1"/>
  <c r="AW352" i="1"/>
  <c r="BA33" i="1" s="1"/>
  <c r="AW351" i="1"/>
  <c r="BL32" i="1" s="1"/>
  <c r="AW349" i="1"/>
  <c r="BJ32" i="1" s="1"/>
  <c r="AW348" i="1"/>
  <c r="BI32" i="1" s="1"/>
  <c r="AW347" i="1"/>
  <c r="BH32" i="1" s="1"/>
  <c r="AW346" i="1"/>
  <c r="BG32" i="1" s="1"/>
  <c r="AW345" i="1"/>
  <c r="BF32" i="1" s="1"/>
  <c r="AW344" i="1"/>
  <c r="BE32" i="1" s="1"/>
  <c r="AW343" i="1"/>
  <c r="BD32" i="1" s="1"/>
  <c r="AW341" i="1"/>
  <c r="BB32" i="1" s="1"/>
  <c r="AW340" i="1"/>
  <c r="BA32" i="1" s="1"/>
  <c r="AW339" i="1"/>
  <c r="BL31" i="1" s="1"/>
  <c r="AW337" i="1"/>
  <c r="BJ31" i="1" s="1"/>
  <c r="AW336" i="1"/>
  <c r="BI31" i="1" s="1"/>
  <c r="AW335" i="1"/>
  <c r="BH31" i="1" s="1"/>
  <c r="AW333" i="1"/>
  <c r="BF31" i="1" s="1"/>
  <c r="AW332" i="1"/>
  <c r="BE31" i="1" s="1"/>
  <c r="AW331" i="1"/>
  <c r="BD31" i="1" s="1"/>
  <c r="AW330" i="1"/>
  <c r="BC31" i="1" s="1"/>
  <c r="AW329" i="1"/>
  <c r="BB31" i="1" s="1"/>
  <c r="AW328" i="1"/>
  <c r="BA31" i="1" s="1"/>
  <c r="AW327" i="1"/>
  <c r="BL30" i="1" s="1"/>
  <c r="AW326" i="1"/>
  <c r="BK30" i="1" s="1"/>
  <c r="AW324" i="1"/>
  <c r="BI30" i="1" s="1"/>
  <c r="AW323" i="1"/>
  <c r="BH30" i="1" s="1"/>
  <c r="AW321" i="1"/>
  <c r="BF30" i="1" s="1"/>
  <c r="AW320" i="1"/>
  <c r="BE30" i="1" s="1"/>
  <c r="AW319" i="1"/>
  <c r="BD30" i="1" s="1"/>
  <c r="AW317" i="1"/>
  <c r="BB30" i="1" s="1"/>
  <c r="AW316" i="1"/>
  <c r="BA30" i="1" s="1"/>
  <c r="AW315" i="1"/>
  <c r="BL29" i="1" s="1"/>
  <c r="AW314" i="1"/>
  <c r="BK29" i="1" s="1"/>
  <c r="AW313" i="1"/>
  <c r="BJ29" i="1" s="1"/>
  <c r="AW312" i="1"/>
  <c r="BI29" i="1" s="1"/>
  <c r="AW311" i="1"/>
  <c r="BH29" i="1" s="1"/>
  <c r="AW308" i="1"/>
  <c r="BE29" i="1" s="1"/>
  <c r="AW307" i="1"/>
  <c r="BD29" i="1" s="1"/>
  <c r="AW306" i="1"/>
  <c r="BC29" i="1" s="1"/>
  <c r="AW305" i="1"/>
  <c r="BB29" i="1" s="1"/>
  <c r="AW304" i="1"/>
  <c r="BA29" i="1" s="1"/>
  <c r="AW303" i="1"/>
  <c r="BL28" i="1" s="1"/>
  <c r="AW301" i="1"/>
  <c r="BJ28" i="1" s="1"/>
  <c r="AW300" i="1"/>
  <c r="BI28" i="1" s="1"/>
  <c r="AW299" i="1"/>
  <c r="BH28" i="1" s="1"/>
  <c r="AW298" i="1"/>
  <c r="BG28" i="1" s="1"/>
  <c r="AW297" i="1"/>
  <c r="BF28" i="1" s="1"/>
  <c r="AW296" i="1"/>
  <c r="BE28" i="1" s="1"/>
  <c r="AW295" i="1"/>
  <c r="BD28" i="1" s="1"/>
  <c r="AW294" i="1"/>
  <c r="BC28" i="1" s="1"/>
  <c r="AW292" i="1"/>
  <c r="BA28" i="1" s="1"/>
  <c r="AW291" i="1"/>
  <c r="BL27" i="1" s="1"/>
  <c r="AW290" i="1"/>
  <c r="BK27" i="1" s="1"/>
  <c r="AW289" i="1"/>
  <c r="BJ27" i="1" s="1"/>
  <c r="AW288" i="1"/>
  <c r="BI27" i="1" s="1"/>
  <c r="AW287" i="1"/>
  <c r="BH27" i="1" s="1"/>
  <c r="AW285" i="1"/>
  <c r="BF27" i="1" s="1"/>
  <c r="AW284" i="1"/>
  <c r="BE27" i="1" s="1"/>
  <c r="AW283" i="1"/>
  <c r="BD27" i="1" s="1"/>
  <c r="AW282" i="1"/>
  <c r="BC27" i="1" s="1"/>
  <c r="AW280" i="1"/>
  <c r="BA27" i="1" s="1"/>
  <c r="AW279" i="1"/>
  <c r="BL26" i="1" s="1"/>
  <c r="AW278" i="1"/>
  <c r="BK26" i="1" s="1"/>
  <c r="AW277" i="1"/>
  <c r="BJ26" i="1" s="1"/>
  <c r="AW276" i="1"/>
  <c r="BI26" i="1" s="1"/>
  <c r="AW275" i="1"/>
  <c r="BH26" i="1" s="1"/>
  <c r="AW274" i="1"/>
  <c r="BG26" i="1" s="1"/>
  <c r="AW272" i="1"/>
  <c r="BE26" i="1" s="1"/>
  <c r="AW271" i="1"/>
  <c r="BD26" i="1" s="1"/>
  <c r="AW270" i="1"/>
  <c r="BC26" i="1" s="1"/>
  <c r="AW269" i="1"/>
  <c r="BB26" i="1" s="1"/>
  <c r="AW268" i="1"/>
  <c r="BA26" i="1" s="1"/>
  <c r="AW267" i="1"/>
  <c r="BL25" i="1" s="1"/>
  <c r="AW266" i="1"/>
  <c r="BK25" i="1" s="1"/>
  <c r="AW264" i="1"/>
  <c r="BI25" i="1" s="1"/>
  <c r="AW263" i="1"/>
  <c r="BH25" i="1" s="1"/>
  <c r="AW262" i="1"/>
  <c r="BG25" i="1" s="1"/>
  <c r="AW261" i="1"/>
  <c r="BF25" i="1" s="1"/>
  <c r="AW260" i="1"/>
  <c r="BE25" i="1" s="1"/>
  <c r="AW259" i="1"/>
  <c r="BD25" i="1" s="1"/>
  <c r="AW258" i="1"/>
  <c r="BC25" i="1" s="1"/>
  <c r="AW256" i="1"/>
  <c r="BA25" i="1" s="1"/>
  <c r="AW255" i="1"/>
  <c r="BL24" i="1" s="1"/>
  <c r="AW254" i="1"/>
  <c r="BK24" i="1" s="1"/>
  <c r="AW253" i="1"/>
  <c r="BJ24" i="1" s="1"/>
  <c r="AW252" i="1"/>
  <c r="BI24" i="1" s="1"/>
  <c r="AW251" i="1"/>
  <c r="BH24" i="1" s="1"/>
  <c r="AW250" i="1"/>
  <c r="BG24" i="1" s="1"/>
  <c r="AW248" i="1"/>
  <c r="BE24" i="1" s="1"/>
  <c r="AW247" i="1"/>
  <c r="BD24" i="1" s="1"/>
  <c r="AW246" i="1"/>
  <c r="BC24" i="1" s="1"/>
  <c r="AW245" i="1"/>
  <c r="BB24" i="1" s="1"/>
  <c r="AW244" i="1"/>
  <c r="BA24" i="1" s="1"/>
  <c r="AW243" i="1"/>
  <c r="BL23" i="1" s="1"/>
  <c r="AW242" i="1"/>
  <c r="BK23" i="1" s="1"/>
  <c r="AW240" i="1"/>
  <c r="BI23" i="1" s="1"/>
  <c r="AW239" i="1"/>
  <c r="BH23" i="1" s="1"/>
  <c r="AW238" i="1"/>
  <c r="BG23" i="1" s="1"/>
  <c r="AW237" i="1"/>
  <c r="BF23" i="1" s="1"/>
  <c r="AW236" i="1"/>
  <c r="BE23" i="1" s="1"/>
  <c r="AW235" i="1"/>
  <c r="BD23" i="1" s="1"/>
  <c r="AW234" i="1"/>
  <c r="BC23" i="1" s="1"/>
  <c r="AW232" i="1"/>
  <c r="BA23" i="1" s="1"/>
  <c r="AW231" i="1"/>
  <c r="BL22" i="1" s="1"/>
  <c r="AW230" i="1"/>
  <c r="BK22" i="1" s="1"/>
  <c r="AW229" i="1"/>
  <c r="BJ22" i="1" s="1"/>
  <c r="AW228" i="1"/>
  <c r="BI22" i="1" s="1"/>
  <c r="AW227" i="1"/>
  <c r="BH22" i="1" s="1"/>
  <c r="AW226" i="1"/>
  <c r="BG22" i="1" s="1"/>
  <c r="AW224" i="1"/>
  <c r="BE22" i="1" s="1"/>
  <c r="AW223" i="1"/>
  <c r="BD22" i="1" s="1"/>
  <c r="AW222" i="1"/>
  <c r="BC22" i="1" s="1"/>
  <c r="AW221" i="1"/>
  <c r="BB22" i="1" s="1"/>
  <c r="AW220" i="1"/>
  <c r="BA22" i="1" s="1"/>
  <c r="AW219" i="1"/>
  <c r="BL21" i="1" s="1"/>
  <c r="AW218" i="1"/>
  <c r="BK21" i="1" s="1"/>
  <c r="AW216" i="1"/>
  <c r="BI21" i="1" s="1"/>
  <c r="AW215" i="1"/>
  <c r="BH21" i="1" s="1"/>
  <c r="AW214" i="1"/>
  <c r="BG21" i="1" s="1"/>
  <c r="AW213" i="1"/>
  <c r="BF21" i="1" s="1"/>
  <c r="AW212" i="1"/>
  <c r="BE21" i="1" s="1"/>
  <c r="AW211" i="1"/>
  <c r="BD21" i="1" s="1"/>
  <c r="AW210" i="1"/>
  <c r="BC21" i="1" s="1"/>
  <c r="AW208" i="1"/>
  <c r="BA21" i="1" s="1"/>
  <c r="AW207" i="1"/>
  <c r="BL20" i="1" s="1"/>
  <c r="AW206" i="1"/>
  <c r="BK20" i="1" s="1"/>
  <c r="AW205" i="1"/>
  <c r="BJ20" i="1" s="1"/>
  <c r="AW204" i="1"/>
  <c r="BI20" i="1" s="1"/>
  <c r="AW203" i="1"/>
  <c r="BH20" i="1" s="1"/>
  <c r="AW202" i="1"/>
  <c r="BG20" i="1" s="1"/>
  <c r="AW200" i="1"/>
  <c r="BE20" i="1" s="1"/>
  <c r="AW199" i="1"/>
  <c r="BD20" i="1" s="1"/>
  <c r="AW198" i="1"/>
  <c r="BC20" i="1" s="1"/>
  <c r="AW197" i="1"/>
  <c r="BB20" i="1" s="1"/>
  <c r="AW196" i="1"/>
  <c r="BA20" i="1" s="1"/>
  <c r="AW195" i="1"/>
  <c r="BL19" i="1" s="1"/>
  <c r="AW194" i="1"/>
  <c r="BK19" i="1" s="1"/>
  <c r="AW192" i="1"/>
  <c r="BI19" i="1" s="1"/>
  <c r="AW191" i="1"/>
  <c r="BH19" i="1" s="1"/>
  <c r="AW190" i="1"/>
  <c r="BG19" i="1" s="1"/>
  <c r="AW189" i="1"/>
  <c r="BF19" i="1" s="1"/>
  <c r="AW188" i="1"/>
  <c r="BE19" i="1" s="1"/>
  <c r="AW187" i="1"/>
  <c r="BD19" i="1" s="1"/>
  <c r="AW186" i="1"/>
  <c r="BC19" i="1" s="1"/>
  <c r="AW184" i="1"/>
  <c r="BA19" i="1" s="1"/>
  <c r="AW183" i="1"/>
  <c r="BL18" i="1" s="1"/>
  <c r="AW182" i="1"/>
  <c r="BK18" i="1" s="1"/>
  <c r="AW181" i="1"/>
  <c r="BJ18" i="1" s="1"/>
  <c r="AW180" i="1"/>
  <c r="BI18" i="1" s="1"/>
  <c r="AW179" i="1"/>
  <c r="BH18" i="1" s="1"/>
  <c r="AW178" i="1"/>
  <c r="BG18" i="1" s="1"/>
  <c r="AW176" i="1"/>
  <c r="BE18" i="1" s="1"/>
  <c r="AW175" i="1"/>
  <c r="BD18" i="1" s="1"/>
  <c r="AW174" i="1"/>
  <c r="BC18" i="1" s="1"/>
  <c r="AW173" i="1"/>
  <c r="BB18" i="1" s="1"/>
  <c r="AW172" i="1"/>
  <c r="BA18" i="1" s="1"/>
  <c r="AW171" i="1"/>
  <c r="BL17" i="1" s="1"/>
  <c r="AW170" i="1"/>
  <c r="BK17" i="1" s="1"/>
  <c r="AW168" i="1"/>
  <c r="BI17" i="1" s="1"/>
  <c r="AW167" i="1"/>
  <c r="BH17" i="1" s="1"/>
  <c r="AW166" i="1"/>
  <c r="BG17" i="1" s="1"/>
  <c r="AW165" i="1"/>
  <c r="BF17" i="1" s="1"/>
  <c r="AW164" i="1"/>
  <c r="BE17" i="1" s="1"/>
  <c r="AW163" i="1"/>
  <c r="BD17" i="1" s="1"/>
  <c r="AW162" i="1"/>
  <c r="BC17" i="1" s="1"/>
  <c r="AW160" i="1"/>
  <c r="BA17" i="1" s="1"/>
  <c r="AW159" i="1"/>
  <c r="BL16" i="1" s="1"/>
  <c r="AW158" i="1"/>
  <c r="BK16" i="1" s="1"/>
  <c r="AW157" i="1"/>
  <c r="BJ16" i="1" s="1"/>
  <c r="AW156" i="1"/>
  <c r="BI16" i="1" s="1"/>
  <c r="AW155" i="1"/>
  <c r="BH16" i="1" s="1"/>
  <c r="AW154" i="1"/>
  <c r="BG16" i="1" s="1"/>
  <c r="AW152" i="1"/>
  <c r="BE16" i="1" s="1"/>
  <c r="AW151" i="1"/>
  <c r="BD16" i="1" s="1"/>
  <c r="AW150" i="1"/>
  <c r="BC16" i="1" s="1"/>
  <c r="AW149" i="1"/>
  <c r="BB16" i="1" s="1"/>
  <c r="AW148" i="1"/>
  <c r="BA16" i="1" s="1"/>
  <c r="AW147" i="1"/>
  <c r="BL15" i="1" s="1"/>
  <c r="AW146" i="1"/>
  <c r="BK15" i="1" s="1"/>
  <c r="AW144" i="1"/>
  <c r="BI15" i="1" s="1"/>
  <c r="AU3" i="1"/>
  <c r="AV3" i="1"/>
  <c r="AW293" i="1" l="1"/>
  <c r="BB28" i="1" s="1"/>
  <c r="AW309" i="1"/>
  <c r="BF29" i="1" s="1"/>
  <c r="AW322" i="1"/>
  <c r="BG30" i="1" s="1"/>
  <c r="AW325" i="1"/>
  <c r="BJ30" i="1" s="1"/>
  <c r="AW338" i="1"/>
  <c r="BK31" i="1" s="1"/>
  <c r="AW354" i="1"/>
  <c r="BC33" i="1" s="1"/>
  <c r="AW370" i="1"/>
  <c r="BG34" i="1" s="1"/>
  <c r="AW386" i="1"/>
  <c r="BK35" i="1" s="1"/>
  <c r="AW402" i="1"/>
  <c r="BC37" i="1" s="1"/>
  <c r="AW418" i="1"/>
  <c r="BG38" i="1" s="1"/>
  <c r="AW434" i="1"/>
  <c r="BK39" i="1" s="1"/>
  <c r="AW450" i="1"/>
  <c r="BC41" i="1" s="1"/>
  <c r="AW454" i="1"/>
  <c r="BG41" i="1" s="1"/>
  <c r="AW482" i="1"/>
  <c r="BK43" i="1" s="1"/>
  <c r="AW486" i="1"/>
  <c r="BC44" i="1" s="1"/>
  <c r="AW514" i="1"/>
  <c r="BG46" i="1" s="1"/>
  <c r="AW518" i="1"/>
  <c r="BK46" i="1" s="1"/>
  <c r="AW546" i="1"/>
  <c r="BC49" i="1" s="1"/>
  <c r="AW550" i="1"/>
  <c r="BG49" i="1" s="1"/>
  <c r="AW310" i="1"/>
  <c r="BG29" i="1" s="1"/>
  <c r="AW342" i="1"/>
  <c r="BC32" i="1" s="1"/>
  <c r="AW358" i="1"/>
  <c r="BG33" i="1" s="1"/>
  <c r="AW374" i="1"/>
  <c r="BK34" i="1" s="1"/>
  <c r="AW390" i="1"/>
  <c r="BC36" i="1" s="1"/>
  <c r="AW406" i="1"/>
  <c r="BG37" i="1" s="1"/>
  <c r="AW458" i="1"/>
  <c r="BK41" i="1" s="1"/>
  <c r="AW462" i="1"/>
  <c r="BC42" i="1" s="1"/>
  <c r="BM42" i="1" s="1"/>
  <c r="AW494" i="1"/>
  <c r="BK44" i="1" s="1"/>
  <c r="AW526" i="1"/>
  <c r="BG47" i="1" s="1"/>
  <c r="BM47" i="1" s="1"/>
  <c r="AW554" i="1"/>
  <c r="BK49" i="1" s="1"/>
  <c r="AW558" i="1"/>
  <c r="BC50" i="1" s="1"/>
  <c r="BM50" i="1" s="1"/>
  <c r="AW286" i="1"/>
  <c r="BG27" i="1" s="1"/>
  <c r="AW302" i="1"/>
  <c r="BK28" i="1" s="1"/>
  <c r="AW318" i="1"/>
  <c r="BC30" i="1" s="1"/>
  <c r="AW334" i="1"/>
  <c r="BG31" i="1" s="1"/>
  <c r="AW350" i="1"/>
  <c r="BK32" i="1" s="1"/>
  <c r="AW366" i="1"/>
  <c r="BC34" i="1" s="1"/>
  <c r="AW382" i="1"/>
  <c r="BG35" i="1" s="1"/>
  <c r="AW398" i="1"/>
  <c r="BK36" i="1" s="1"/>
  <c r="AW414" i="1"/>
  <c r="BC38" i="1" s="1"/>
  <c r="AW430" i="1"/>
  <c r="BG39" i="1" s="1"/>
  <c r="AW446" i="1"/>
  <c r="BK40" i="1" s="1"/>
  <c r="BM40" i="1" s="1"/>
  <c r="AW474" i="1"/>
  <c r="BC43" i="1" s="1"/>
  <c r="AW478" i="1"/>
  <c r="BG43" i="1" s="1"/>
  <c r="AW506" i="1"/>
  <c r="BK45" i="1" s="1"/>
  <c r="BM45" i="1" s="1"/>
  <c r="AW510" i="1"/>
  <c r="BC46" i="1" s="1"/>
  <c r="AW538" i="1"/>
  <c r="BG48" i="1" s="1"/>
  <c r="AW542" i="1"/>
  <c r="BK48" i="1" s="1"/>
  <c r="AW570" i="1"/>
  <c r="BC51" i="1" s="1"/>
  <c r="AW574" i="1"/>
  <c r="BG51" i="1" s="1"/>
  <c r="AW578" i="1"/>
  <c r="BK51" i="1" s="1"/>
  <c r="AW582" i="1"/>
  <c r="BC52" i="1" s="1"/>
  <c r="AW586" i="1"/>
  <c r="BG52" i="1" s="1"/>
  <c r="AW590" i="1"/>
  <c r="BK52" i="1" s="1"/>
  <c r="AW594" i="1"/>
  <c r="BC53" i="1" s="1"/>
  <c r="AW598" i="1"/>
  <c r="BG53" i="1" s="1"/>
  <c r="AW145" i="1"/>
  <c r="BJ15" i="1" s="1"/>
  <c r="AW153" i="1"/>
  <c r="BF16" i="1" s="1"/>
  <c r="BM16" i="1" s="1"/>
  <c r="AW161" i="1"/>
  <c r="BB17" i="1" s="1"/>
  <c r="AW169" i="1"/>
  <c r="BJ17" i="1" s="1"/>
  <c r="AW177" i="1"/>
  <c r="BF18" i="1" s="1"/>
  <c r="BM18" i="1" s="1"/>
  <c r="AW185" i="1"/>
  <c r="BB19" i="1" s="1"/>
  <c r="AW193" i="1"/>
  <c r="BJ19" i="1" s="1"/>
  <c r="AW201" i="1"/>
  <c r="BF20" i="1" s="1"/>
  <c r="BM20" i="1" s="1"/>
  <c r="AW209" i="1"/>
  <c r="BB21" i="1" s="1"/>
  <c r="AW217" i="1"/>
  <c r="BJ21" i="1" s="1"/>
  <c r="AW225" i="1"/>
  <c r="BF22" i="1" s="1"/>
  <c r="BM22" i="1" s="1"/>
  <c r="AW233" i="1"/>
  <c r="BB23" i="1" s="1"/>
  <c r="AW241" i="1"/>
  <c r="BJ23" i="1" s="1"/>
  <c r="AW249" i="1"/>
  <c r="BF24" i="1" s="1"/>
  <c r="BM24" i="1" s="1"/>
  <c r="AW257" i="1"/>
  <c r="BB25" i="1" s="1"/>
  <c r="AW265" i="1"/>
  <c r="BJ25" i="1" s="1"/>
  <c r="AW273" i="1"/>
  <c r="BF26" i="1" s="1"/>
  <c r="BM26" i="1" s="1"/>
  <c r="AW281" i="1"/>
  <c r="BB27" i="1" s="1"/>
  <c r="BM38" i="1" l="1"/>
  <c r="BM30" i="1"/>
  <c r="BM39" i="1"/>
  <c r="BM41" i="1"/>
  <c r="BM31" i="1"/>
  <c r="BM34" i="1"/>
  <c r="BM17" i="1"/>
  <c r="BM48" i="1"/>
  <c r="BM43" i="1"/>
  <c r="BM33" i="1"/>
  <c r="BM32" i="1"/>
  <c r="BM49" i="1"/>
  <c r="BM21" i="1"/>
  <c r="BM51" i="1"/>
  <c r="BM36" i="1"/>
  <c r="BM29" i="1"/>
  <c r="BM37" i="1"/>
  <c r="BM28" i="1"/>
  <c r="BM25" i="1"/>
  <c r="BM53" i="1"/>
  <c r="BM44" i="1"/>
  <c r="BM19" i="1"/>
  <c r="BM46" i="1"/>
  <c r="BM35" i="1"/>
  <c r="BM27" i="1"/>
  <c r="BM23" i="1"/>
  <c r="BM52" i="1"/>
  <c r="AU4" i="1"/>
  <c r="AW4" i="1"/>
  <c r="AW5" i="1"/>
  <c r="BA4" i="1" l="1"/>
  <c r="AX4" i="1"/>
  <c r="AX5" i="1"/>
  <c r="BB4" i="1"/>
  <c r="AU5" i="1"/>
  <c r="AW6" i="1"/>
  <c r="O5" i="1" l="1"/>
  <c r="K5" i="1"/>
  <c r="J5" i="1"/>
  <c r="L5" i="1"/>
  <c r="N5" i="1"/>
  <c r="AX6" i="1"/>
  <c r="BC4" i="1"/>
  <c r="AU6" i="1"/>
  <c r="AW7" i="1"/>
  <c r="P5" i="1" l="1"/>
  <c r="BD4" i="1"/>
  <c r="AX7" i="1"/>
  <c r="AU7" i="1"/>
  <c r="AW8" i="1"/>
  <c r="I6" i="1" l="1"/>
  <c r="BE4" i="1"/>
  <c r="AX8" i="1"/>
  <c r="AU8" i="1"/>
  <c r="AW9" i="1"/>
  <c r="M6" i="1" l="1"/>
  <c r="O6" i="1"/>
  <c r="K6" i="1"/>
  <c r="BF4" i="1"/>
  <c r="AX9" i="1"/>
  <c r="AU9" i="1"/>
  <c r="AW10" i="1"/>
  <c r="L6" i="1" l="1"/>
  <c r="N6" i="1"/>
  <c r="J6" i="1"/>
  <c r="AX10" i="1"/>
  <c r="BG4" i="1"/>
  <c r="AU10" i="1"/>
  <c r="AW11" i="1"/>
  <c r="P6" i="1" l="1"/>
  <c r="I7" i="1" s="1"/>
  <c r="BH4" i="1"/>
  <c r="AX11" i="1"/>
  <c r="AU11" i="1"/>
  <c r="AW12" i="1"/>
  <c r="M7" i="1" l="1"/>
  <c r="O7" i="1"/>
  <c r="K7" i="1"/>
  <c r="BI4" i="1"/>
  <c r="AX12" i="1"/>
  <c r="AU12" i="1"/>
  <c r="AW13" i="1"/>
  <c r="J7" i="1" l="1"/>
  <c r="N7" i="1"/>
  <c r="L7" i="1"/>
  <c r="BJ4" i="1"/>
  <c r="AX13" i="1"/>
  <c r="AU13" i="1"/>
  <c r="AW14" i="1"/>
  <c r="P7" i="1" l="1"/>
  <c r="BK4" i="1"/>
  <c r="AX14" i="1"/>
  <c r="AU14" i="1"/>
  <c r="AW15" i="1"/>
  <c r="AX15" i="1" s="1"/>
  <c r="BL4" i="1" l="1"/>
  <c r="AU15" i="1"/>
  <c r="AW16" i="1"/>
  <c r="BA5" i="1" l="1"/>
  <c r="AX16" i="1"/>
  <c r="BM4" i="1"/>
  <c r="BN4" i="1"/>
  <c r="AU16" i="1"/>
  <c r="AW17" i="1"/>
  <c r="BB5" i="1" l="1"/>
  <c r="AX17" i="1"/>
  <c r="AU17" i="1"/>
  <c r="AW18" i="1"/>
  <c r="BC5" i="1" l="1"/>
  <c r="AX18" i="1"/>
  <c r="AU18" i="1"/>
  <c r="AW19" i="1"/>
  <c r="BD5" i="1" l="1"/>
  <c r="AX19" i="1"/>
  <c r="AU19" i="1"/>
  <c r="AW20" i="1"/>
  <c r="BE5" i="1" l="1"/>
  <c r="AX20" i="1"/>
  <c r="AU20" i="1"/>
  <c r="AW21" i="1"/>
  <c r="BF5" i="1" l="1"/>
  <c r="AX21" i="1"/>
  <c r="AU21" i="1"/>
  <c r="AW22" i="1"/>
  <c r="BG5" i="1" l="1"/>
  <c r="AX22" i="1"/>
  <c r="AU22" i="1"/>
  <c r="AW23" i="1"/>
  <c r="BH5" i="1" l="1"/>
  <c r="AX23" i="1"/>
  <c r="AU23" i="1"/>
  <c r="AW24" i="1"/>
  <c r="BI5" i="1" l="1"/>
  <c r="AX24" i="1"/>
  <c r="AU24" i="1"/>
  <c r="AW25" i="1"/>
  <c r="BJ5" i="1" l="1"/>
  <c r="AX25" i="1"/>
  <c r="AU25" i="1"/>
  <c r="AW26" i="1"/>
  <c r="BK5" i="1" l="1"/>
  <c r="AX26" i="1"/>
  <c r="AU26" i="1"/>
  <c r="AW27" i="1"/>
  <c r="BL5" i="1" l="1"/>
  <c r="BN5" i="1" s="1"/>
  <c r="AX27" i="1"/>
  <c r="AU27" i="1"/>
  <c r="AW28" i="1"/>
  <c r="BM5" i="1" l="1"/>
  <c r="BA6" i="1"/>
  <c r="AX28" i="1"/>
  <c r="AU28" i="1"/>
  <c r="AW29" i="1"/>
  <c r="BB6" i="1" l="1"/>
  <c r="AX29" i="1"/>
  <c r="AU29" i="1"/>
  <c r="AW30" i="1"/>
  <c r="BC6" i="1" l="1"/>
  <c r="AX30" i="1"/>
  <c r="AU30" i="1"/>
  <c r="AW31" i="1"/>
  <c r="BD6" i="1" l="1"/>
  <c r="AX31" i="1"/>
  <c r="AU31" i="1"/>
  <c r="AW32" i="1"/>
  <c r="BE6" i="1" l="1"/>
  <c r="AX32" i="1"/>
  <c r="AU32" i="1"/>
  <c r="AW33" i="1"/>
  <c r="BF6" i="1" l="1"/>
  <c r="AX33" i="1"/>
  <c r="AU33" i="1"/>
  <c r="AW34" i="1"/>
  <c r="BG6" i="1" l="1"/>
  <c r="AX34" i="1"/>
  <c r="AU34" i="1"/>
  <c r="AW35" i="1"/>
  <c r="BH6" i="1" l="1"/>
  <c r="AX35" i="1"/>
  <c r="AU35" i="1"/>
  <c r="AW36" i="1"/>
  <c r="BI6" i="1" l="1"/>
  <c r="AX36" i="1"/>
  <c r="AU36" i="1"/>
  <c r="AW37" i="1"/>
  <c r="BJ6" i="1" l="1"/>
  <c r="AX37" i="1"/>
  <c r="AU37" i="1"/>
  <c r="AW38" i="1"/>
  <c r="BK6" i="1" l="1"/>
  <c r="AX38" i="1"/>
  <c r="AU38" i="1"/>
  <c r="AW39" i="1"/>
  <c r="BL6" i="1" l="1"/>
  <c r="BN6" i="1" s="1"/>
  <c r="AX39" i="1"/>
  <c r="AU39" i="1"/>
  <c r="AW40" i="1"/>
  <c r="BM6" i="1" l="1"/>
  <c r="BA7" i="1"/>
  <c r="AX40" i="1"/>
  <c r="AU40" i="1"/>
  <c r="AW41" i="1"/>
  <c r="BB7" i="1" l="1"/>
  <c r="AX41" i="1"/>
  <c r="AU41" i="1"/>
  <c r="AW42" i="1"/>
  <c r="BC7" i="1" l="1"/>
  <c r="AX42" i="1"/>
  <c r="AU42" i="1"/>
  <c r="AW43" i="1"/>
  <c r="BD7" i="1" l="1"/>
  <c r="AX43" i="1"/>
  <c r="AU43" i="1"/>
  <c r="AW44" i="1"/>
  <c r="BE7" i="1" l="1"/>
  <c r="AX44" i="1"/>
  <c r="AU44" i="1"/>
  <c r="AW45" i="1"/>
  <c r="BF7" i="1" l="1"/>
  <c r="AX45" i="1"/>
  <c r="AU45" i="1"/>
  <c r="AW46" i="1"/>
  <c r="BG7" i="1" l="1"/>
  <c r="AX46" i="1"/>
  <c r="AU46" i="1"/>
  <c r="AW47" i="1"/>
  <c r="BH7" i="1" l="1"/>
  <c r="AX47" i="1"/>
  <c r="AU47" i="1"/>
  <c r="AW48" i="1"/>
  <c r="BI7" i="1" l="1"/>
  <c r="AX48" i="1"/>
  <c r="AU48" i="1"/>
  <c r="AW49" i="1"/>
  <c r="BJ7" i="1" l="1"/>
  <c r="AX49" i="1"/>
  <c r="AU49" i="1"/>
  <c r="AW50" i="1"/>
  <c r="BK7" i="1" l="1"/>
  <c r="AX50" i="1"/>
  <c r="AU50" i="1"/>
  <c r="AW51" i="1"/>
  <c r="BL7" i="1" l="1"/>
  <c r="BN7" i="1" s="1"/>
  <c r="AX51" i="1"/>
  <c r="AU51" i="1"/>
  <c r="AW52" i="1"/>
  <c r="BM7" i="1" l="1"/>
  <c r="BA8" i="1"/>
  <c r="AX52" i="1"/>
  <c r="AU52" i="1"/>
  <c r="AW53" i="1"/>
  <c r="BB8" i="1" l="1"/>
  <c r="AX53" i="1"/>
  <c r="AU53" i="1"/>
  <c r="AW54" i="1"/>
  <c r="BC8" i="1" l="1"/>
  <c r="AX54" i="1"/>
  <c r="AU54" i="1"/>
  <c r="AW55" i="1"/>
  <c r="BD8" i="1" l="1"/>
  <c r="AX55" i="1"/>
  <c r="AU55" i="1"/>
  <c r="AW56" i="1"/>
  <c r="BE8" i="1" l="1"/>
  <c r="AX56" i="1"/>
  <c r="AU56" i="1"/>
  <c r="AW57" i="1"/>
  <c r="BF8" i="1" l="1"/>
  <c r="AX57" i="1"/>
  <c r="AU57" i="1"/>
  <c r="AW58" i="1"/>
  <c r="BG8" i="1" l="1"/>
  <c r="AX58" i="1"/>
  <c r="AU58" i="1"/>
  <c r="AW59" i="1"/>
  <c r="BH8" i="1" l="1"/>
  <c r="AX59" i="1"/>
  <c r="AU59" i="1"/>
  <c r="AW60" i="1"/>
  <c r="BI8" i="1" l="1"/>
  <c r="AX60" i="1"/>
  <c r="AU60" i="1"/>
  <c r="AW61" i="1"/>
  <c r="BJ8" i="1" l="1"/>
  <c r="AX61" i="1"/>
  <c r="AU61" i="1"/>
  <c r="AW62" i="1"/>
  <c r="BK8" i="1" l="1"/>
  <c r="AX62" i="1"/>
  <c r="AU62" i="1"/>
  <c r="AW63" i="1"/>
  <c r="BL8" i="1" l="1"/>
  <c r="BN8" i="1" s="1"/>
  <c r="AX63" i="1"/>
  <c r="AU63" i="1"/>
  <c r="AW64" i="1"/>
  <c r="BM8" i="1" l="1"/>
  <c r="BA9" i="1"/>
  <c r="AX64" i="1"/>
  <c r="AU64" i="1"/>
  <c r="AW65" i="1"/>
  <c r="BB9" i="1" l="1"/>
  <c r="AX65" i="1"/>
  <c r="AU65" i="1"/>
  <c r="AW66" i="1"/>
  <c r="BC9" i="1" l="1"/>
  <c r="AX66" i="1"/>
  <c r="AU66" i="1"/>
  <c r="AW67" i="1"/>
  <c r="BD9" i="1" l="1"/>
  <c r="AX67" i="1"/>
  <c r="AU67" i="1"/>
  <c r="AW68" i="1"/>
  <c r="BE9" i="1" l="1"/>
  <c r="AX68" i="1"/>
  <c r="AU68" i="1"/>
  <c r="AW69" i="1"/>
  <c r="BF9" i="1" l="1"/>
  <c r="AX69" i="1"/>
  <c r="AU69" i="1"/>
  <c r="AW70" i="1"/>
  <c r="BG9" i="1" l="1"/>
  <c r="AX70" i="1"/>
  <c r="AU70" i="1"/>
  <c r="AW71" i="1"/>
  <c r="BH9" i="1" l="1"/>
  <c r="AX71" i="1"/>
  <c r="AU71" i="1"/>
  <c r="AW72" i="1"/>
  <c r="BI9" i="1" l="1"/>
  <c r="AX72" i="1"/>
  <c r="AU72" i="1"/>
  <c r="AW73" i="1"/>
  <c r="BJ9" i="1" l="1"/>
  <c r="AX73" i="1"/>
  <c r="AU73" i="1"/>
  <c r="AW74" i="1"/>
  <c r="BK9" i="1" l="1"/>
  <c r="AX74" i="1"/>
  <c r="AU74" i="1"/>
  <c r="AW75" i="1"/>
  <c r="BL9" i="1" l="1"/>
  <c r="BN9" i="1" s="1"/>
  <c r="AX75" i="1"/>
  <c r="AU75" i="1"/>
  <c r="AW76" i="1"/>
  <c r="BM9" i="1" l="1"/>
  <c r="BA10" i="1"/>
  <c r="AX76" i="1"/>
  <c r="AU76" i="1"/>
  <c r="AW77" i="1"/>
  <c r="BB10" i="1" l="1"/>
  <c r="AX77" i="1"/>
  <c r="AU77" i="1"/>
  <c r="AW78" i="1"/>
  <c r="BC10" i="1" l="1"/>
  <c r="AX78" i="1"/>
  <c r="AU78" i="1"/>
  <c r="AW79" i="1"/>
  <c r="BD10" i="1" l="1"/>
  <c r="AX79" i="1"/>
  <c r="AU79" i="1"/>
  <c r="AW80" i="1"/>
  <c r="BE10" i="1" l="1"/>
  <c r="AX80" i="1"/>
  <c r="AU80" i="1"/>
  <c r="AW81" i="1"/>
  <c r="BF10" i="1" l="1"/>
  <c r="AX81" i="1"/>
  <c r="AU81" i="1"/>
  <c r="AW82" i="1"/>
  <c r="BG10" i="1" l="1"/>
  <c r="AX82" i="1"/>
  <c r="AU82" i="1"/>
  <c r="AW83" i="1"/>
  <c r="BH10" i="1" l="1"/>
  <c r="AX83" i="1"/>
  <c r="AU83" i="1"/>
  <c r="AW84" i="1"/>
  <c r="BI10" i="1" l="1"/>
  <c r="AX84" i="1"/>
  <c r="AU84" i="1"/>
  <c r="AW85" i="1"/>
  <c r="BJ10" i="1" l="1"/>
  <c r="AX85" i="1"/>
  <c r="AU85" i="1"/>
  <c r="AW86" i="1"/>
  <c r="BK10" i="1" l="1"/>
  <c r="AX86" i="1"/>
  <c r="AU86" i="1"/>
  <c r="AW87" i="1"/>
  <c r="BL10" i="1" l="1"/>
  <c r="BN10" i="1" s="1"/>
  <c r="AX87" i="1"/>
  <c r="AU87" i="1"/>
  <c r="AW88" i="1"/>
  <c r="BM10" i="1" l="1"/>
  <c r="BA11" i="1"/>
  <c r="AX88" i="1"/>
  <c r="AU88" i="1"/>
  <c r="AW89" i="1"/>
  <c r="BB11" i="1" l="1"/>
  <c r="AX89" i="1"/>
  <c r="AU89" i="1"/>
  <c r="AW90" i="1"/>
  <c r="BC11" i="1" l="1"/>
  <c r="AX90" i="1"/>
  <c r="AU90" i="1"/>
  <c r="AW91" i="1"/>
  <c r="BD11" i="1" l="1"/>
  <c r="AX91" i="1"/>
  <c r="AU91" i="1"/>
  <c r="AW92" i="1"/>
  <c r="BE11" i="1" l="1"/>
  <c r="AX92" i="1"/>
  <c r="AU92" i="1"/>
  <c r="AW93" i="1"/>
  <c r="BF11" i="1" l="1"/>
  <c r="AX93" i="1"/>
  <c r="AU93" i="1"/>
  <c r="AW94" i="1"/>
  <c r="BG11" i="1" l="1"/>
  <c r="AX94" i="1"/>
  <c r="AU94" i="1"/>
  <c r="AW95" i="1"/>
  <c r="BH11" i="1" l="1"/>
  <c r="AX95" i="1"/>
  <c r="AU95" i="1"/>
  <c r="AW96" i="1"/>
  <c r="BI11" i="1" l="1"/>
  <c r="AX96" i="1"/>
  <c r="AU96" i="1"/>
  <c r="AW97" i="1"/>
  <c r="BJ11" i="1" l="1"/>
  <c r="AX97" i="1"/>
  <c r="AU97" i="1"/>
  <c r="AW98" i="1"/>
  <c r="BK11" i="1" l="1"/>
  <c r="AX98" i="1"/>
  <c r="AU98" i="1"/>
  <c r="AW99" i="1"/>
  <c r="BL11" i="1" l="1"/>
  <c r="BN11" i="1" s="1"/>
  <c r="AX99" i="1"/>
  <c r="AU99" i="1"/>
  <c r="AW100" i="1"/>
  <c r="BM11" i="1" l="1"/>
  <c r="BA12" i="1"/>
  <c r="AX100" i="1"/>
  <c r="AU100" i="1"/>
  <c r="AW101" i="1"/>
  <c r="BB12" i="1" l="1"/>
  <c r="AX101" i="1"/>
  <c r="AU101" i="1"/>
  <c r="AW102" i="1"/>
  <c r="BC12" i="1" l="1"/>
  <c r="AX102" i="1"/>
  <c r="AU102" i="1"/>
  <c r="AW103" i="1"/>
  <c r="BD12" i="1" l="1"/>
  <c r="AX103" i="1"/>
  <c r="AU103" i="1"/>
  <c r="AW104" i="1"/>
  <c r="BE12" i="1" l="1"/>
  <c r="AX104" i="1"/>
  <c r="AU104" i="1"/>
  <c r="AW105" i="1"/>
  <c r="BF12" i="1" l="1"/>
  <c r="AX105" i="1"/>
  <c r="AU105" i="1"/>
  <c r="AW106" i="1"/>
  <c r="BG12" i="1" l="1"/>
  <c r="AX106" i="1"/>
  <c r="AU106" i="1"/>
  <c r="AW107" i="1"/>
  <c r="BH12" i="1" l="1"/>
  <c r="AX107" i="1"/>
  <c r="AU107" i="1"/>
  <c r="AW108" i="1"/>
  <c r="BI12" i="1" l="1"/>
  <c r="AX108" i="1"/>
  <c r="AU108" i="1"/>
  <c r="AW109" i="1"/>
  <c r="BJ12" i="1" l="1"/>
  <c r="AX109" i="1"/>
  <c r="AU109" i="1"/>
  <c r="AW110" i="1"/>
  <c r="BK12" i="1" l="1"/>
  <c r="AX110" i="1"/>
  <c r="AU110" i="1"/>
  <c r="AW111" i="1"/>
  <c r="BL12" i="1" l="1"/>
  <c r="BN12" i="1" s="1"/>
  <c r="AX111" i="1"/>
  <c r="AU111" i="1"/>
  <c r="AW112" i="1"/>
  <c r="BM12" i="1" l="1"/>
  <c r="BA13" i="1"/>
  <c r="AX112" i="1"/>
  <c r="AU112" i="1"/>
  <c r="AW113" i="1"/>
  <c r="BB13" i="1" l="1"/>
  <c r="AX113" i="1"/>
  <c r="AU113" i="1"/>
  <c r="AW114" i="1"/>
  <c r="BC13" i="1" l="1"/>
  <c r="AX114" i="1"/>
  <c r="AU114" i="1"/>
  <c r="AW115" i="1"/>
  <c r="BD13" i="1" l="1"/>
  <c r="AX115" i="1"/>
  <c r="AU115" i="1"/>
  <c r="AW116" i="1"/>
  <c r="BE13" i="1" l="1"/>
  <c r="AX116" i="1"/>
  <c r="AU116" i="1"/>
  <c r="AW117" i="1"/>
  <c r="BF13" i="1" l="1"/>
  <c r="AX117" i="1"/>
  <c r="AU117" i="1"/>
  <c r="AW118" i="1"/>
  <c r="BG13" i="1" l="1"/>
  <c r="AX118" i="1"/>
  <c r="AU118" i="1"/>
  <c r="AW119" i="1"/>
  <c r="BH13" i="1" l="1"/>
  <c r="AX119" i="1"/>
  <c r="AU119" i="1"/>
  <c r="AW120" i="1"/>
  <c r="BI13" i="1" l="1"/>
  <c r="AX120" i="1"/>
  <c r="AU120" i="1"/>
  <c r="AW121" i="1"/>
  <c r="BJ13" i="1" l="1"/>
  <c r="AX121" i="1"/>
  <c r="AU121" i="1"/>
  <c r="AW122" i="1"/>
  <c r="BK13" i="1" l="1"/>
  <c r="AX122" i="1"/>
  <c r="AU122" i="1"/>
  <c r="AW123" i="1"/>
  <c r="BL13" i="1" l="1"/>
  <c r="BN13" i="1" s="1"/>
  <c r="AX123" i="1"/>
  <c r="AU123" i="1"/>
  <c r="AW124" i="1"/>
  <c r="BM13" i="1" l="1"/>
  <c r="BA14" i="1"/>
  <c r="AX124" i="1"/>
  <c r="AU124" i="1"/>
  <c r="AW125" i="1"/>
  <c r="BB14" i="1" l="1"/>
  <c r="AX125" i="1"/>
  <c r="AU125" i="1"/>
  <c r="AW126" i="1"/>
  <c r="BC14" i="1" l="1"/>
  <c r="AX126" i="1"/>
  <c r="AU126" i="1"/>
  <c r="AW127" i="1"/>
  <c r="BD14" i="1" l="1"/>
  <c r="AX127" i="1"/>
  <c r="AU127" i="1"/>
  <c r="AW128" i="1"/>
  <c r="BE14" i="1" l="1"/>
  <c r="AX128" i="1"/>
  <c r="AU128" i="1"/>
  <c r="AW129" i="1"/>
  <c r="BF14" i="1" l="1"/>
  <c r="AX129" i="1"/>
  <c r="AU129" i="1"/>
  <c r="AW130" i="1"/>
  <c r="BG14" i="1" l="1"/>
  <c r="AX130" i="1"/>
  <c r="AU130" i="1"/>
  <c r="AW131" i="1"/>
  <c r="BH14" i="1" l="1"/>
  <c r="AX131" i="1"/>
  <c r="AU131" i="1"/>
  <c r="AW132" i="1"/>
  <c r="BI14" i="1" l="1"/>
  <c r="AX132" i="1"/>
  <c r="AU132" i="1"/>
  <c r="AW133" i="1"/>
  <c r="BJ14" i="1" l="1"/>
  <c r="AX133" i="1"/>
  <c r="AU133" i="1"/>
  <c r="AW134" i="1"/>
  <c r="BK14" i="1" l="1"/>
  <c r="AX134" i="1"/>
  <c r="AU134" i="1"/>
  <c r="AW135" i="1"/>
  <c r="BL14" i="1" l="1"/>
  <c r="BN14" i="1" s="1"/>
  <c r="AX135" i="1"/>
  <c r="AU135" i="1"/>
  <c r="AW136" i="1"/>
  <c r="BM14" i="1" l="1"/>
  <c r="BA15" i="1"/>
  <c r="AX136" i="1"/>
  <c r="AU136" i="1"/>
  <c r="AW137" i="1"/>
  <c r="BB15" i="1" l="1"/>
  <c r="AX137" i="1"/>
  <c r="AU137" i="1"/>
  <c r="AW138" i="1"/>
  <c r="BC15" i="1" l="1"/>
  <c r="AX138" i="1"/>
  <c r="AU138" i="1"/>
  <c r="AW139" i="1"/>
  <c r="BD15" i="1" l="1"/>
  <c r="AX139" i="1"/>
  <c r="AU139" i="1"/>
  <c r="AW140" i="1"/>
  <c r="BE15" i="1" l="1"/>
  <c r="AX140" i="1"/>
  <c r="AU140" i="1"/>
  <c r="AW141" i="1"/>
  <c r="BF15" i="1" l="1"/>
  <c r="AX141" i="1"/>
  <c r="AU141" i="1"/>
  <c r="AW142" i="1"/>
  <c r="BG15" i="1" l="1"/>
  <c r="AX142" i="1"/>
  <c r="AU142" i="1"/>
  <c r="AW143" i="1"/>
  <c r="BH15" i="1" l="1"/>
  <c r="BN15" i="1" s="1"/>
  <c r="BN16" i="1" s="1"/>
  <c r="AX267" i="1"/>
  <c r="AX1558" i="1"/>
  <c r="AX293" i="1"/>
  <c r="AX194" i="1"/>
  <c r="AX418" i="1"/>
  <c r="AX1240" i="1"/>
  <c r="AX225" i="1"/>
  <c r="AX259" i="1"/>
  <c r="AX880" i="1"/>
  <c r="AX1531" i="1"/>
  <c r="AX1320" i="1"/>
  <c r="AX1386" i="1"/>
  <c r="AX374" i="1"/>
  <c r="AX865" i="1"/>
  <c r="AX1236" i="1"/>
  <c r="AX1377" i="1"/>
  <c r="AX898" i="1"/>
  <c r="AX1039" i="1"/>
  <c r="AX967" i="1"/>
  <c r="AX1239" i="1"/>
  <c r="AX1660" i="1"/>
  <c r="AX644" i="1"/>
  <c r="AX1414" i="1"/>
  <c r="AX1061" i="1"/>
  <c r="AX1389" i="1"/>
  <c r="AX646" i="1"/>
  <c r="AX1443" i="1"/>
  <c r="AX361" i="1"/>
  <c r="AX410" i="1"/>
  <c r="AX1025" i="1"/>
  <c r="AX963" i="1"/>
  <c r="AX1481" i="1"/>
  <c r="AX274" i="1"/>
  <c r="AX312" i="1"/>
  <c r="AX174" i="1"/>
  <c r="AX215" i="1"/>
  <c r="AX751" i="1"/>
  <c r="AX365" i="1"/>
  <c r="AX919" i="1"/>
  <c r="AX950" i="1"/>
  <c r="AX618" i="1"/>
  <c r="AX816" i="1"/>
  <c r="AX722" i="1"/>
  <c r="AX256" i="1"/>
  <c r="AX211" i="1"/>
  <c r="AX1563" i="1"/>
  <c r="AX1375" i="1"/>
  <c r="AX400" i="1"/>
  <c r="AX770" i="1"/>
  <c r="AX1796" i="1"/>
  <c r="AX1651" i="1"/>
  <c r="AX784" i="1"/>
  <c r="AX1649" i="1"/>
  <c r="AX1329" i="1"/>
  <c r="AX768" i="1"/>
  <c r="AX145" i="1"/>
  <c r="AX1028" i="1"/>
  <c r="AX1171" i="1"/>
  <c r="AX1304" i="1"/>
  <c r="AX490" i="1"/>
  <c r="AX383" i="1"/>
  <c r="AX1427" i="1"/>
  <c r="AX1461" i="1"/>
  <c r="AX1767" i="1"/>
  <c r="AX450" i="1"/>
  <c r="AX1684" i="1"/>
  <c r="AX912" i="1"/>
  <c r="AX985" i="1"/>
  <c r="AX653" i="1"/>
  <c r="AX1424" i="1"/>
  <c r="AX868" i="1"/>
  <c r="AX547" i="1"/>
  <c r="AX200" i="1"/>
  <c r="AX451" i="1"/>
  <c r="AX304" i="1"/>
  <c r="AX1356" i="1"/>
  <c r="AX1136" i="1"/>
  <c r="AX613" i="1"/>
  <c r="AX1602" i="1"/>
  <c r="AX1415" i="1"/>
  <c r="AX1477" i="1"/>
  <c r="AX1792" i="1"/>
  <c r="AX340" i="1"/>
  <c r="AX314" i="1"/>
  <c r="AX1494" i="1"/>
  <c r="AX1368" i="1"/>
  <c r="AX278" i="1"/>
  <c r="AX261" i="1"/>
  <c r="AX1523" i="1"/>
  <c r="AX177" i="1"/>
  <c r="AX1317" i="1"/>
  <c r="AX1338" i="1"/>
  <c r="AX1148" i="1"/>
  <c r="AX1803" i="1"/>
  <c r="BN154" i="1" s="1"/>
  <c r="AX1435" i="1"/>
  <c r="AX577" i="1"/>
  <c r="AX1330" i="1"/>
  <c r="AX831" i="1"/>
  <c r="AX1614" i="1"/>
  <c r="AX1573" i="1"/>
  <c r="AX526" i="1"/>
  <c r="AX1621" i="1"/>
  <c r="AX1385" i="1"/>
  <c r="AX755" i="1"/>
  <c r="AX1227" i="1"/>
  <c r="AX797" i="1"/>
  <c r="AX320" i="1"/>
  <c r="AX854" i="1"/>
  <c r="AX1300" i="1"/>
  <c r="AX268" i="1"/>
  <c r="AX944" i="1"/>
  <c r="AX1108" i="1"/>
  <c r="AX847" i="1"/>
  <c r="AX508" i="1"/>
  <c r="AX364" i="1"/>
  <c r="AX369" i="1"/>
  <c r="AX1741" i="1"/>
  <c r="AX648" i="1"/>
  <c r="AX1162" i="1"/>
  <c r="AX205" i="1"/>
  <c r="AX1497" i="1"/>
  <c r="AX1701" i="1"/>
  <c r="AX1611" i="1"/>
  <c r="AX684" i="1"/>
  <c r="AX1296" i="1"/>
  <c r="AX1750" i="1"/>
  <c r="AX685" i="1"/>
  <c r="AX270" i="1"/>
  <c r="AX431" i="1"/>
  <c r="AX1418" i="1"/>
  <c r="AX439" i="1"/>
  <c r="AX1762" i="1"/>
  <c r="AX573" i="1"/>
  <c r="AX1336" i="1"/>
  <c r="AX692" i="1"/>
  <c r="AX548" i="1"/>
  <c r="AX1295" i="1"/>
  <c r="AX894" i="1"/>
  <c r="AX442" i="1"/>
  <c r="AX1081" i="1"/>
  <c r="AX1133" i="1"/>
  <c r="AX1749" i="1"/>
  <c r="AX693" i="1"/>
  <c r="AX766" i="1"/>
  <c r="AX1276" i="1"/>
  <c r="AX651" i="1"/>
  <c r="AX403" i="1"/>
  <c r="AX1007" i="1"/>
  <c r="AX1778" i="1"/>
  <c r="AX185" i="1"/>
  <c r="AX743" i="1"/>
  <c r="AX1238" i="1"/>
  <c r="AX1419" i="1"/>
  <c r="AX243" i="1"/>
  <c r="AX195" i="1"/>
  <c r="AX1169" i="1"/>
  <c r="AX310" i="1"/>
  <c r="AX1212" i="1"/>
  <c r="AX515" i="1"/>
  <c r="AX1736" i="1"/>
  <c r="AX639" i="1"/>
  <c r="AX1244" i="1"/>
  <c r="AX1596" i="1"/>
  <c r="AX1605" i="1"/>
  <c r="AX900" i="1"/>
  <c r="AX1657" i="1"/>
  <c r="AX500" i="1"/>
  <c r="AX153" i="1"/>
  <c r="AX1720" i="1"/>
  <c r="AX631" i="1"/>
  <c r="AX530" i="1"/>
  <c r="AX1175" i="1"/>
  <c r="AX301" i="1"/>
  <c r="AX1535" i="1"/>
  <c r="AX1170" i="1"/>
  <c r="AX756" i="1"/>
  <c r="AX566" i="1"/>
  <c r="AX1309" i="1"/>
  <c r="AX939" i="1"/>
  <c r="AX1286" i="1"/>
  <c r="AX1673" i="1"/>
  <c r="AX1346" i="1"/>
  <c r="AX1340" i="1"/>
  <c r="AX1769" i="1"/>
  <c r="AX859" i="1"/>
  <c r="AX1316" i="1"/>
  <c r="AX1553" i="1"/>
  <c r="AX307" i="1"/>
  <c r="AX1404" i="1"/>
  <c r="AX1342" i="1"/>
  <c r="AX716" i="1"/>
  <c r="AX388" i="1"/>
  <c r="AX1594" i="1"/>
  <c r="AX1078" i="1"/>
  <c r="AX965" i="1"/>
  <c r="AX661" i="1"/>
  <c r="AX748" i="1"/>
  <c r="AX447" i="1"/>
  <c r="AX414" i="1"/>
  <c r="AX731" i="1"/>
  <c r="AX322" i="1"/>
  <c r="AX1519" i="1"/>
  <c r="AX1105" i="1"/>
  <c r="AX1393" i="1"/>
  <c r="AX298" i="1"/>
  <c r="AX1087" i="1"/>
  <c r="AX708" i="1"/>
  <c r="AX249" i="1"/>
  <c r="AX806" i="1"/>
  <c r="AX1620" i="1"/>
  <c r="AX896" i="1"/>
  <c r="AX486" i="1"/>
  <c r="AX1268" i="1"/>
  <c r="AX1013" i="1"/>
  <c r="AX695" i="1"/>
  <c r="AX505" i="1"/>
  <c r="AX528" i="1"/>
  <c r="AX893" i="1"/>
  <c r="AX255" i="1"/>
  <c r="AX1280" i="1"/>
  <c r="AX398" i="1"/>
  <c r="AX242" i="1"/>
  <c r="AX1612" i="1"/>
  <c r="AX189" i="1"/>
  <c r="AX1197" i="1"/>
  <c r="AX1527" i="1"/>
  <c r="AX1710" i="1"/>
  <c r="AX1298" i="1"/>
  <c r="AX1646" i="1"/>
  <c r="AX461" i="1"/>
  <c r="AX984" i="1"/>
  <c r="AX397" i="1"/>
  <c r="AX531" i="1"/>
  <c r="AX1383" i="1"/>
  <c r="AX1056" i="1"/>
  <c r="AX885" i="1"/>
  <c r="AX1647" i="1"/>
  <c r="AX1237" i="1"/>
  <c r="AX337" i="1"/>
  <c r="AX1071" i="1"/>
  <c r="AX724" i="1"/>
  <c r="AX949" i="1"/>
  <c r="AX240" i="1"/>
  <c r="AX1475" i="1"/>
  <c r="AX1396" i="1"/>
  <c r="AX1667" i="1"/>
  <c r="AX842" i="1"/>
  <c r="AX1257" i="1"/>
  <c r="AX558" i="1"/>
  <c r="AX1166" i="1"/>
  <c r="AX1722" i="1"/>
  <c r="AX1642" i="1"/>
  <c r="AX744" i="1"/>
  <c r="AX1790" i="1"/>
  <c r="AX569" i="1"/>
  <c r="AX1016" i="1"/>
  <c r="AX1192" i="1"/>
  <c r="AX589" i="1"/>
  <c r="AX444" i="1"/>
  <c r="AX1075" i="1"/>
  <c r="AX1004" i="1"/>
  <c r="AX163" i="1"/>
  <c r="AX1664" i="1"/>
  <c r="AX711" i="1"/>
  <c r="AX482" i="1"/>
  <c r="AX1311" i="1"/>
  <c r="AX953" i="1"/>
  <c r="AX1583" i="1"/>
  <c r="AX1095" i="1"/>
  <c r="AX1459" i="1"/>
  <c r="AX817" i="1"/>
  <c r="AX807" i="1"/>
  <c r="AX276" i="1"/>
  <c r="AX583" i="1"/>
  <c r="AX154" i="1"/>
  <c r="AX455" i="1"/>
  <c r="AX1068" i="1"/>
  <c r="AX1230" i="1"/>
  <c r="AX603" i="1"/>
  <c r="AX676" i="1"/>
  <c r="AX1472" i="1"/>
  <c r="AX156" i="1"/>
  <c r="AX338" i="1"/>
  <c r="AX938" i="1"/>
  <c r="AX1782" i="1"/>
  <c r="AX519" i="1"/>
  <c r="AX1515" i="1"/>
  <c r="AX1315" i="1"/>
  <c r="AX1733" i="1"/>
  <c r="AX594" i="1"/>
  <c r="AX1784" i="1"/>
  <c r="AX1261" i="1"/>
  <c r="AX1549" i="1"/>
  <c r="AX1480" i="1"/>
  <c r="AX643" i="1"/>
  <c r="AX1154" i="1"/>
  <c r="AX585" i="1"/>
  <c r="AX915" i="1"/>
  <c r="AX1766" i="1"/>
  <c r="AX1715" i="1"/>
  <c r="AX1508" i="1"/>
  <c r="AX1076" i="1"/>
  <c r="AX852" i="1"/>
  <c r="AX1765" i="1"/>
  <c r="AX884" i="1"/>
  <c r="AX299" i="1"/>
  <c r="AX219" i="1"/>
  <c r="AX764" i="1"/>
  <c r="AX1272" i="1"/>
  <c r="AX1658" i="1"/>
  <c r="AX1458" i="1"/>
  <c r="AX1577" i="1"/>
  <c r="AX423" i="1"/>
  <c r="AX182" i="1"/>
  <c r="AX546" i="1"/>
  <c r="AX622" i="1"/>
  <c r="AX167" i="1"/>
  <c r="AX1703" i="1"/>
  <c r="AX344" i="1"/>
  <c r="AX209" i="1"/>
  <c r="AX908" i="1"/>
  <c r="AX1417" i="1"/>
  <c r="AX736" i="1"/>
  <c r="AX1373" i="1"/>
  <c r="AX602" i="1"/>
  <c r="AX1447" i="1"/>
  <c r="AX702" i="1"/>
  <c r="AX1627" i="1"/>
  <c r="AX1486" i="1"/>
  <c r="AX1638" i="1"/>
  <c r="AX1566" i="1"/>
  <c r="AX1153" i="1"/>
  <c r="AX929" i="1"/>
  <c r="AX1608" i="1"/>
  <c r="AX1256" i="1"/>
  <c r="AX1122" i="1"/>
  <c r="AX654" i="1"/>
  <c r="AX1467" i="1"/>
  <c r="AX619" i="1"/>
  <c r="AX1258" i="1"/>
  <c r="AX318" i="1"/>
  <c r="AX1371" i="1"/>
  <c r="AX553" i="1"/>
  <c r="AX497" i="1"/>
  <c r="AX1101" i="1"/>
  <c r="AX1675" i="1"/>
  <c r="AX1357" i="1"/>
  <c r="AX1641" i="1"/>
  <c r="AX1520" i="1"/>
  <c r="AX392" i="1"/>
  <c r="AX1613" i="1"/>
  <c r="AX1344" i="1"/>
  <c r="AX1484" i="1"/>
  <c r="AX1470" i="1"/>
  <c r="AX1556" i="1"/>
  <c r="AX960" i="1"/>
  <c r="AX1702" i="1"/>
  <c r="AX1226" i="1"/>
  <c r="AX350" i="1"/>
  <c r="AX994" i="1"/>
  <c r="AX1041" i="1"/>
  <c r="AX875" i="1"/>
  <c r="AX413" i="1"/>
  <c r="AX607" i="1"/>
  <c r="AX754" i="1"/>
  <c r="AX1559" i="1"/>
  <c r="AX1643" i="1"/>
  <c r="AX1129" i="1"/>
  <c r="AX1217" i="1"/>
  <c r="AX425" i="1"/>
  <c r="AX1753" i="1"/>
  <c r="AX198" i="1"/>
  <c r="AX1254" i="1"/>
  <c r="AX1530" i="1"/>
  <c r="AX1578" i="1"/>
  <c r="AX360" i="1"/>
  <c r="AX1215" i="1"/>
  <c r="AX793" i="1"/>
  <c r="AX782" i="1"/>
  <c r="AX592" i="1"/>
  <c r="AX924" i="1"/>
  <c r="AX464" i="1"/>
  <c r="AX974" i="1"/>
  <c r="AX889" i="1"/>
  <c r="AX728" i="1"/>
  <c r="AX1567" i="1"/>
  <c r="AX441" i="1"/>
  <c r="AX170" i="1"/>
  <c r="AX905" i="1"/>
  <c r="AX1331" i="1"/>
  <c r="AX1407" i="1"/>
  <c r="AX633" i="1"/>
  <c r="AX1506" i="1"/>
  <c r="AX1429" i="1"/>
  <c r="AX496" i="1"/>
  <c r="AX1586" i="1"/>
  <c r="AX334" i="1"/>
  <c r="AX1029" i="1"/>
  <c r="AX472" i="1"/>
  <c r="AX845" i="1"/>
  <c r="AX636" i="1"/>
  <c r="AX1462" i="1"/>
  <c r="AX513" i="1"/>
  <c r="AX1206" i="1"/>
  <c r="AX775" i="1"/>
  <c r="AX239" i="1"/>
  <c r="AX864" i="1"/>
  <c r="AX1337" i="1"/>
  <c r="AX1394" i="1"/>
  <c r="AX1130" i="1"/>
  <c r="AX1800" i="1"/>
  <c r="AX581" i="1"/>
  <c r="AX1360" i="1"/>
  <c r="AX935" i="1"/>
  <c r="AX1070" i="1"/>
  <c r="AX1489" i="1"/>
  <c r="AX649" i="1"/>
  <c r="AX1088" i="1"/>
  <c r="AX1540" i="1"/>
  <c r="AX1529" i="1"/>
  <c r="AX1019" i="1"/>
  <c r="AX1465" i="1"/>
  <c r="AX747" i="1"/>
  <c r="AX1468" i="1"/>
  <c r="AX624" i="1"/>
  <c r="AX1574" i="1"/>
  <c r="AX253" i="1"/>
  <c r="AX377" i="1"/>
  <c r="AX1176" i="1"/>
  <c r="AX773" i="1"/>
  <c r="AX1279" i="1"/>
  <c r="AX1478" i="1"/>
  <c r="AX1190" i="1"/>
  <c r="AX850" i="1"/>
  <c r="AX1761" i="1"/>
  <c r="AX1507" i="1"/>
  <c r="AX1066" i="1"/>
  <c r="AX1023" i="1"/>
  <c r="AX155" i="1"/>
  <c r="AX1632" i="1"/>
  <c r="AX1062" i="1"/>
  <c r="AX1629" i="1"/>
  <c r="AX1496" i="1"/>
  <c r="AX1547" i="1"/>
  <c r="AX1144" i="1"/>
  <c r="AX1194" i="1"/>
  <c r="AX667" i="1"/>
  <c r="AX909" i="1"/>
  <c r="AX269" i="1"/>
  <c r="AX706" i="1"/>
  <c r="AX440" i="1"/>
  <c r="AX149" i="1"/>
  <c r="AX146" i="1"/>
  <c r="AX1410" i="1"/>
  <c r="AX542" i="1"/>
  <c r="AX1306" i="1"/>
  <c r="AX1607" i="1"/>
  <c r="AX501" i="1"/>
  <c r="AX401" i="1"/>
  <c r="AX1802" i="1"/>
  <c r="AX1514" i="1"/>
  <c r="AX1399" i="1"/>
  <c r="AX1289" i="1"/>
  <c r="AX456" i="1"/>
  <c r="AX466" i="1"/>
  <c r="AX840" i="1"/>
  <c r="AX681" i="1"/>
  <c r="AX843" i="1"/>
  <c r="AX1307" i="1"/>
  <c r="AX656" i="1"/>
  <c r="AX888" i="1"/>
  <c r="AX1388" i="1"/>
  <c r="AX1402" i="1"/>
  <c r="AX1359" i="1"/>
  <c r="AX504" i="1"/>
  <c r="AX1797" i="1"/>
  <c r="AX871" i="1"/>
  <c r="AX297" i="1"/>
  <c r="AX887" i="1"/>
  <c r="AX1053" i="1"/>
  <c r="AX1183" i="1"/>
  <c r="AX1158" i="1"/>
  <c r="AX556" i="1"/>
  <c r="AX1505" i="1"/>
  <c r="AX615" i="1"/>
  <c r="AX1786" i="1"/>
  <c r="AX1795" i="1"/>
  <c r="AX698" i="1"/>
  <c r="AX1568" i="1"/>
  <c r="AX1092" i="1"/>
  <c r="AX1773" i="1"/>
  <c r="AX998" i="1"/>
  <c r="AX449" i="1"/>
  <c r="AX474" i="1"/>
  <c r="AX246" i="1"/>
  <c r="AX382" i="1"/>
  <c r="AX305" i="1"/>
  <c r="AX514" i="1"/>
  <c r="AX1084" i="1"/>
  <c r="AX937" i="1"/>
  <c r="AX1052" i="1"/>
  <c r="AX700" i="1"/>
  <c r="AX1433" i="1"/>
  <c r="AX1189" i="1"/>
  <c r="AX1501" i="1"/>
  <c r="AX590" i="1"/>
  <c r="AX733" i="1"/>
  <c r="AX1390" i="1"/>
  <c r="AX1259" i="1"/>
  <c r="AX973" i="1"/>
  <c r="AX707" i="1"/>
  <c r="AX659" i="1"/>
  <c r="AX580" i="1"/>
  <c r="AX511" i="1"/>
  <c r="AX1250" i="1"/>
  <c r="AX897" i="1"/>
  <c r="AX1446" i="1"/>
  <c r="AX1246" i="1"/>
  <c r="AX250" i="1"/>
  <c r="AX1232" i="1"/>
  <c r="AX1392" i="1"/>
  <c r="AX1763" i="1"/>
  <c r="AX1270" i="1"/>
  <c r="AX951" i="1"/>
  <c r="AX1294" i="1"/>
  <c r="AX1485" i="1"/>
  <c r="AX971" i="1"/>
  <c r="AX1444" i="1"/>
  <c r="AX1214" i="1"/>
  <c r="AX1440" i="1"/>
  <c r="AX1716" i="1"/>
  <c r="AX1542" i="1"/>
  <c r="AX1777" i="1"/>
  <c r="AX942" i="1"/>
  <c r="AX1640" i="1"/>
  <c r="AX1034" i="1"/>
  <c r="AX1074" i="1"/>
  <c r="AX1714" i="1"/>
  <c r="AX1739" i="1"/>
  <c r="AX518" i="1"/>
  <c r="AX981" i="1"/>
  <c r="AX1049" i="1"/>
  <c r="AX1537" i="1"/>
  <c r="AX1267" i="1"/>
  <c r="AX1137" i="1"/>
  <c r="AX677" i="1"/>
  <c r="AX550" i="1"/>
  <c r="AX549" i="1"/>
  <c r="AX1387" i="1"/>
  <c r="AX867" i="1"/>
  <c r="AX720" i="1"/>
  <c r="AX1785" i="1"/>
  <c r="AX1233" i="1"/>
  <c r="AX351" i="1"/>
  <c r="AX785" i="1"/>
  <c r="AX1222" i="1"/>
  <c r="AX1590" i="1"/>
  <c r="AX1378" i="1"/>
  <c r="AX1679" i="1"/>
  <c r="AX510" i="1"/>
  <c r="AX1436" i="1"/>
  <c r="AX1509" i="1"/>
  <c r="AX543" i="1"/>
  <c r="AX1043" i="1"/>
  <c r="AX879" i="1"/>
  <c r="AX1072" i="1"/>
  <c r="AX1146" i="1"/>
  <c r="AX1671" i="1"/>
  <c r="AX1648" i="1"/>
  <c r="AX1718" i="1"/>
  <c r="AX697" i="1"/>
  <c r="AX1293" i="1"/>
  <c r="AX1193" i="1"/>
  <c r="AX1264" i="1"/>
  <c r="AX420" i="1"/>
  <c r="AX1350" i="1"/>
  <c r="AX213" i="1"/>
  <c r="AX264" i="1"/>
  <c r="AX217" i="1"/>
  <c r="AX245" i="1"/>
  <c r="AX779" i="1"/>
  <c r="AX226" i="1"/>
  <c r="AX1333" i="1"/>
  <c r="AX329" i="1"/>
  <c r="AX1439" i="1"/>
  <c r="AX996" i="1"/>
  <c r="AX811" i="1"/>
  <c r="AX1201" i="1"/>
  <c r="AX230" i="1"/>
  <c r="AX465" i="1"/>
  <c r="AX1727" i="1"/>
  <c r="AX1794" i="1"/>
  <c r="AX1451" i="1"/>
  <c r="AX1198" i="1"/>
  <c r="AX1528" i="1"/>
  <c r="AX162" i="1"/>
  <c r="AX187" i="1"/>
  <c r="AX1454" i="1"/>
  <c r="AX1405" i="1"/>
  <c r="AX1177" i="1"/>
  <c r="AX687" i="1"/>
  <c r="AX647" i="1"/>
  <c r="AX1639" i="1"/>
  <c r="AX1420" i="1"/>
  <c r="AX818" i="1"/>
  <c r="AX1211" i="1"/>
  <c r="AX502" i="1"/>
  <c r="AX1719" i="1"/>
  <c r="AX1452" i="1"/>
  <c r="AX1145" i="1"/>
  <c r="AX600" i="1"/>
  <c r="AX701" i="1"/>
  <c r="AX918" i="1"/>
  <c r="AX1353" i="1"/>
  <c r="AX1186" i="1"/>
  <c r="AX1676" i="1"/>
  <c r="AX931" i="1"/>
  <c r="AX559" i="1"/>
  <c r="AX1125" i="1"/>
  <c r="AX1412" i="1"/>
  <c r="AX359" i="1"/>
  <c r="AX244" i="1"/>
  <c r="AX1619" i="1"/>
  <c r="AX1677" i="1"/>
  <c r="AX1376" i="1"/>
  <c r="AX1425" i="1"/>
  <c r="AX746" i="1"/>
  <c r="AX765" i="1"/>
  <c r="AX375" i="1"/>
  <c r="AX1666" i="1"/>
  <c r="AX1195" i="1"/>
  <c r="AX1274" i="1"/>
  <c r="AX481" i="1"/>
  <c r="AX1288" i="1"/>
  <c r="AX1164" i="1"/>
  <c r="AX1308" i="1"/>
  <c r="AX1582" i="1"/>
  <c r="AX371" i="1"/>
  <c r="AX997" i="1"/>
  <c r="AX1437" i="1"/>
  <c r="AX1369" i="1"/>
  <c r="AX1610" i="1"/>
  <c r="AX1398" i="1"/>
  <c r="AX452" i="1"/>
  <c r="AX1271" i="1"/>
  <c r="AX1303" i="1"/>
  <c r="AX355" i="1"/>
  <c r="AX1438" i="1"/>
  <c r="AX457" i="1"/>
  <c r="AX366" i="1"/>
  <c r="AX729" i="1"/>
  <c r="AX1352" i="1"/>
  <c r="AX1005" i="1"/>
  <c r="AX1474" i="1"/>
  <c r="AX1760" i="1"/>
  <c r="AX1150" i="1"/>
  <c r="AX628" i="1"/>
  <c r="AX1628" i="1"/>
  <c r="AX1724" i="1"/>
  <c r="AX666" i="1"/>
  <c r="AX150" i="1"/>
  <c r="AX1565" i="1"/>
  <c r="AX934" i="1"/>
  <c r="AX1281" i="1"/>
  <c r="AX1532" i="1"/>
  <c r="AX730" i="1"/>
  <c r="AX1269" i="1"/>
  <c r="AX1575" i="1"/>
  <c r="AX180" i="1"/>
  <c r="AX1037" i="1"/>
  <c r="AX477" i="1"/>
  <c r="AX1626" i="1"/>
  <c r="AX1569" i="1"/>
  <c r="AX1205" i="1"/>
  <c r="AX1083" i="1"/>
  <c r="AX902" i="1"/>
  <c r="AX564" i="1"/>
  <c r="AX1725" i="1"/>
  <c r="AX1584" i="1"/>
  <c r="AX810" i="1"/>
  <c r="AX161" i="1"/>
  <c r="AX726" i="1"/>
  <c r="AX1155" i="1"/>
  <c r="AX834" i="1"/>
  <c r="AX1587" i="1"/>
  <c r="AX739" i="1"/>
  <c r="AX536" i="1"/>
  <c r="AX1616" i="1"/>
  <c r="AX1600" i="1"/>
  <c r="AX1165" i="1"/>
  <c r="AX1354" i="1"/>
  <c r="AX1161" i="1"/>
  <c r="AX855" i="1"/>
  <c r="AX1562" i="1"/>
  <c r="AX660" i="1"/>
  <c r="AX273" i="1"/>
  <c r="AX1747" i="1"/>
  <c r="AX1167" i="1"/>
  <c r="AX428" i="1"/>
  <c r="AX394" i="1"/>
  <c r="AX612" i="1"/>
  <c r="AX1713" i="1"/>
  <c r="AX717" i="1"/>
  <c r="AX1128" i="1"/>
  <c r="AX1202" i="1"/>
  <c r="AX1099" i="1"/>
  <c r="AX1260" i="1"/>
  <c r="AX839" i="1"/>
  <c r="AX1395" i="1"/>
  <c r="AX1123" i="1"/>
  <c r="AX489" i="1"/>
  <c r="AX1160" i="1"/>
  <c r="AX1235" i="1"/>
  <c r="AX1700" i="1"/>
  <c r="AX433" i="1"/>
  <c r="AX509" i="1"/>
  <c r="AX1755" i="1"/>
  <c r="AX1653" i="1"/>
  <c r="AX992" i="1"/>
  <c r="AX1228" i="1"/>
  <c r="AX1511" i="1"/>
  <c r="AX1121" i="1"/>
  <c r="AX1247" i="1"/>
  <c r="AX1534" i="1"/>
  <c r="AX658" i="1"/>
  <c r="AX629" i="1"/>
  <c r="AX969" i="1"/>
  <c r="AX579" i="1"/>
  <c r="AX1397" i="1"/>
  <c r="AX229" i="1"/>
  <c r="AX1339" i="1"/>
  <c r="AX1756" i="1"/>
  <c r="AX1579" i="1"/>
  <c r="AX674" i="1"/>
  <c r="AX1363" i="1"/>
  <c r="AX494" i="1"/>
  <c r="AX1525" i="1"/>
  <c r="AX1003" i="1"/>
  <c r="AX339" i="1"/>
  <c r="AX740" i="1"/>
  <c r="AX1696" i="1"/>
  <c r="AX1457" i="1"/>
  <c r="AX1355" i="1"/>
  <c r="AX1035" i="1"/>
  <c r="AX1284" i="1"/>
  <c r="AX1730" i="1"/>
  <c r="AX1518" i="1"/>
  <c r="AX605" i="1"/>
  <c r="AX324" i="1"/>
  <c r="AX1152" i="1"/>
  <c r="AX192" i="1"/>
  <c r="AX1277" i="1"/>
  <c r="AX393" i="1"/>
  <c r="AX620" i="1"/>
  <c r="AX1432" i="1"/>
  <c r="AX328" i="1"/>
  <c r="AX315" i="1"/>
  <c r="AX826" i="1"/>
  <c r="AX1674" i="1"/>
  <c r="AX1448" i="1"/>
  <c r="AX1757" i="1"/>
  <c r="AX1460" i="1"/>
  <c r="AX1599" i="1"/>
  <c r="AX820" i="1"/>
  <c r="AX638" i="1"/>
  <c r="AX1216" i="1"/>
  <c r="AX680" i="1"/>
  <c r="AX478" i="1"/>
  <c r="AX1544" i="1"/>
  <c r="AX1759" i="1"/>
  <c r="AX933" i="1"/>
  <c r="AX1554" i="1"/>
  <c r="AX1650" i="1"/>
  <c r="AX1503" i="1"/>
  <c r="AX216" i="1"/>
  <c r="AX191" i="1"/>
  <c r="AX206" i="1"/>
  <c r="AX1476" i="1"/>
  <c r="AX895" i="1"/>
  <c r="AX1187" i="1"/>
  <c r="AX143" i="1"/>
  <c r="AX169" i="1"/>
  <c r="AX1430" i="1"/>
  <c r="AX1245" i="1"/>
  <c r="AX798" i="1"/>
  <c r="AX356" i="1"/>
  <c r="AX385" i="1"/>
  <c r="AX248" i="1"/>
  <c r="AX916" i="1"/>
  <c r="AX574" i="1"/>
  <c r="AX1374" i="1"/>
  <c r="AX1224" i="1"/>
  <c r="AX404" i="1"/>
  <c r="AX718" i="1"/>
  <c r="AX1196" i="1"/>
  <c r="AX1780" i="1"/>
  <c r="AX1290" i="1"/>
  <c r="AX1681" i="1"/>
  <c r="AX1748" i="1"/>
  <c r="AX1707" i="1"/>
  <c r="AX158" i="1"/>
  <c r="AX282" i="1"/>
  <c r="AX962" i="1"/>
  <c r="AX632" i="1"/>
  <c r="AX484" i="1"/>
  <c r="AX1601" i="1"/>
  <c r="AX251" i="1"/>
  <c r="AX609" i="1"/>
  <c r="AX561" i="1"/>
  <c r="AX228" i="1"/>
  <c r="AX286" i="1"/>
  <c r="AX437" i="1"/>
  <c r="AX1624" i="1"/>
  <c r="AX630" i="1"/>
  <c r="AX943" i="1"/>
  <c r="AX1708" i="1"/>
  <c r="AX650" i="1"/>
  <c r="AX1093" i="1"/>
  <c r="AX892" i="1"/>
  <c r="AX1482" i="1"/>
  <c r="AX1589" i="1"/>
  <c r="AX173" i="1"/>
  <c r="AX438" i="1"/>
  <c r="AX849" i="1"/>
  <c r="AX283" i="1"/>
  <c r="AX1349" i="1"/>
  <c r="AX671" i="1"/>
  <c r="AX1406" i="1"/>
  <c r="AX1208" i="1"/>
  <c r="AX506" i="1"/>
  <c r="AX1292" i="1"/>
  <c r="AX258" i="1"/>
  <c r="AX904" i="1"/>
  <c r="AX1173" i="1"/>
  <c r="AX1142" i="1"/>
  <c r="AX1441" i="1"/>
  <c r="AX906" i="1"/>
  <c r="AX480" i="1"/>
  <c r="AX1126" i="1"/>
  <c r="AX1199" i="1"/>
  <c r="AX1431" i="1"/>
  <c r="AX710" i="1"/>
  <c r="AX572" i="1"/>
  <c r="AX1102" i="1"/>
  <c r="AX1570" i="1"/>
  <c r="AX625" i="1"/>
  <c r="AX1689" i="1"/>
  <c r="AX1234" i="1"/>
  <c r="AX925" i="1"/>
  <c r="AX544" i="1"/>
  <c r="AX803" i="1"/>
  <c r="AX1774" i="1"/>
  <c r="AX284" i="1"/>
  <c r="AX637" i="1"/>
  <c r="AX539" i="1"/>
  <c r="AX1729" i="1"/>
  <c r="AX1001" i="1"/>
  <c r="AX1408" i="1"/>
  <c r="AX144" i="1"/>
  <c r="AX980" i="1"/>
  <c r="AX823" i="1"/>
  <c r="AX166" i="1"/>
  <c r="AX801" i="1"/>
  <c r="AX769" i="1"/>
  <c r="AX1585" i="1"/>
  <c r="AX835" i="1"/>
  <c r="AX672" i="1"/>
  <c r="AX1656" i="1"/>
  <c r="AX662" i="1"/>
  <c r="AX1644" i="1"/>
  <c r="AX387" i="1"/>
  <c r="AX1301" i="1"/>
  <c r="AX1466" i="1"/>
  <c r="AX1473" i="1"/>
  <c r="AX907" i="1"/>
  <c r="AX789" i="1"/>
  <c r="AX1188" i="1"/>
  <c r="AX597" i="1"/>
  <c r="AX977" i="1"/>
  <c r="AX1541" i="1"/>
  <c r="AX421" i="1"/>
  <c r="AX292" i="1"/>
  <c r="AX783" i="1"/>
  <c r="AX946" i="1"/>
  <c r="AX1421" i="1"/>
  <c r="AX844" i="1"/>
  <c r="AX343" i="1"/>
  <c r="AX1550" i="1"/>
  <c r="AX1112" i="1"/>
  <c r="AX462" i="1"/>
  <c r="AX1243" i="1"/>
  <c r="AX1263" i="1"/>
  <c r="AX1310" i="1"/>
  <c r="AX1751" i="1"/>
  <c r="AX1225" i="1"/>
  <c r="AX616" i="1"/>
  <c r="AX395" i="1"/>
  <c r="AX1491" i="1"/>
  <c r="AX790" i="1"/>
  <c r="AX1401" i="1"/>
  <c r="AX317" i="1"/>
  <c r="AX1291" i="1"/>
  <c r="AX1495" i="1"/>
  <c r="AX1680" i="1"/>
  <c r="AX331" i="1"/>
  <c r="AX926" i="1"/>
  <c r="AX1030" i="1"/>
  <c r="AX1094" i="1"/>
  <c r="AX427" i="1"/>
  <c r="AX1517" i="1"/>
  <c r="AX617" i="1"/>
  <c r="AX1526" i="1"/>
  <c r="AX1114" i="1"/>
  <c r="AX836" i="1"/>
  <c r="AX1265" i="1"/>
  <c r="AX471" i="1"/>
  <c r="AX277" i="1"/>
  <c r="AX1341" i="1"/>
  <c r="AX1630" i="1"/>
  <c r="AX233" i="1"/>
  <c r="AX332" i="1"/>
  <c r="AX342" i="1"/>
  <c r="AX1168" i="1"/>
  <c r="AX1434" i="1"/>
  <c r="AX813" i="1"/>
  <c r="AX491" i="1"/>
  <c r="AX1069" i="1"/>
  <c r="AX781" i="1"/>
  <c r="AX1662" i="1"/>
  <c r="AX1510" i="1"/>
  <c r="AX197" i="1"/>
  <c r="AX381" i="1"/>
  <c r="AX1717" i="1"/>
  <c r="AX727" i="1"/>
  <c r="AX1745" i="1"/>
  <c r="AX714" i="1"/>
  <c r="AX970" i="1"/>
  <c r="AX1384" i="1"/>
  <c r="AX1262" i="1"/>
  <c r="AX1543" i="1"/>
  <c r="AX1024" i="1"/>
  <c r="AX416" i="1"/>
  <c r="AX1634" i="1"/>
  <c r="AX525" i="1"/>
  <c r="AX406" i="1"/>
  <c r="AX709" i="1"/>
  <c r="AX453" i="1"/>
  <c r="AX367" i="1"/>
  <c r="AX1046" i="1"/>
  <c r="AX673" i="1"/>
  <c r="AX795" i="1"/>
  <c r="AX1022" i="1"/>
  <c r="AX263" i="1"/>
  <c r="AX1036" i="1"/>
  <c r="AX575" i="1"/>
  <c r="AX402" i="1"/>
  <c r="AX1365" i="1"/>
  <c r="AX1332" i="1"/>
  <c r="AX262" i="1"/>
  <c r="AX1636" i="1"/>
  <c r="AX1348" i="1"/>
  <c r="AX1015" i="1"/>
  <c r="AX1552" i="1"/>
  <c r="AX858" i="1"/>
  <c r="AX947" i="1"/>
  <c r="AX487" i="1"/>
  <c r="AX821" i="1"/>
  <c r="AX917" i="1"/>
  <c r="AX1044" i="1"/>
  <c r="AX1551" i="1"/>
  <c r="AX1775" i="1"/>
  <c r="AX827" i="1"/>
  <c r="AX1659" i="1"/>
  <c r="AX179" i="1"/>
  <c r="AX1669" i="1"/>
  <c r="AX1709" i="1"/>
  <c r="AX829" i="1"/>
  <c r="AX788" i="1"/>
  <c r="AX1370" i="1"/>
  <c r="AX199" i="1"/>
  <c r="AX1783" i="1"/>
  <c r="AX940" i="1"/>
  <c r="AX1139" i="1"/>
  <c r="AX565" i="1"/>
  <c r="AX825" i="1"/>
  <c r="AX160" i="1"/>
  <c r="AX1631" i="1"/>
  <c r="AX872" i="1"/>
  <c r="AX1324" i="1"/>
  <c r="AX1210" i="1"/>
  <c r="AX281" i="1"/>
  <c r="AX1598" i="1"/>
  <c r="AX552" i="1"/>
  <c r="AX862" i="1"/>
  <c r="AX1706" i="1"/>
  <c r="AX873" i="1"/>
  <c r="AX1312" i="1"/>
  <c r="AX989" i="1"/>
  <c r="AX571" i="1"/>
  <c r="AX832" i="1"/>
  <c r="AX1085" i="1"/>
  <c r="AX1273" i="1"/>
  <c r="AX1400" i="1"/>
  <c r="AX959" i="1"/>
  <c r="AX1157" i="1"/>
  <c r="AX809" i="1"/>
  <c r="AX417" i="1"/>
  <c r="AX1456" i="1"/>
  <c r="AX1687" i="1"/>
  <c r="AX759" i="1"/>
  <c r="AX445" i="1"/>
  <c r="AX147" i="1"/>
  <c r="AX771" i="1"/>
  <c r="AX978" i="1"/>
  <c r="AX1513" i="1"/>
  <c r="AX1118" i="1"/>
  <c r="AX1180" i="1"/>
  <c r="AX1361" i="1"/>
  <c r="AX224" i="1"/>
  <c r="AX1422" i="1"/>
  <c r="AX1063" i="1"/>
  <c r="AX1143" i="1"/>
  <c r="AX330" i="1"/>
  <c r="AX488" i="1"/>
  <c r="AX738" i="1"/>
  <c r="AX1423" i="1"/>
  <c r="AX1319" i="1"/>
  <c r="AX1487" i="1"/>
  <c r="AX1266" i="1"/>
  <c r="AX911" i="1"/>
  <c r="AX1064" i="1"/>
  <c r="AX1131" i="1"/>
  <c r="AX1758" i="1"/>
  <c r="AX517" i="1"/>
  <c r="AX869" i="1"/>
  <c r="AX495" i="1"/>
  <c r="AX524" i="1"/>
  <c r="AX1156" i="1"/>
  <c r="AX993" i="1"/>
  <c r="AX1504" i="1"/>
  <c r="AX1737" i="1"/>
  <c r="AX443" i="1"/>
  <c r="AX1141" i="1"/>
  <c r="AX1455" i="1"/>
  <c r="AX679" i="1"/>
  <c r="AX920" i="1"/>
  <c r="AX1698" i="1"/>
  <c r="AX948" i="1"/>
  <c r="AX555" i="1"/>
  <c r="AX188" i="1"/>
  <c r="AX1798" i="1"/>
  <c r="AX214" i="1"/>
  <c r="AX952" i="1"/>
  <c r="AX1711" i="1"/>
  <c r="AX1685" i="1"/>
  <c r="AX1347" i="1"/>
  <c r="AX1089" i="1"/>
  <c r="AX231" i="1"/>
  <c r="AX1672" i="1"/>
  <c r="AX1080" i="1"/>
  <c r="AX1469" i="1"/>
  <c r="AX1096" i="1"/>
  <c r="AX407" i="1"/>
  <c r="AX1734" i="1"/>
  <c r="AX380" i="1"/>
  <c r="AX454" i="1"/>
  <c r="AX1483" i="1"/>
  <c r="AX492" i="1"/>
  <c r="AX260" i="1"/>
  <c r="AX241" i="1"/>
  <c r="AX699" i="1"/>
  <c r="AX1652" i="1"/>
  <c r="AX1050" i="1"/>
  <c r="AX1413" i="1"/>
  <c r="AX663" i="1"/>
  <c r="AX1665" i="1"/>
  <c r="AX792" i="1"/>
  <c r="AX588" i="1"/>
  <c r="AX1322" i="1"/>
  <c r="AX1682" i="1"/>
  <c r="AX311" i="1"/>
  <c r="AX534" i="1"/>
  <c r="AX429" i="1"/>
  <c r="AX237" i="1"/>
  <c r="AX1318" i="1"/>
  <c r="AX560" i="1"/>
  <c r="AX479" i="1"/>
  <c r="AX1251" i="1"/>
  <c r="AX713" i="1"/>
  <c r="AX805" i="1"/>
  <c r="AX1285" i="1"/>
  <c r="AX1699" i="1"/>
  <c r="AX833" i="1"/>
  <c r="AX483" i="1"/>
  <c r="AX1031" i="1"/>
  <c r="AX235" i="1"/>
  <c r="AX1278" i="1"/>
  <c r="AX1490" i="1"/>
  <c r="AX1591" i="1"/>
  <c r="AX210" i="1"/>
  <c r="AX757" i="1"/>
  <c r="AX1327" i="1"/>
  <c r="AX1704" i="1"/>
  <c r="AX1127" i="1"/>
  <c r="AX1772" i="1"/>
  <c r="AX990" i="1"/>
  <c r="AX1115" i="1"/>
  <c r="AX1249" i="1"/>
  <c r="AX1516" i="1"/>
  <c r="AX1693" i="1"/>
  <c r="AX1221" i="1"/>
  <c r="AX1521" i="1"/>
  <c r="AX689" i="1"/>
  <c r="AX870" i="1"/>
  <c r="AX1728" i="1"/>
  <c r="AX828" i="1"/>
  <c r="AX1426" i="1"/>
  <c r="AX1744" i="1"/>
  <c r="AX523" i="1"/>
  <c r="AX1391" i="1"/>
  <c r="AX1555" i="1"/>
  <c r="AX1548" i="1"/>
  <c r="AX1789" i="1"/>
  <c r="AX1742" i="1"/>
  <c r="AX1299" i="1"/>
  <c r="AX721" i="1"/>
  <c r="AX866" i="1"/>
  <c r="AX1428" i="1"/>
  <c r="AX408" i="1"/>
  <c r="AX1536" i="1"/>
  <c r="AX641" i="1"/>
  <c r="AX703" i="1"/>
  <c r="AX1091" i="1"/>
  <c r="AX1098" i="1"/>
  <c r="AX419" i="1"/>
  <c r="AX1633" i="1"/>
  <c r="AX610" i="1"/>
  <c r="AX1498" i="1"/>
  <c r="AX323" i="1"/>
  <c r="AX347" i="1"/>
  <c r="AX913" i="1"/>
  <c r="AX1654" i="1"/>
  <c r="AX1079" i="1"/>
  <c r="AX266" i="1"/>
  <c r="AX1539" i="1"/>
  <c r="AX1241" i="1"/>
  <c r="AX1688" i="1"/>
  <c r="AX1011" i="1"/>
  <c r="AX346" i="1"/>
  <c r="AX1382" i="1"/>
  <c r="AX1140" i="1"/>
  <c r="AX522" i="1"/>
  <c r="AX1499" i="1"/>
  <c r="AX800" i="1"/>
  <c r="AX238" i="1"/>
  <c r="AX1182" i="1"/>
  <c r="AX303" i="1"/>
  <c r="AX767" i="1"/>
  <c r="AX1181" i="1"/>
  <c r="AX467" i="1"/>
  <c r="AX1740" i="1"/>
  <c r="AX1010" i="1"/>
  <c r="AX1683" i="1"/>
  <c r="AX1159" i="1"/>
  <c r="AX165" i="1"/>
  <c r="AX222" i="1"/>
  <c r="AX1038" i="1"/>
  <c r="AX669" i="1"/>
  <c r="AX1770" i="1"/>
  <c r="AX405" i="1"/>
  <c r="AX1109" i="1"/>
  <c r="AX208" i="1"/>
  <c r="AX1623" i="1"/>
  <c r="AX1172" i="1"/>
  <c r="AX903" i="1"/>
  <c r="AX295" i="1"/>
  <c r="AX247" i="1"/>
  <c r="AX723" i="1"/>
  <c r="AX1326" i="1"/>
  <c r="AX415" i="1"/>
  <c r="AX1735" i="1"/>
  <c r="AX955" i="1"/>
  <c r="AX1184" i="1"/>
  <c r="AX319" i="1"/>
  <c r="AX352" i="1"/>
  <c r="AX1204" i="1"/>
  <c r="AX876" i="1"/>
  <c r="AX595" i="1"/>
  <c r="AX1334" i="1"/>
  <c r="AX878" i="1"/>
  <c r="AX202" i="1"/>
  <c r="AX780" i="1"/>
  <c r="AX1252" i="1"/>
  <c r="AX1738" i="1"/>
  <c r="AX475" i="1"/>
  <c r="AX1572" i="1"/>
  <c r="AX313" i="1"/>
  <c r="AX1416" i="1"/>
  <c r="AX794" i="1"/>
  <c r="AX1779" i="1"/>
  <c r="AX1321" i="1"/>
  <c r="AX1335" i="1"/>
  <c r="AX1686" i="1"/>
  <c r="AX570" i="1"/>
  <c r="AX1364" i="1"/>
  <c r="AX1305" i="1"/>
  <c r="AX586" i="1"/>
  <c r="AX778" i="1"/>
  <c r="AX545" i="1"/>
  <c r="AX1362" i="1"/>
  <c r="AX584" i="1"/>
  <c r="AX815" i="1"/>
  <c r="AX1546" i="1"/>
  <c r="AX979" i="1"/>
  <c r="AX1492" i="1"/>
  <c r="AX891" i="1"/>
  <c r="AX1663" i="1"/>
  <c r="AX1040" i="1"/>
  <c r="AX1163" i="1"/>
  <c r="AX725" i="1"/>
  <c r="AX252" i="1"/>
  <c r="AX1132" i="1"/>
  <c r="AX763" i="1"/>
  <c r="AX582" i="1"/>
  <c r="AX1560" i="1"/>
  <c r="AX853" i="1"/>
  <c r="AX837" i="1"/>
  <c r="AX520" i="1"/>
  <c r="AX1185" i="1"/>
  <c r="AX1622" i="1"/>
  <c r="AX1764" i="1"/>
  <c r="AX623" i="1"/>
  <c r="AX1564" i="1"/>
  <c r="AX1743" i="1"/>
  <c r="AX734" i="1"/>
  <c r="AX294" i="1"/>
  <c r="AX1618" i="1"/>
  <c r="AX1697" i="1"/>
  <c r="AX470" i="1"/>
  <c r="AX1328" i="1"/>
  <c r="AX218" i="1"/>
  <c r="AX642" i="1"/>
  <c r="AX1692" i="1"/>
  <c r="AX1209" i="1"/>
  <c r="AX774" i="1"/>
  <c r="AX1592" i="1"/>
  <c r="AX1533" i="1"/>
  <c r="AX568" i="1"/>
  <c r="AX1726" i="1"/>
  <c r="AX1788" i="1"/>
  <c r="AX1179" i="1"/>
  <c r="AX302" i="1"/>
  <c r="AX1545" i="1"/>
  <c r="AX1557" i="1"/>
  <c r="AX890" i="1"/>
  <c r="AX1705" i="1"/>
  <c r="AX1776" i="1"/>
  <c r="AX741" i="1"/>
  <c r="AX196" i="1"/>
  <c r="AX664" i="1"/>
  <c r="AX1581" i="1"/>
  <c r="AX184" i="1"/>
  <c r="AX372" i="1"/>
  <c r="AX1100" i="1"/>
  <c r="AX411" i="1"/>
  <c r="AX183" i="1"/>
  <c r="AX1502" i="1"/>
  <c r="AX1223" i="1"/>
  <c r="AX1314" i="1"/>
  <c r="AX503" i="1"/>
  <c r="AX1297" i="1"/>
  <c r="AX796" i="1"/>
  <c r="AX982" i="1"/>
  <c r="AX704" i="1"/>
  <c r="AX516" i="1"/>
  <c r="AX1255" i="1"/>
  <c r="AX1218" i="1"/>
  <c r="AX941" i="1"/>
  <c r="AX1253" i="1"/>
  <c r="AX1625" i="1"/>
  <c r="AX1009" i="1"/>
  <c r="AX678" i="1"/>
  <c r="AX212" i="1"/>
  <c r="AX434" i="1"/>
  <c r="AX386" i="1"/>
  <c r="AX760" i="1"/>
  <c r="AX567" i="1"/>
  <c r="AX1107" i="1"/>
  <c r="AX376" i="1"/>
  <c r="AX1012" i="1"/>
  <c r="AX1219" i="1"/>
  <c r="AX1200" i="1"/>
  <c r="AX596" i="1"/>
  <c r="AX1065" i="1"/>
  <c r="AX587" i="1"/>
  <c r="AX824" i="1"/>
  <c r="AX1174" i="1"/>
  <c r="AX1655" i="1"/>
  <c r="AX1018" i="1"/>
  <c r="AX690" i="1"/>
  <c r="AX1752" i="1"/>
  <c r="AX1479" i="1"/>
  <c r="AX354" i="1"/>
  <c r="AX1409" i="1"/>
  <c r="AX541" i="1"/>
  <c r="AX175" i="1"/>
  <c r="AX593" i="1"/>
  <c r="AX1445" i="1"/>
  <c r="AX521" i="1"/>
  <c r="AX787" i="1"/>
  <c r="AX665" i="1"/>
  <c r="AX1512" i="1"/>
  <c r="AX621" i="1"/>
  <c r="AX991" i="1"/>
  <c r="AX1351" i="1"/>
  <c r="AX1000" i="1"/>
  <c r="AX1077" i="1"/>
  <c r="AX772" i="1"/>
  <c r="AX507" i="1"/>
  <c r="AX860" i="1"/>
  <c r="AX655" i="1"/>
  <c r="AX424" i="1"/>
  <c r="AX899" i="1"/>
  <c r="AX172" i="1"/>
  <c r="AX176" i="1"/>
  <c r="AX527" i="1"/>
  <c r="AX737" i="1"/>
  <c r="AX975" i="1"/>
  <c r="AX362" i="1"/>
  <c r="AX786" i="1"/>
  <c r="AX557" i="1"/>
  <c r="AX476" i="1"/>
  <c r="AX389" i="1"/>
  <c r="AX1242" i="1"/>
  <c r="AX999" i="1"/>
  <c r="AX563" i="1"/>
  <c r="AX1471" i="1"/>
  <c r="AX608" i="1"/>
  <c r="AX1791" i="1"/>
  <c r="AX691" i="1"/>
  <c r="AX1104" i="1"/>
  <c r="AX220" i="1"/>
  <c r="AX1637" i="1"/>
  <c r="AX1283" i="1"/>
  <c r="AX846" i="1"/>
  <c r="AX1442" i="1"/>
  <c r="AX349" i="1"/>
  <c r="AX750" i="1"/>
  <c r="AX945" i="1"/>
  <c r="AX533" i="1"/>
  <c r="AX851" i="1"/>
  <c r="AX1045" i="1"/>
  <c r="AX1561" i="1"/>
  <c r="AX1111" i="1"/>
  <c r="AX391" i="1"/>
  <c r="AX1571" i="1"/>
  <c r="AX275" i="1"/>
  <c r="AX1493" i="1"/>
  <c r="AX1213" i="1"/>
  <c r="AX688" i="1"/>
  <c r="AX1723" i="1"/>
  <c r="AX961" i="1"/>
  <c r="AX1119" i="1"/>
  <c r="AX432" i="1"/>
  <c r="AX611" i="1"/>
  <c r="AX861" i="1"/>
  <c r="AX1345" i="1"/>
  <c r="AX348" i="1"/>
  <c r="AX485" i="1"/>
  <c r="AX683" i="1"/>
  <c r="AX498" i="1"/>
  <c r="AX1325" i="1"/>
  <c r="AX753" i="1"/>
  <c r="AX1732" i="1"/>
  <c r="AX1116" i="1"/>
  <c r="AX705" i="1"/>
  <c r="AX652" i="1"/>
  <c r="AX1604" i="1"/>
  <c r="AX562" i="1"/>
  <c r="AX598" i="1"/>
  <c r="AX159" i="1"/>
  <c r="AX1090" i="1"/>
  <c r="AX296" i="1"/>
  <c r="AX735" i="1"/>
  <c r="AX335" i="1"/>
  <c r="AX972" i="1"/>
  <c r="AX958" i="1"/>
  <c r="AX927" i="1"/>
  <c r="AX1411" i="1"/>
  <c r="AX1488" i="1"/>
  <c r="AX1117" i="1"/>
  <c r="AX578" i="1"/>
  <c r="AX551" i="1"/>
  <c r="AX1113" i="1"/>
  <c r="AX1138" i="1"/>
  <c r="AX458" i="1"/>
  <c r="AX682" i="1"/>
  <c r="AX1694" i="1"/>
  <c r="AX1048" i="1"/>
  <c r="AX265" i="1"/>
  <c r="AX752" i="1"/>
  <c r="AX1103" i="1"/>
  <c r="AX626" i="1"/>
  <c r="AX1191" i="1"/>
  <c r="AX384" i="1"/>
  <c r="AX291" i="1"/>
  <c r="AX808" i="1"/>
  <c r="AX1358" i="1"/>
  <c r="AX345" i="1"/>
  <c r="AX201" i="1"/>
  <c r="AX1275" i="1"/>
  <c r="AX1606" i="1"/>
  <c r="AX1500" i="1"/>
  <c r="AX604" i="1"/>
  <c r="AX1047" i="1"/>
  <c r="AX1691" i="1"/>
  <c r="AX446" i="1"/>
  <c r="AX1017" i="1"/>
  <c r="AX463" i="1"/>
  <c r="AX761" i="1"/>
  <c r="AX203" i="1"/>
  <c r="AX1014" i="1"/>
  <c r="AX804" i="1"/>
  <c r="AX399" i="1"/>
  <c r="AX430" i="1"/>
  <c r="AX1712" i="1"/>
  <c r="AX1032" i="1"/>
  <c r="AX223" i="1"/>
  <c r="AX207" i="1"/>
  <c r="AX712" i="1"/>
  <c r="AX285" i="1"/>
  <c r="AX634" i="1"/>
  <c r="AX1453" i="1"/>
  <c r="AX353" i="1"/>
  <c r="AX1006" i="1"/>
  <c r="AX1367" i="1"/>
  <c r="AX886" i="1"/>
  <c r="AX157" i="1"/>
  <c r="AX512" i="1"/>
  <c r="AX186" i="1"/>
  <c r="AX554" i="1"/>
  <c r="AX308" i="1"/>
  <c r="AX426" i="1"/>
  <c r="AX1615" i="1"/>
  <c r="AX1026" i="1"/>
  <c r="AX151" i="1"/>
  <c r="AX1220" i="1"/>
  <c r="AX378" i="1"/>
  <c r="AX822" i="1"/>
  <c r="AX1678" i="1"/>
  <c r="AX1027" i="1"/>
  <c r="AX1020" i="1"/>
  <c r="AX1538" i="1"/>
  <c r="AX396" i="1"/>
  <c r="AX1379" i="1"/>
  <c r="AX968" i="1"/>
  <c r="AX719" i="1"/>
  <c r="AX1721" i="1"/>
  <c r="AX321" i="1"/>
  <c r="AX1021" i="1"/>
  <c r="AX957" i="1"/>
  <c r="AX1287" i="1"/>
  <c r="AX696" i="1"/>
  <c r="AX901" i="1"/>
  <c r="AX363" i="1"/>
  <c r="AX306" i="1"/>
  <c r="AX936" i="1"/>
  <c r="AX232" i="1"/>
  <c r="AX1381" i="1"/>
  <c r="AX1522" i="1"/>
  <c r="AX668" i="1"/>
  <c r="AX171" i="1"/>
  <c r="AX1082" i="1"/>
  <c r="AX954" i="1"/>
  <c r="AX830" i="1"/>
  <c r="AX657" i="1"/>
  <c r="AX576" i="1"/>
  <c r="AX627" i="1"/>
  <c r="AX1097" i="1"/>
  <c r="AX1110" i="1"/>
  <c r="AX412" i="1"/>
  <c r="AX838" i="1"/>
  <c r="AX1151" i="1"/>
  <c r="AX1695" i="1"/>
  <c r="AX1231" i="1"/>
  <c r="AX325" i="1"/>
  <c r="AX922" i="1"/>
  <c r="AX227" i="1"/>
  <c r="AX148" i="1"/>
  <c r="AX300" i="1"/>
  <c r="AX614" i="1"/>
  <c r="AX1463" i="1"/>
  <c r="AX390" i="1"/>
  <c r="AX856" i="1"/>
  <c r="AX881" i="1"/>
  <c r="AX606" i="1"/>
  <c r="AX1033" i="1"/>
  <c r="AX1603" i="1"/>
  <c r="AX537" i="1"/>
  <c r="AX1067" i="1"/>
  <c r="AX236" i="1"/>
  <c r="AX535" i="1"/>
  <c r="AX1449" i="1"/>
  <c r="AX373" i="1"/>
  <c r="AX1801" i="1"/>
  <c r="AX152" i="1"/>
  <c r="AX1617" i="1"/>
  <c r="AX599" i="1"/>
  <c r="AX341" i="1"/>
  <c r="AX877" i="1"/>
  <c r="AX271" i="1"/>
  <c r="AX1593" i="1"/>
  <c r="AX164" i="1"/>
  <c r="AX777" i="1"/>
  <c r="AX1580" i="1"/>
  <c r="AX1793" i="1"/>
  <c r="AX1754" i="1"/>
  <c r="AX675" i="1"/>
  <c r="AX732" i="1"/>
  <c r="AX921" i="1"/>
  <c r="AX1661" i="1"/>
  <c r="AX1229" i="1"/>
  <c r="AX745" i="1"/>
  <c r="AX841" i="1"/>
  <c r="AX928" i="1"/>
  <c r="AX370" i="1"/>
  <c r="AX1302" i="1"/>
  <c r="AX1147" i="1"/>
  <c r="AX874" i="1"/>
  <c r="AX279" i="1"/>
  <c r="AX988" i="1"/>
  <c r="AX1313" i="1"/>
  <c r="AX930" i="1"/>
  <c r="AX473" i="1"/>
  <c r="AX254" i="1"/>
  <c r="AX538" i="1"/>
  <c r="AX257" i="1"/>
  <c r="AX1086" i="1"/>
  <c r="AX272" i="1"/>
  <c r="AX601" i="1"/>
  <c r="AX435" i="1"/>
  <c r="AX758" i="1"/>
  <c r="AX964" i="1"/>
  <c r="AX1203" i="1"/>
  <c r="AX1576" i="1"/>
  <c r="AX1588" i="1"/>
  <c r="AX1690" i="1"/>
  <c r="AX1366" i="1"/>
  <c r="AX1106" i="1"/>
  <c r="AX1055" i="1"/>
  <c r="AX540" i="1"/>
  <c r="AX914" i="1"/>
  <c r="AX1781" i="1"/>
  <c r="AX289" i="1"/>
  <c r="AX1372" i="1"/>
  <c r="AX204" i="1"/>
  <c r="AX193" i="1"/>
  <c r="AX1059" i="1"/>
  <c r="AX1380" i="1"/>
  <c r="AX976" i="1"/>
  <c r="AX1248" i="1"/>
  <c r="AX635" i="1"/>
  <c r="AX1057" i="1"/>
  <c r="AX368" i="1"/>
  <c r="AX379" i="1"/>
  <c r="AX1609" i="1"/>
  <c r="AX221" i="1"/>
  <c r="AX814" i="1"/>
  <c r="AX995" i="1"/>
  <c r="AX1731" i="1"/>
  <c r="AX1178" i="1"/>
  <c r="AX1042" i="1"/>
  <c r="AX686" i="1"/>
  <c r="AX1787" i="1"/>
  <c r="AX1054" i="1"/>
  <c r="AX460" i="1"/>
  <c r="AX848" i="1"/>
  <c r="AX1002" i="1"/>
  <c r="AX1403" i="1"/>
  <c r="AX987" i="1"/>
  <c r="AX1134" i="1"/>
  <c r="AX1450" i="1"/>
  <c r="AX1524" i="1"/>
  <c r="AX326" i="1"/>
  <c r="AX1343" i="1"/>
  <c r="AX857" i="1"/>
  <c r="AX802" i="1"/>
  <c r="AX448" i="1"/>
  <c r="AX1135" i="1"/>
  <c r="AX1073" i="1"/>
  <c r="AX532" i="1"/>
  <c r="AX1282" i="1"/>
  <c r="AX468" i="1"/>
  <c r="AX493" i="1"/>
  <c r="AX986" i="1"/>
  <c r="AX357" i="1"/>
  <c r="AX1207" i="1"/>
  <c r="AX1124" i="1"/>
  <c r="AX1464" i="1"/>
  <c r="AX966" i="1"/>
  <c r="AX1149" i="1"/>
  <c r="AX181" i="1"/>
  <c r="AX715" i="1"/>
  <c r="AX819" i="1"/>
  <c r="AX316" i="1"/>
  <c r="AX1768" i="1"/>
  <c r="AX1670" i="1"/>
  <c r="AX1645" i="1"/>
  <c r="AX336" i="1"/>
  <c r="AX1746" i="1"/>
  <c r="AX749" i="1"/>
  <c r="AX923" i="1"/>
  <c r="AX469" i="1"/>
  <c r="AX358" i="1"/>
  <c r="AX1597" i="1"/>
  <c r="AX791" i="1"/>
  <c r="AX529" i="1"/>
  <c r="AX645" i="1"/>
  <c r="AX178" i="1"/>
  <c r="AX288" i="1"/>
  <c r="AX742" i="1"/>
  <c r="AX168" i="1"/>
  <c r="AX234" i="1"/>
  <c r="AX1595" i="1"/>
  <c r="AX956" i="1"/>
  <c r="AX670" i="1"/>
  <c r="AX863" i="1"/>
  <c r="AX459" i="1"/>
  <c r="AX1008" i="1"/>
  <c r="AX499" i="1"/>
  <c r="AX799" i="1"/>
  <c r="AX883" i="1"/>
  <c r="AX1120" i="1"/>
  <c r="AX640" i="1"/>
  <c r="AX436" i="1"/>
  <c r="AX1323" i="1"/>
  <c r="AX762" i="1"/>
  <c r="AX932" i="1"/>
  <c r="AX1668" i="1"/>
  <c r="AX327" i="1"/>
  <c r="AX591" i="1"/>
  <c r="AX882" i="1"/>
  <c r="AX1051" i="1"/>
  <c r="AX1799" i="1"/>
  <c r="AX333" i="1"/>
  <c r="AX910" i="1"/>
  <c r="AX694" i="1"/>
  <c r="AX776" i="1"/>
  <c r="AX280" i="1"/>
  <c r="AX1635" i="1"/>
  <c r="AX287" i="1"/>
  <c r="AX422" i="1"/>
  <c r="AX1060" i="1"/>
  <c r="AX983" i="1"/>
  <c r="AX190" i="1"/>
  <c r="AX290" i="1"/>
  <c r="AX309" i="1"/>
  <c r="AX812" i="1"/>
  <c r="AX409" i="1"/>
  <c r="AX1771" i="1"/>
  <c r="AX1058" i="1"/>
  <c r="AU143" i="1"/>
  <c r="AU144" i="1" s="1"/>
  <c r="AU145" i="1" s="1"/>
  <c r="AU146" i="1" s="1"/>
  <c r="AU147" i="1" s="1"/>
  <c r="AU148" i="1" s="1"/>
  <c r="AU149" i="1" s="1"/>
  <c r="AU150" i="1" s="1"/>
  <c r="AU151" i="1" s="1"/>
  <c r="AU152" i="1" s="1"/>
  <c r="AU153" i="1" s="1"/>
  <c r="AU154" i="1" s="1"/>
  <c r="AU155" i="1" s="1"/>
  <c r="AU156" i="1" s="1"/>
  <c r="AU157" i="1" s="1"/>
  <c r="AU158" i="1" s="1"/>
  <c r="AU159" i="1" s="1"/>
  <c r="AU160" i="1" s="1"/>
  <c r="AU161" i="1" s="1"/>
  <c r="AU162" i="1" s="1"/>
  <c r="AU163" i="1" s="1"/>
  <c r="AU164" i="1" s="1"/>
  <c r="AU165" i="1" s="1"/>
  <c r="AU166" i="1" s="1"/>
  <c r="AU167" i="1" s="1"/>
  <c r="AU168" i="1" s="1"/>
  <c r="AU169" i="1" s="1"/>
  <c r="AU170" i="1" s="1"/>
  <c r="AU171" i="1" s="1"/>
  <c r="AU172" i="1" s="1"/>
  <c r="AU173" i="1" s="1"/>
  <c r="AU174" i="1" s="1"/>
  <c r="AU175" i="1" s="1"/>
  <c r="AU176" i="1" s="1"/>
  <c r="AU177" i="1" s="1"/>
  <c r="AU178" i="1" s="1"/>
  <c r="AU179" i="1" s="1"/>
  <c r="AU180" i="1" s="1"/>
  <c r="AU181" i="1" s="1"/>
  <c r="AU182" i="1" s="1"/>
  <c r="AU183" i="1" s="1"/>
  <c r="AU184" i="1" s="1"/>
  <c r="AU185" i="1" s="1"/>
  <c r="AU186" i="1" s="1"/>
  <c r="AU187" i="1" s="1"/>
  <c r="AU188" i="1" s="1"/>
  <c r="AU189" i="1" s="1"/>
  <c r="AU190" i="1" s="1"/>
  <c r="AU191" i="1" s="1"/>
  <c r="AU192" i="1" s="1"/>
  <c r="AU193" i="1" s="1"/>
  <c r="AU194" i="1" s="1"/>
  <c r="AU195" i="1" s="1"/>
  <c r="AU196" i="1" s="1"/>
  <c r="AU197" i="1" s="1"/>
  <c r="AU198" i="1" s="1"/>
  <c r="AU199" i="1" s="1"/>
  <c r="AU200" i="1" s="1"/>
  <c r="AU201" i="1" s="1"/>
  <c r="AU202" i="1" s="1"/>
  <c r="AU203" i="1" s="1"/>
  <c r="AU204" i="1" s="1"/>
  <c r="AU205" i="1" s="1"/>
  <c r="AU206" i="1" s="1"/>
  <c r="AU207" i="1" s="1"/>
  <c r="AU208" i="1" s="1"/>
  <c r="AU209" i="1" s="1"/>
  <c r="AU210" i="1" s="1"/>
  <c r="AU211" i="1" s="1"/>
  <c r="AU212" i="1" s="1"/>
  <c r="AU213" i="1" s="1"/>
  <c r="AU214" i="1" s="1"/>
  <c r="AU215" i="1" s="1"/>
  <c r="AU216" i="1" s="1"/>
  <c r="AU217" i="1" s="1"/>
  <c r="AU218" i="1" s="1"/>
  <c r="AU219" i="1" s="1"/>
  <c r="AU220" i="1" s="1"/>
  <c r="AU221" i="1" s="1"/>
  <c r="AU222" i="1" s="1"/>
  <c r="AU223" i="1" s="1"/>
  <c r="AU224" i="1" s="1"/>
  <c r="AU225" i="1" s="1"/>
  <c r="AU226" i="1" s="1"/>
  <c r="AU227" i="1" s="1"/>
  <c r="AU228" i="1" s="1"/>
  <c r="AU229" i="1" s="1"/>
  <c r="AU230" i="1" s="1"/>
  <c r="AU231" i="1" s="1"/>
  <c r="AU232" i="1" s="1"/>
  <c r="AU233" i="1" s="1"/>
  <c r="AU234" i="1" s="1"/>
  <c r="AU235" i="1" s="1"/>
  <c r="AU236" i="1" s="1"/>
  <c r="AU237" i="1" s="1"/>
  <c r="AU238" i="1" s="1"/>
  <c r="AU239" i="1" s="1"/>
  <c r="AU240" i="1" s="1"/>
  <c r="AU241" i="1" s="1"/>
  <c r="AU242" i="1" s="1"/>
  <c r="AU243" i="1" s="1"/>
  <c r="AU244" i="1" s="1"/>
  <c r="AU245" i="1" s="1"/>
  <c r="AU246" i="1" s="1"/>
  <c r="AU247" i="1" s="1"/>
  <c r="AU248" i="1" s="1"/>
  <c r="AU249" i="1" s="1"/>
  <c r="AU250" i="1" s="1"/>
  <c r="AU251" i="1" s="1"/>
  <c r="AU252" i="1" s="1"/>
  <c r="AU253" i="1" s="1"/>
  <c r="AU254" i="1" s="1"/>
  <c r="AU255" i="1" s="1"/>
  <c r="AU256" i="1" s="1"/>
  <c r="AU257" i="1" s="1"/>
  <c r="AU258" i="1" s="1"/>
  <c r="AU259" i="1" s="1"/>
  <c r="AU260" i="1" s="1"/>
  <c r="AU261" i="1" s="1"/>
  <c r="AU262" i="1" s="1"/>
  <c r="AU263" i="1" s="1"/>
  <c r="AU264" i="1" s="1"/>
  <c r="AU265" i="1" s="1"/>
  <c r="AU266" i="1" s="1"/>
  <c r="AU267" i="1" s="1"/>
  <c r="AU268" i="1" s="1"/>
  <c r="AU269" i="1" s="1"/>
  <c r="AU270" i="1" s="1"/>
  <c r="AU271" i="1" s="1"/>
  <c r="AU272" i="1" s="1"/>
  <c r="AU273" i="1" s="1"/>
  <c r="AU274" i="1" s="1"/>
  <c r="AU275" i="1" s="1"/>
  <c r="AU276" i="1" s="1"/>
  <c r="AU277" i="1" s="1"/>
  <c r="AU278" i="1" s="1"/>
  <c r="AU279" i="1" s="1"/>
  <c r="AU280" i="1" s="1"/>
  <c r="AU281" i="1" s="1"/>
  <c r="AU282" i="1" s="1"/>
  <c r="AU283" i="1" s="1"/>
  <c r="AU284" i="1" s="1"/>
  <c r="AU285" i="1" s="1"/>
  <c r="AU286" i="1" s="1"/>
  <c r="AU287" i="1" s="1"/>
  <c r="AU288" i="1" s="1"/>
  <c r="AU289" i="1" s="1"/>
  <c r="AU290" i="1" s="1"/>
  <c r="AU291" i="1" s="1"/>
  <c r="AU292" i="1" s="1"/>
  <c r="AU293" i="1" s="1"/>
  <c r="AU294" i="1" s="1"/>
  <c r="AU295" i="1" s="1"/>
  <c r="AU296" i="1" s="1"/>
  <c r="AU297" i="1" s="1"/>
  <c r="AU298" i="1" s="1"/>
  <c r="AU299" i="1" s="1"/>
  <c r="AU300" i="1" s="1"/>
  <c r="AU301" i="1" s="1"/>
  <c r="AU302" i="1" s="1"/>
  <c r="AU303" i="1" s="1"/>
  <c r="AU304" i="1" s="1"/>
  <c r="AU305" i="1" s="1"/>
  <c r="AU306" i="1" s="1"/>
  <c r="AU307" i="1" s="1"/>
  <c r="AU308" i="1" s="1"/>
  <c r="AU309" i="1" s="1"/>
  <c r="AU310" i="1" s="1"/>
  <c r="AU311" i="1" s="1"/>
  <c r="AU312" i="1" s="1"/>
  <c r="AU313" i="1" s="1"/>
  <c r="AU314" i="1" s="1"/>
  <c r="AU315" i="1" s="1"/>
  <c r="AU316" i="1" s="1"/>
  <c r="AU317" i="1" s="1"/>
  <c r="AU318" i="1" s="1"/>
  <c r="AU319" i="1" s="1"/>
  <c r="AU320" i="1" s="1"/>
  <c r="AU321" i="1" s="1"/>
  <c r="AU322" i="1" s="1"/>
  <c r="AU323" i="1" s="1"/>
  <c r="AU324" i="1" s="1"/>
  <c r="AU325" i="1" s="1"/>
  <c r="AU326" i="1" s="1"/>
  <c r="AU327" i="1" s="1"/>
  <c r="AU328" i="1" s="1"/>
  <c r="AU329" i="1" s="1"/>
  <c r="AU330" i="1" s="1"/>
  <c r="AU331" i="1" s="1"/>
  <c r="AU332" i="1" s="1"/>
  <c r="AU333" i="1" s="1"/>
  <c r="AU334" i="1" s="1"/>
  <c r="AU335" i="1" s="1"/>
  <c r="AU336" i="1" s="1"/>
  <c r="AU337" i="1" s="1"/>
  <c r="AU338" i="1" s="1"/>
  <c r="AU339" i="1" s="1"/>
  <c r="AU340" i="1" s="1"/>
  <c r="AU341" i="1" s="1"/>
  <c r="AU342" i="1" s="1"/>
  <c r="AU343" i="1" s="1"/>
  <c r="AU344" i="1" s="1"/>
  <c r="AU345" i="1" s="1"/>
  <c r="AU346" i="1" s="1"/>
  <c r="AU347" i="1" s="1"/>
  <c r="AU348" i="1" s="1"/>
  <c r="AU349" i="1" s="1"/>
  <c r="AU350" i="1" s="1"/>
  <c r="AU351" i="1" s="1"/>
  <c r="AU352" i="1" s="1"/>
  <c r="AU353" i="1" s="1"/>
  <c r="AU354" i="1" s="1"/>
  <c r="AU355" i="1" s="1"/>
  <c r="AU356" i="1" s="1"/>
  <c r="AU357" i="1" s="1"/>
  <c r="AU358" i="1" s="1"/>
  <c r="AU359" i="1" s="1"/>
  <c r="AU360" i="1" s="1"/>
  <c r="AU361" i="1" s="1"/>
  <c r="AU362" i="1" s="1"/>
  <c r="AU363" i="1" s="1"/>
  <c r="AU364" i="1" s="1"/>
  <c r="AU365" i="1" s="1"/>
  <c r="AU366" i="1" s="1"/>
  <c r="AU367" i="1" s="1"/>
  <c r="AU368" i="1" s="1"/>
  <c r="AU369" i="1" s="1"/>
  <c r="AU370" i="1" s="1"/>
  <c r="AU371" i="1" s="1"/>
  <c r="AU372" i="1" s="1"/>
  <c r="AU373" i="1" s="1"/>
  <c r="AU374" i="1" s="1"/>
  <c r="AU375" i="1" s="1"/>
  <c r="AU376" i="1" s="1"/>
  <c r="AU377" i="1" s="1"/>
  <c r="AU378" i="1" s="1"/>
  <c r="AU379" i="1" s="1"/>
  <c r="AU380" i="1" s="1"/>
  <c r="AU381" i="1" s="1"/>
  <c r="AU382" i="1" s="1"/>
  <c r="AU383" i="1" s="1"/>
  <c r="AU384" i="1" s="1"/>
  <c r="AU385" i="1" s="1"/>
  <c r="AU386" i="1" s="1"/>
  <c r="AU387" i="1" s="1"/>
  <c r="AU388" i="1" s="1"/>
  <c r="AU389" i="1" s="1"/>
  <c r="AU390" i="1" s="1"/>
  <c r="AU391" i="1" s="1"/>
  <c r="AU392" i="1" s="1"/>
  <c r="AU393" i="1" s="1"/>
  <c r="AU394" i="1" s="1"/>
  <c r="AU395" i="1" s="1"/>
  <c r="AU396" i="1" s="1"/>
  <c r="AU397" i="1" s="1"/>
  <c r="AU398" i="1" s="1"/>
  <c r="AU399" i="1" s="1"/>
  <c r="AU400" i="1" s="1"/>
  <c r="AU401" i="1" s="1"/>
  <c r="AU402" i="1" s="1"/>
  <c r="AU403" i="1" s="1"/>
  <c r="AU404" i="1" s="1"/>
  <c r="AU405" i="1" s="1"/>
  <c r="AU406" i="1" s="1"/>
  <c r="AU407" i="1" s="1"/>
  <c r="AU408" i="1" s="1"/>
  <c r="AU409" i="1" s="1"/>
  <c r="AU410" i="1" s="1"/>
  <c r="AU411" i="1" s="1"/>
  <c r="AU412" i="1" s="1"/>
  <c r="AU413" i="1" s="1"/>
  <c r="AU414" i="1" s="1"/>
  <c r="AU415" i="1" s="1"/>
  <c r="AU416" i="1" s="1"/>
  <c r="AU417" i="1" s="1"/>
  <c r="AU418" i="1" s="1"/>
  <c r="AU419" i="1" s="1"/>
  <c r="AU420" i="1" s="1"/>
  <c r="AU421" i="1" s="1"/>
  <c r="AU422" i="1" s="1"/>
  <c r="AU423" i="1" s="1"/>
  <c r="AU424" i="1" s="1"/>
  <c r="AU425" i="1" s="1"/>
  <c r="AU426" i="1" s="1"/>
  <c r="AU427" i="1" s="1"/>
  <c r="AU428" i="1" s="1"/>
  <c r="AU429" i="1" s="1"/>
  <c r="AU430" i="1" s="1"/>
  <c r="AU431" i="1" s="1"/>
  <c r="AU432" i="1" s="1"/>
  <c r="AU433" i="1" s="1"/>
  <c r="AU434" i="1" s="1"/>
  <c r="AU435" i="1" s="1"/>
  <c r="AU436" i="1" s="1"/>
  <c r="AU437" i="1" s="1"/>
  <c r="AU438" i="1" s="1"/>
  <c r="AU439" i="1" s="1"/>
  <c r="AU440" i="1" s="1"/>
  <c r="AU441" i="1" s="1"/>
  <c r="AU442" i="1" s="1"/>
  <c r="AU443" i="1" s="1"/>
  <c r="AU444" i="1" s="1"/>
  <c r="AU445" i="1" s="1"/>
  <c r="AU446" i="1" s="1"/>
  <c r="AU447" i="1" s="1"/>
  <c r="AU448" i="1" s="1"/>
  <c r="AU449" i="1" s="1"/>
  <c r="AU450" i="1" s="1"/>
  <c r="AU451" i="1" s="1"/>
  <c r="AU452" i="1" s="1"/>
  <c r="AU453" i="1" s="1"/>
  <c r="AU454" i="1" s="1"/>
  <c r="AU455" i="1" s="1"/>
  <c r="AU456" i="1" s="1"/>
  <c r="AU457" i="1" s="1"/>
  <c r="AU458" i="1" s="1"/>
  <c r="AU459" i="1" s="1"/>
  <c r="AU460" i="1" s="1"/>
  <c r="AU461" i="1" s="1"/>
  <c r="AU462" i="1" s="1"/>
  <c r="AU463" i="1" s="1"/>
  <c r="AU464" i="1" s="1"/>
  <c r="AU465" i="1" s="1"/>
  <c r="AU466" i="1" s="1"/>
  <c r="AU467" i="1" s="1"/>
  <c r="AU468" i="1" s="1"/>
  <c r="AU469" i="1" s="1"/>
  <c r="AU470" i="1" s="1"/>
  <c r="AU471" i="1" s="1"/>
  <c r="AU472" i="1" s="1"/>
  <c r="AU473" i="1" s="1"/>
  <c r="AU474" i="1" s="1"/>
  <c r="AU475" i="1" s="1"/>
  <c r="AU476" i="1" s="1"/>
  <c r="AU477" i="1" s="1"/>
  <c r="AU478" i="1" s="1"/>
  <c r="AU479" i="1" s="1"/>
  <c r="AU480" i="1" s="1"/>
  <c r="AU481" i="1" s="1"/>
  <c r="AU482" i="1" s="1"/>
  <c r="AU483" i="1" s="1"/>
  <c r="AU484" i="1" s="1"/>
  <c r="AU485" i="1" s="1"/>
  <c r="AU486" i="1" s="1"/>
  <c r="AU487" i="1" s="1"/>
  <c r="AU488" i="1" s="1"/>
  <c r="AU489" i="1" s="1"/>
  <c r="AU490" i="1" s="1"/>
  <c r="AU491" i="1" s="1"/>
  <c r="AU492" i="1" s="1"/>
  <c r="AU493" i="1" s="1"/>
  <c r="AU494" i="1" s="1"/>
  <c r="AU495" i="1" s="1"/>
  <c r="AU496" i="1" s="1"/>
  <c r="AU497" i="1" s="1"/>
  <c r="AU498" i="1" s="1"/>
  <c r="AU499" i="1" s="1"/>
  <c r="AU500" i="1" s="1"/>
  <c r="AU501" i="1" s="1"/>
  <c r="AU502" i="1" s="1"/>
  <c r="AU503" i="1" s="1"/>
  <c r="AU504" i="1" s="1"/>
  <c r="AU505" i="1" s="1"/>
  <c r="AU506" i="1" s="1"/>
  <c r="AU507" i="1" s="1"/>
  <c r="AU508" i="1" s="1"/>
  <c r="AU509" i="1" s="1"/>
  <c r="AU510" i="1" s="1"/>
  <c r="AU511" i="1" s="1"/>
  <c r="AU512" i="1" s="1"/>
  <c r="AU513" i="1" s="1"/>
  <c r="AU514" i="1" s="1"/>
  <c r="AU515" i="1" s="1"/>
  <c r="AU516" i="1" s="1"/>
  <c r="AU517" i="1" s="1"/>
  <c r="AU518" i="1" s="1"/>
  <c r="AU519" i="1" s="1"/>
  <c r="AU520" i="1" s="1"/>
  <c r="AU521" i="1" s="1"/>
  <c r="AU522" i="1" s="1"/>
  <c r="AU523" i="1" s="1"/>
  <c r="AU524" i="1" s="1"/>
  <c r="AU525" i="1" s="1"/>
  <c r="AU526" i="1" s="1"/>
  <c r="AU527" i="1" s="1"/>
  <c r="AU528" i="1" s="1"/>
  <c r="AU529" i="1" s="1"/>
  <c r="AU530" i="1" s="1"/>
  <c r="AU531" i="1" s="1"/>
  <c r="AU532" i="1" s="1"/>
  <c r="AU533" i="1" s="1"/>
  <c r="AU534" i="1" s="1"/>
  <c r="AU535" i="1" s="1"/>
  <c r="AU536" i="1" s="1"/>
  <c r="AU537" i="1" s="1"/>
  <c r="AU538" i="1" s="1"/>
  <c r="AU539" i="1" s="1"/>
  <c r="AU540" i="1" s="1"/>
  <c r="AU541" i="1" s="1"/>
  <c r="AU542" i="1" s="1"/>
  <c r="AU543" i="1" s="1"/>
  <c r="AU544" i="1" s="1"/>
  <c r="AU545" i="1" s="1"/>
  <c r="AU546" i="1" s="1"/>
  <c r="AU547" i="1" s="1"/>
  <c r="AU548" i="1" s="1"/>
  <c r="AU549" i="1" s="1"/>
  <c r="AU550" i="1" s="1"/>
  <c r="AU551" i="1" s="1"/>
  <c r="AU552" i="1" s="1"/>
  <c r="AU553" i="1" s="1"/>
  <c r="AU554" i="1" s="1"/>
  <c r="AU555" i="1" s="1"/>
  <c r="AU556" i="1" s="1"/>
  <c r="AU557" i="1" s="1"/>
  <c r="AU558" i="1" s="1"/>
  <c r="AU559" i="1" s="1"/>
  <c r="AU560" i="1" s="1"/>
  <c r="AU561" i="1" s="1"/>
  <c r="AU562" i="1" s="1"/>
  <c r="AU563" i="1" s="1"/>
  <c r="AU564" i="1" s="1"/>
  <c r="AU565" i="1" s="1"/>
  <c r="AU566" i="1" s="1"/>
  <c r="AU567" i="1" s="1"/>
  <c r="AU568" i="1" s="1"/>
  <c r="AU569" i="1" s="1"/>
  <c r="AU570" i="1" s="1"/>
  <c r="AU571" i="1" s="1"/>
  <c r="AU572" i="1" s="1"/>
  <c r="AU573" i="1" s="1"/>
  <c r="AU574" i="1" s="1"/>
  <c r="AU575" i="1" s="1"/>
  <c r="AU576" i="1" s="1"/>
  <c r="AU577" i="1" s="1"/>
  <c r="AU578" i="1" s="1"/>
  <c r="AU579" i="1" s="1"/>
  <c r="AU580" i="1" s="1"/>
  <c r="AU581" i="1" s="1"/>
  <c r="AU582" i="1" s="1"/>
  <c r="AU583" i="1" s="1"/>
  <c r="AU584" i="1" s="1"/>
  <c r="AU585" i="1" s="1"/>
  <c r="AU586" i="1" s="1"/>
  <c r="AU587" i="1" s="1"/>
  <c r="AU588" i="1" s="1"/>
  <c r="AU589" i="1" s="1"/>
  <c r="AU590" i="1" s="1"/>
  <c r="AU591" i="1" s="1"/>
  <c r="AU592" i="1" s="1"/>
  <c r="AU593" i="1" s="1"/>
  <c r="AU594" i="1" s="1"/>
  <c r="AU595" i="1" s="1"/>
  <c r="AU596" i="1" s="1"/>
  <c r="AU597" i="1" s="1"/>
  <c r="AU598" i="1" s="1"/>
  <c r="AU599" i="1" s="1"/>
  <c r="AU600" i="1" s="1"/>
  <c r="AU601" i="1" s="1"/>
  <c r="AU602" i="1" s="1"/>
  <c r="AU603" i="1" s="1"/>
  <c r="AU604" i="1" s="1"/>
  <c r="AU605" i="1" s="1"/>
  <c r="AU606" i="1" s="1"/>
  <c r="AU607" i="1" s="1"/>
  <c r="AU608" i="1" s="1"/>
  <c r="AU609" i="1" s="1"/>
  <c r="AU610" i="1" s="1"/>
  <c r="AU611" i="1" s="1"/>
  <c r="AU612" i="1" s="1"/>
  <c r="AU613" i="1" s="1"/>
  <c r="AU614" i="1" s="1"/>
  <c r="AU615" i="1" s="1"/>
  <c r="AU616" i="1" s="1"/>
  <c r="AU617" i="1" s="1"/>
  <c r="AU618" i="1" s="1"/>
  <c r="AU619" i="1" s="1"/>
  <c r="AU620" i="1" s="1"/>
  <c r="AU621" i="1" s="1"/>
  <c r="AU622" i="1" s="1"/>
  <c r="AU623" i="1" s="1"/>
  <c r="AU624" i="1" s="1"/>
  <c r="AU625" i="1" s="1"/>
  <c r="AU626" i="1" s="1"/>
  <c r="AU627" i="1" s="1"/>
  <c r="AU628" i="1" s="1"/>
  <c r="AU629" i="1" s="1"/>
  <c r="AU630" i="1" s="1"/>
  <c r="AU631" i="1" s="1"/>
  <c r="AU632" i="1" s="1"/>
  <c r="AU633" i="1" s="1"/>
  <c r="AU634" i="1" s="1"/>
  <c r="AU635" i="1" s="1"/>
  <c r="AU636" i="1" s="1"/>
  <c r="AU637" i="1" s="1"/>
  <c r="AU638" i="1" s="1"/>
  <c r="AU639" i="1" s="1"/>
  <c r="AU640" i="1" s="1"/>
  <c r="AU641" i="1" s="1"/>
  <c r="AU642" i="1" s="1"/>
  <c r="AU643" i="1" s="1"/>
  <c r="AU644" i="1" s="1"/>
  <c r="AU645" i="1" s="1"/>
  <c r="AU646" i="1" s="1"/>
  <c r="AU647" i="1" s="1"/>
  <c r="AU648" i="1" s="1"/>
  <c r="AU649" i="1" s="1"/>
  <c r="AU650" i="1" s="1"/>
  <c r="AU651" i="1" s="1"/>
  <c r="AU652" i="1" s="1"/>
  <c r="AU653" i="1" s="1"/>
  <c r="AU654" i="1" s="1"/>
  <c r="AU655" i="1" s="1"/>
  <c r="AU656" i="1" s="1"/>
  <c r="AU657" i="1" s="1"/>
  <c r="AU658" i="1" s="1"/>
  <c r="AU659" i="1" s="1"/>
  <c r="AU660" i="1" s="1"/>
  <c r="AU661" i="1" s="1"/>
  <c r="AU662" i="1" s="1"/>
  <c r="AU663" i="1" s="1"/>
  <c r="AU664" i="1" s="1"/>
  <c r="AU665" i="1" s="1"/>
  <c r="AU666" i="1" s="1"/>
  <c r="AU667" i="1" s="1"/>
  <c r="AU668" i="1" s="1"/>
  <c r="AU669" i="1" s="1"/>
  <c r="AU670" i="1" s="1"/>
  <c r="AU671" i="1" s="1"/>
  <c r="AU672" i="1" s="1"/>
  <c r="AU673" i="1" s="1"/>
  <c r="AU674" i="1" s="1"/>
  <c r="AU675" i="1" s="1"/>
  <c r="AU676" i="1" s="1"/>
  <c r="AU677" i="1" s="1"/>
  <c r="AU678" i="1" s="1"/>
  <c r="AU679" i="1" s="1"/>
  <c r="AU680" i="1" s="1"/>
  <c r="AU681" i="1" s="1"/>
  <c r="AU682" i="1" s="1"/>
  <c r="AU683" i="1" s="1"/>
  <c r="AU684" i="1" s="1"/>
  <c r="AU685" i="1" s="1"/>
  <c r="AU686" i="1" s="1"/>
  <c r="AU687" i="1" s="1"/>
  <c r="AU688" i="1" s="1"/>
  <c r="AU689" i="1" s="1"/>
  <c r="AU690" i="1" s="1"/>
  <c r="AU691" i="1" s="1"/>
  <c r="AU692" i="1" s="1"/>
  <c r="AU693" i="1" s="1"/>
  <c r="AU694" i="1" s="1"/>
  <c r="AU695" i="1" s="1"/>
  <c r="AU696" i="1" s="1"/>
  <c r="AU697" i="1" s="1"/>
  <c r="AU698" i="1" s="1"/>
  <c r="AU699" i="1" s="1"/>
  <c r="AU700" i="1" s="1"/>
  <c r="AU701" i="1" s="1"/>
  <c r="AU702" i="1" s="1"/>
  <c r="AU703" i="1" s="1"/>
  <c r="AU704" i="1" s="1"/>
  <c r="AU705" i="1" s="1"/>
  <c r="AU706" i="1" s="1"/>
  <c r="AU707" i="1" s="1"/>
  <c r="AU708" i="1" s="1"/>
  <c r="AU709" i="1" s="1"/>
  <c r="AU710" i="1" s="1"/>
  <c r="AU711" i="1" s="1"/>
  <c r="AU712" i="1" s="1"/>
  <c r="AU713" i="1" s="1"/>
  <c r="AU714" i="1" s="1"/>
  <c r="AU715" i="1" s="1"/>
  <c r="AU716" i="1" s="1"/>
  <c r="AU717" i="1" s="1"/>
  <c r="AU718" i="1" s="1"/>
  <c r="AU719" i="1" s="1"/>
  <c r="AU720" i="1" s="1"/>
  <c r="AU721" i="1" s="1"/>
  <c r="AU722" i="1" s="1"/>
  <c r="AU723" i="1" s="1"/>
  <c r="AU724" i="1" s="1"/>
  <c r="AU725" i="1" s="1"/>
  <c r="AU726" i="1" s="1"/>
  <c r="AU727" i="1" s="1"/>
  <c r="AU728" i="1" s="1"/>
  <c r="AU729" i="1" s="1"/>
  <c r="AU730" i="1" s="1"/>
  <c r="AU731" i="1" s="1"/>
  <c r="AU732" i="1" s="1"/>
  <c r="AU733" i="1" s="1"/>
  <c r="AU734" i="1" s="1"/>
  <c r="AU735" i="1" s="1"/>
  <c r="AU736" i="1" s="1"/>
  <c r="AU737" i="1" s="1"/>
  <c r="AU738" i="1" s="1"/>
  <c r="AU739" i="1" s="1"/>
  <c r="AU740" i="1" s="1"/>
  <c r="AU741" i="1" s="1"/>
  <c r="AU742" i="1" s="1"/>
  <c r="AU743" i="1" s="1"/>
  <c r="AU744" i="1" s="1"/>
  <c r="AU745" i="1" s="1"/>
  <c r="AU746" i="1" s="1"/>
  <c r="AU747" i="1" s="1"/>
  <c r="AU748" i="1" s="1"/>
  <c r="AU749" i="1" s="1"/>
  <c r="AU750" i="1" s="1"/>
  <c r="AU751" i="1" s="1"/>
  <c r="AU752" i="1" s="1"/>
  <c r="AU753" i="1" s="1"/>
  <c r="AU754" i="1" s="1"/>
  <c r="AU755" i="1" s="1"/>
  <c r="AU756" i="1" s="1"/>
  <c r="AU757" i="1" s="1"/>
  <c r="AU758" i="1" s="1"/>
  <c r="AU759" i="1" s="1"/>
  <c r="AU760" i="1" s="1"/>
  <c r="AU761" i="1" s="1"/>
  <c r="AU762" i="1" s="1"/>
  <c r="AU763" i="1" s="1"/>
  <c r="AU764" i="1" s="1"/>
  <c r="AU765" i="1" s="1"/>
  <c r="AU766" i="1" s="1"/>
  <c r="AU767" i="1" s="1"/>
  <c r="AU768" i="1" s="1"/>
  <c r="AU769" i="1" s="1"/>
  <c r="AU770" i="1" s="1"/>
  <c r="AU771" i="1" s="1"/>
  <c r="AU772" i="1" s="1"/>
  <c r="AU773" i="1" s="1"/>
  <c r="AU774" i="1" s="1"/>
  <c r="AU775" i="1" s="1"/>
  <c r="AU776" i="1" s="1"/>
  <c r="AU777" i="1" s="1"/>
  <c r="AU778" i="1" s="1"/>
  <c r="AU779" i="1" s="1"/>
  <c r="AU780" i="1" s="1"/>
  <c r="AU781" i="1" s="1"/>
  <c r="AU782" i="1" s="1"/>
  <c r="AU783" i="1" s="1"/>
  <c r="AU784" i="1" s="1"/>
  <c r="AU785" i="1" s="1"/>
  <c r="AU786" i="1" s="1"/>
  <c r="AU787" i="1" s="1"/>
  <c r="AU788" i="1" s="1"/>
  <c r="AU789" i="1" s="1"/>
  <c r="AU790" i="1" s="1"/>
  <c r="AU791" i="1" s="1"/>
  <c r="AU792" i="1" s="1"/>
  <c r="AU793" i="1" s="1"/>
  <c r="AU794" i="1" s="1"/>
  <c r="AU795" i="1" s="1"/>
  <c r="AU796" i="1" s="1"/>
  <c r="AU797" i="1" s="1"/>
  <c r="AU798" i="1" s="1"/>
  <c r="AU799" i="1" s="1"/>
  <c r="AU800" i="1" s="1"/>
  <c r="AU801" i="1" s="1"/>
  <c r="AU802" i="1" s="1"/>
  <c r="AU803" i="1" s="1"/>
  <c r="AU804" i="1" s="1"/>
  <c r="AU805" i="1" s="1"/>
  <c r="AU806" i="1" s="1"/>
  <c r="AU807" i="1" s="1"/>
  <c r="AU808" i="1" s="1"/>
  <c r="AU809" i="1" s="1"/>
  <c r="AU810" i="1" s="1"/>
  <c r="AU811" i="1" s="1"/>
  <c r="AU812" i="1" s="1"/>
  <c r="AU813" i="1" s="1"/>
  <c r="AU814" i="1" s="1"/>
  <c r="AU815" i="1" s="1"/>
  <c r="AU816" i="1" s="1"/>
  <c r="AU817" i="1" s="1"/>
  <c r="AU818" i="1" s="1"/>
  <c r="AU819" i="1" s="1"/>
  <c r="AU820" i="1" s="1"/>
  <c r="AU821" i="1" s="1"/>
  <c r="AU822" i="1" s="1"/>
  <c r="AU823" i="1" s="1"/>
  <c r="AU824" i="1" s="1"/>
  <c r="AU825" i="1" s="1"/>
  <c r="AU826" i="1" s="1"/>
  <c r="AU827" i="1" s="1"/>
  <c r="AU828" i="1" s="1"/>
  <c r="AU829" i="1" s="1"/>
  <c r="AU830" i="1" s="1"/>
  <c r="AU831" i="1" s="1"/>
  <c r="AU832" i="1" s="1"/>
  <c r="AU833" i="1" s="1"/>
  <c r="AU834" i="1" s="1"/>
  <c r="AU835" i="1" s="1"/>
  <c r="AU836" i="1" s="1"/>
  <c r="AU837" i="1" s="1"/>
  <c r="AU838" i="1" s="1"/>
  <c r="AU839" i="1" s="1"/>
  <c r="AU840" i="1" s="1"/>
  <c r="AU841" i="1" s="1"/>
  <c r="AU842" i="1" s="1"/>
  <c r="AU843" i="1" s="1"/>
  <c r="AU844" i="1" s="1"/>
  <c r="AU845" i="1" s="1"/>
  <c r="AU846" i="1" s="1"/>
  <c r="AU847" i="1" s="1"/>
  <c r="AU848" i="1" s="1"/>
  <c r="AU849" i="1" s="1"/>
  <c r="AU850" i="1" s="1"/>
  <c r="AU851" i="1" s="1"/>
  <c r="AU852" i="1" s="1"/>
  <c r="AU853" i="1" s="1"/>
  <c r="AU854" i="1" s="1"/>
  <c r="AU855" i="1" s="1"/>
  <c r="AU856" i="1" s="1"/>
  <c r="AU857" i="1" s="1"/>
  <c r="AU858" i="1" s="1"/>
  <c r="AU859" i="1" s="1"/>
  <c r="AU860" i="1" s="1"/>
  <c r="AU861" i="1" s="1"/>
  <c r="AU862" i="1" s="1"/>
  <c r="AU863" i="1" s="1"/>
  <c r="AU864" i="1" s="1"/>
  <c r="AU865" i="1" s="1"/>
  <c r="AU866" i="1" s="1"/>
  <c r="AU867" i="1" s="1"/>
  <c r="AU868" i="1" s="1"/>
  <c r="AU869" i="1" s="1"/>
  <c r="AU870" i="1" s="1"/>
  <c r="AU871" i="1" s="1"/>
  <c r="AU872" i="1" s="1"/>
  <c r="AU873" i="1" s="1"/>
  <c r="AU874" i="1" s="1"/>
  <c r="AU875" i="1" s="1"/>
  <c r="AU876" i="1" s="1"/>
  <c r="AU877" i="1" s="1"/>
  <c r="AU878" i="1" s="1"/>
  <c r="AU879" i="1" s="1"/>
  <c r="AU880" i="1" s="1"/>
  <c r="AU881" i="1" s="1"/>
  <c r="AU882" i="1" s="1"/>
  <c r="AU883" i="1" s="1"/>
  <c r="AU884" i="1" s="1"/>
  <c r="AU885" i="1" s="1"/>
  <c r="AU886" i="1" s="1"/>
  <c r="AU887" i="1" s="1"/>
  <c r="AU888" i="1" s="1"/>
  <c r="AU889" i="1" s="1"/>
  <c r="AU890" i="1" s="1"/>
  <c r="AU891" i="1" s="1"/>
  <c r="AU892" i="1" s="1"/>
  <c r="AU893" i="1" s="1"/>
  <c r="AU894" i="1" s="1"/>
  <c r="AU895" i="1" s="1"/>
  <c r="AU896" i="1" s="1"/>
  <c r="AU897" i="1" s="1"/>
  <c r="AU898" i="1" s="1"/>
  <c r="AU899" i="1" s="1"/>
  <c r="AU900" i="1" s="1"/>
  <c r="AU901" i="1" s="1"/>
  <c r="AU902" i="1" s="1"/>
  <c r="AU903" i="1" s="1"/>
  <c r="AU904" i="1" s="1"/>
  <c r="AU905" i="1" s="1"/>
  <c r="AU906" i="1" s="1"/>
  <c r="AU907" i="1" s="1"/>
  <c r="AU908" i="1" s="1"/>
  <c r="AU909" i="1" s="1"/>
  <c r="AU910" i="1" s="1"/>
  <c r="AU911" i="1" s="1"/>
  <c r="AU912" i="1" s="1"/>
  <c r="AU913" i="1" s="1"/>
  <c r="AU914" i="1" s="1"/>
  <c r="AU915" i="1" s="1"/>
  <c r="AU916" i="1" s="1"/>
  <c r="AU917" i="1" s="1"/>
  <c r="AU918" i="1" s="1"/>
  <c r="AU919" i="1" s="1"/>
  <c r="AU920" i="1" s="1"/>
  <c r="AU921" i="1" s="1"/>
  <c r="AU922" i="1" s="1"/>
  <c r="AU923" i="1" s="1"/>
  <c r="AU924" i="1" s="1"/>
  <c r="AU925" i="1" s="1"/>
  <c r="AU926" i="1" s="1"/>
  <c r="AU927" i="1" s="1"/>
  <c r="AU928" i="1" s="1"/>
  <c r="AU929" i="1" s="1"/>
  <c r="AU930" i="1" s="1"/>
  <c r="AU931" i="1" s="1"/>
  <c r="AU932" i="1" s="1"/>
  <c r="AU933" i="1" s="1"/>
  <c r="AU934" i="1" s="1"/>
  <c r="AU935" i="1" s="1"/>
  <c r="AU936" i="1" s="1"/>
  <c r="AU937" i="1" s="1"/>
  <c r="AU938" i="1" s="1"/>
  <c r="AU939" i="1" s="1"/>
  <c r="AU940" i="1" s="1"/>
  <c r="AU941" i="1" s="1"/>
  <c r="AU942" i="1" s="1"/>
  <c r="AU943" i="1" s="1"/>
  <c r="AU944" i="1" s="1"/>
  <c r="AU945" i="1" s="1"/>
  <c r="AU946" i="1" s="1"/>
  <c r="AU947" i="1" s="1"/>
  <c r="AU948" i="1" s="1"/>
  <c r="AU949" i="1" s="1"/>
  <c r="AU950" i="1" s="1"/>
  <c r="AU951" i="1" s="1"/>
  <c r="AU952" i="1" s="1"/>
  <c r="AU953" i="1" s="1"/>
  <c r="AU954" i="1" s="1"/>
  <c r="AU955" i="1" s="1"/>
  <c r="AU956" i="1" s="1"/>
  <c r="AU957" i="1" s="1"/>
  <c r="AU958" i="1" s="1"/>
  <c r="AU959" i="1" s="1"/>
  <c r="AU960" i="1" s="1"/>
  <c r="AU961" i="1" s="1"/>
  <c r="AU962" i="1" s="1"/>
  <c r="AU963" i="1" s="1"/>
  <c r="AU964" i="1" s="1"/>
  <c r="AU965" i="1" s="1"/>
  <c r="AU966" i="1" s="1"/>
  <c r="AU967" i="1" s="1"/>
  <c r="AU968" i="1" s="1"/>
  <c r="AU969" i="1" s="1"/>
  <c r="AU970" i="1" s="1"/>
  <c r="AU971" i="1" s="1"/>
  <c r="AU972" i="1" s="1"/>
  <c r="AU973" i="1" s="1"/>
  <c r="AU974" i="1" s="1"/>
  <c r="AU975" i="1" s="1"/>
  <c r="AU976" i="1" s="1"/>
  <c r="AU977" i="1" s="1"/>
  <c r="AU978" i="1" s="1"/>
  <c r="AU979" i="1" s="1"/>
  <c r="AU980" i="1" s="1"/>
  <c r="AU981" i="1" s="1"/>
  <c r="AU982" i="1" s="1"/>
  <c r="AU983" i="1" s="1"/>
  <c r="AU984" i="1" s="1"/>
  <c r="AU985" i="1" s="1"/>
  <c r="AU986" i="1" s="1"/>
  <c r="AU987" i="1" s="1"/>
  <c r="AU988" i="1" s="1"/>
  <c r="AU989" i="1" s="1"/>
  <c r="AU990" i="1" s="1"/>
  <c r="AU991" i="1" s="1"/>
  <c r="AU992" i="1" s="1"/>
  <c r="AU993" i="1" s="1"/>
  <c r="AU994" i="1" s="1"/>
  <c r="AU995" i="1" s="1"/>
  <c r="AU996" i="1" s="1"/>
  <c r="AU997" i="1" s="1"/>
  <c r="AU998" i="1" s="1"/>
  <c r="AU999" i="1" s="1"/>
  <c r="AU1000" i="1" s="1"/>
  <c r="AU1001" i="1" s="1"/>
  <c r="AU1002" i="1" s="1"/>
  <c r="AU1003" i="1" s="1"/>
  <c r="AU1004" i="1" s="1"/>
  <c r="AU1005" i="1" s="1"/>
  <c r="AU1006" i="1" s="1"/>
  <c r="AU1007" i="1" s="1"/>
  <c r="AU1008" i="1" s="1"/>
  <c r="AU1009" i="1" s="1"/>
  <c r="AU1010" i="1" s="1"/>
  <c r="AU1011" i="1" s="1"/>
  <c r="AU1012" i="1" s="1"/>
  <c r="AU1013" i="1" s="1"/>
  <c r="AU1014" i="1" s="1"/>
  <c r="AU1015" i="1" s="1"/>
  <c r="AU1016" i="1" s="1"/>
  <c r="AU1017" i="1" s="1"/>
  <c r="AU1018" i="1" s="1"/>
  <c r="AU1019" i="1" s="1"/>
  <c r="AU1020" i="1" s="1"/>
  <c r="AU1021" i="1" s="1"/>
  <c r="AU1022" i="1" s="1"/>
  <c r="AU1023" i="1" s="1"/>
  <c r="AU1024" i="1" s="1"/>
  <c r="AU1025" i="1" s="1"/>
  <c r="AU1026" i="1" s="1"/>
  <c r="AU1027" i="1" s="1"/>
  <c r="AU1028" i="1" s="1"/>
  <c r="AU1029" i="1" s="1"/>
  <c r="AU1030" i="1" s="1"/>
  <c r="AU1031" i="1" s="1"/>
  <c r="AU1032" i="1" s="1"/>
  <c r="AU1033" i="1" s="1"/>
  <c r="AU1034" i="1" s="1"/>
  <c r="AU1035" i="1" s="1"/>
  <c r="AU1036" i="1" s="1"/>
  <c r="AU1037" i="1" s="1"/>
  <c r="AU1038" i="1" s="1"/>
  <c r="AU1039" i="1" s="1"/>
  <c r="AU1040" i="1" s="1"/>
  <c r="AU1041" i="1" s="1"/>
  <c r="AU1042" i="1" s="1"/>
  <c r="AU1043" i="1" s="1"/>
  <c r="AU1044" i="1" s="1"/>
  <c r="AU1045" i="1" s="1"/>
  <c r="AU1046" i="1" s="1"/>
  <c r="AU1047" i="1" s="1"/>
  <c r="AU1048" i="1" s="1"/>
  <c r="AU1049" i="1" s="1"/>
  <c r="AU1050" i="1" s="1"/>
  <c r="AU1051" i="1" s="1"/>
  <c r="AU1052" i="1" s="1"/>
  <c r="AU1053" i="1" s="1"/>
  <c r="AU1054" i="1" s="1"/>
  <c r="AU1055" i="1" s="1"/>
  <c r="AU1056" i="1" s="1"/>
  <c r="AU1057" i="1" s="1"/>
  <c r="AU1058" i="1" s="1"/>
  <c r="AU1059" i="1" s="1"/>
  <c r="AU1060" i="1" s="1"/>
  <c r="AU1061" i="1" s="1"/>
  <c r="AU1062" i="1" s="1"/>
  <c r="AU1063" i="1" s="1"/>
  <c r="AU1064" i="1" s="1"/>
  <c r="AU1065" i="1" s="1"/>
  <c r="AU1066" i="1" s="1"/>
  <c r="AU1067" i="1" s="1"/>
  <c r="AU1068" i="1" s="1"/>
  <c r="AU1069" i="1" s="1"/>
  <c r="AU1070" i="1" s="1"/>
  <c r="AU1071" i="1" s="1"/>
  <c r="AU1072" i="1" s="1"/>
  <c r="AU1073" i="1" s="1"/>
  <c r="AU1074" i="1" s="1"/>
  <c r="AU1075" i="1" s="1"/>
  <c r="AU1076" i="1" s="1"/>
  <c r="AU1077" i="1" s="1"/>
  <c r="AU1078" i="1" s="1"/>
  <c r="AU1079" i="1" s="1"/>
  <c r="AU1080" i="1" s="1"/>
  <c r="AU1081" i="1" s="1"/>
  <c r="AU1082" i="1" s="1"/>
  <c r="AU1083" i="1" s="1"/>
  <c r="AU1084" i="1" s="1"/>
  <c r="AU1085" i="1" s="1"/>
  <c r="AU1086" i="1" s="1"/>
  <c r="AU1087" i="1" s="1"/>
  <c r="AU1088" i="1" s="1"/>
  <c r="AU1089" i="1" s="1"/>
  <c r="AU1090" i="1" s="1"/>
  <c r="AU1091" i="1" s="1"/>
  <c r="AU1092" i="1" s="1"/>
  <c r="AU1093" i="1" s="1"/>
  <c r="AU1094" i="1" s="1"/>
  <c r="AU1095" i="1" s="1"/>
  <c r="AU1096" i="1" s="1"/>
  <c r="AU1097" i="1" s="1"/>
  <c r="AU1098" i="1" s="1"/>
  <c r="AU1099" i="1" s="1"/>
  <c r="AU1100" i="1" s="1"/>
  <c r="AU1101" i="1" s="1"/>
  <c r="AU1102" i="1" s="1"/>
  <c r="AU1103" i="1" s="1"/>
  <c r="AU1104" i="1" s="1"/>
  <c r="AU1105" i="1" s="1"/>
  <c r="AU1106" i="1" s="1"/>
  <c r="AU1107" i="1" s="1"/>
  <c r="AU1108" i="1" s="1"/>
  <c r="AU1109" i="1" s="1"/>
  <c r="AU1110" i="1" s="1"/>
  <c r="AU1111" i="1" s="1"/>
  <c r="AU1112" i="1" s="1"/>
  <c r="AU1113" i="1" s="1"/>
  <c r="AU1114" i="1" s="1"/>
  <c r="AU1115" i="1" s="1"/>
  <c r="AU1116" i="1" s="1"/>
  <c r="AU1117" i="1" s="1"/>
  <c r="AU1118" i="1" s="1"/>
  <c r="AU1119" i="1" s="1"/>
  <c r="AU1120" i="1" s="1"/>
  <c r="AU1121" i="1" s="1"/>
  <c r="AU1122" i="1" s="1"/>
  <c r="AU1123" i="1" s="1"/>
  <c r="AU1124" i="1" s="1"/>
  <c r="AU1125" i="1" s="1"/>
  <c r="AU1126" i="1" s="1"/>
  <c r="AU1127" i="1" s="1"/>
  <c r="AU1128" i="1" s="1"/>
  <c r="AU1129" i="1" s="1"/>
  <c r="AU1130" i="1" s="1"/>
  <c r="AU1131" i="1" s="1"/>
  <c r="AU1132" i="1" s="1"/>
  <c r="AU1133" i="1" s="1"/>
  <c r="AU1134" i="1" s="1"/>
  <c r="AU1135" i="1" s="1"/>
  <c r="AU1136" i="1" s="1"/>
  <c r="AU1137" i="1" s="1"/>
  <c r="AU1138" i="1" s="1"/>
  <c r="AU1139" i="1" s="1"/>
  <c r="AU1140" i="1" s="1"/>
  <c r="AU1141" i="1" s="1"/>
  <c r="AU1142" i="1" s="1"/>
  <c r="AU1143" i="1" s="1"/>
  <c r="AU1144" i="1" s="1"/>
  <c r="AU1145" i="1" s="1"/>
  <c r="AU1146" i="1" s="1"/>
  <c r="AU1147" i="1" s="1"/>
  <c r="AU1148" i="1" s="1"/>
  <c r="AU1149" i="1" s="1"/>
  <c r="AU1150" i="1" s="1"/>
  <c r="AU1151" i="1" s="1"/>
  <c r="AU1152" i="1" s="1"/>
  <c r="AU1153" i="1" s="1"/>
  <c r="AU1154" i="1" s="1"/>
  <c r="AU1155" i="1" s="1"/>
  <c r="AU1156" i="1" s="1"/>
  <c r="AU1157" i="1" s="1"/>
  <c r="AU1158" i="1" s="1"/>
  <c r="AU1159" i="1" s="1"/>
  <c r="AU1160" i="1" s="1"/>
  <c r="AU1161" i="1" s="1"/>
  <c r="AU1162" i="1" s="1"/>
  <c r="AU1163" i="1" s="1"/>
  <c r="AU1164" i="1" s="1"/>
  <c r="AU1165" i="1" s="1"/>
  <c r="AU1166" i="1" s="1"/>
  <c r="AU1167" i="1" s="1"/>
  <c r="AU1168" i="1" s="1"/>
  <c r="AU1169" i="1" s="1"/>
  <c r="AU1170" i="1" s="1"/>
  <c r="AU1171" i="1" s="1"/>
  <c r="AU1172" i="1" s="1"/>
  <c r="AU1173" i="1" s="1"/>
  <c r="AU1174" i="1" s="1"/>
  <c r="AU1175" i="1" s="1"/>
  <c r="AU1176" i="1" s="1"/>
  <c r="AU1177" i="1" s="1"/>
  <c r="AU1178" i="1" s="1"/>
  <c r="AU1179" i="1" s="1"/>
  <c r="AU1180" i="1" s="1"/>
  <c r="AU1181" i="1" s="1"/>
  <c r="AU1182" i="1" s="1"/>
  <c r="AU1183" i="1" s="1"/>
  <c r="AU1184" i="1" s="1"/>
  <c r="AU1185" i="1" s="1"/>
  <c r="AU1186" i="1" s="1"/>
  <c r="AU1187" i="1" s="1"/>
  <c r="AU1188" i="1" s="1"/>
  <c r="AU1189" i="1" s="1"/>
  <c r="AU1190" i="1" s="1"/>
  <c r="AU1191" i="1" s="1"/>
  <c r="AU1192" i="1" s="1"/>
  <c r="AU1193" i="1" s="1"/>
  <c r="AU1194" i="1" s="1"/>
  <c r="AU1195" i="1" s="1"/>
  <c r="AU1196" i="1" s="1"/>
  <c r="AU1197" i="1" s="1"/>
  <c r="AU1198" i="1" s="1"/>
  <c r="AU1199" i="1" s="1"/>
  <c r="AU1200" i="1" s="1"/>
  <c r="AU1201" i="1" s="1"/>
  <c r="AU1202" i="1" s="1"/>
  <c r="AU1203" i="1" s="1"/>
  <c r="AU1204" i="1" s="1"/>
  <c r="AU1205" i="1" s="1"/>
  <c r="AU1206" i="1" s="1"/>
  <c r="AU1207" i="1" s="1"/>
  <c r="AU1208" i="1" s="1"/>
  <c r="AU1209" i="1" s="1"/>
  <c r="AU1210" i="1" s="1"/>
  <c r="AU1211" i="1" s="1"/>
  <c r="AU1212" i="1" s="1"/>
  <c r="AU1213" i="1" s="1"/>
  <c r="AU1214" i="1" s="1"/>
  <c r="AU1215" i="1" s="1"/>
  <c r="AU1216" i="1" s="1"/>
  <c r="AU1217" i="1" s="1"/>
  <c r="AU1218" i="1" s="1"/>
  <c r="AU1219" i="1" s="1"/>
  <c r="AU1220" i="1" s="1"/>
  <c r="AU1221" i="1" s="1"/>
  <c r="AU1222" i="1" s="1"/>
  <c r="AU1223" i="1" s="1"/>
  <c r="AU1224" i="1" s="1"/>
  <c r="AU1225" i="1" s="1"/>
  <c r="AU1226" i="1" s="1"/>
  <c r="AU1227" i="1" s="1"/>
  <c r="AU1228" i="1" s="1"/>
  <c r="AU1229" i="1" s="1"/>
  <c r="AU1230" i="1" s="1"/>
  <c r="AU1231" i="1" s="1"/>
  <c r="AU1232" i="1" s="1"/>
  <c r="AU1233" i="1" s="1"/>
  <c r="AU1234" i="1" s="1"/>
  <c r="AU1235" i="1" s="1"/>
  <c r="AU1236" i="1" s="1"/>
  <c r="AU1237" i="1" s="1"/>
  <c r="AU1238" i="1" s="1"/>
  <c r="AU1239" i="1" s="1"/>
  <c r="AU1240" i="1" s="1"/>
  <c r="AU1241" i="1" s="1"/>
  <c r="AU1242" i="1" s="1"/>
  <c r="AU1243" i="1" s="1"/>
  <c r="AU1244" i="1" s="1"/>
  <c r="AU1245" i="1" s="1"/>
  <c r="AU1246" i="1" s="1"/>
  <c r="AU1247" i="1" s="1"/>
  <c r="AU1248" i="1" s="1"/>
  <c r="AU1249" i="1" s="1"/>
  <c r="AU1250" i="1" s="1"/>
  <c r="AU1251" i="1" s="1"/>
  <c r="AU1252" i="1" s="1"/>
  <c r="AU1253" i="1" s="1"/>
  <c r="AU1254" i="1" s="1"/>
  <c r="AU1255" i="1" s="1"/>
  <c r="AU1256" i="1" s="1"/>
  <c r="AU1257" i="1" s="1"/>
  <c r="AU1258" i="1" s="1"/>
  <c r="AU1259" i="1" s="1"/>
  <c r="AU1260" i="1" s="1"/>
  <c r="AU1261" i="1" s="1"/>
  <c r="AU1262" i="1" s="1"/>
  <c r="AU1263" i="1" s="1"/>
  <c r="AU1264" i="1" s="1"/>
  <c r="AU1265" i="1" s="1"/>
  <c r="AU1266" i="1" s="1"/>
  <c r="AU1267" i="1" s="1"/>
  <c r="AU1268" i="1" s="1"/>
  <c r="AU1269" i="1" s="1"/>
  <c r="AU1270" i="1" s="1"/>
  <c r="AU1271" i="1" s="1"/>
  <c r="AU1272" i="1" s="1"/>
  <c r="AU1273" i="1" s="1"/>
  <c r="AU1274" i="1" s="1"/>
  <c r="AU1275" i="1" s="1"/>
  <c r="AU1276" i="1" s="1"/>
  <c r="AU1277" i="1" s="1"/>
  <c r="AU1278" i="1" s="1"/>
  <c r="AU1279" i="1" s="1"/>
  <c r="AU1280" i="1" s="1"/>
  <c r="AU1281" i="1" s="1"/>
  <c r="AU1282" i="1" s="1"/>
  <c r="AU1283" i="1" s="1"/>
  <c r="AU1284" i="1" s="1"/>
  <c r="AU1285" i="1" s="1"/>
  <c r="AU1286" i="1" s="1"/>
  <c r="AU1287" i="1" s="1"/>
  <c r="AU1288" i="1" s="1"/>
  <c r="AU1289" i="1" s="1"/>
  <c r="AU1290" i="1" s="1"/>
  <c r="AU1291" i="1" s="1"/>
  <c r="AU1292" i="1" s="1"/>
  <c r="AU1293" i="1" s="1"/>
  <c r="AU1294" i="1" s="1"/>
  <c r="AU1295" i="1" s="1"/>
  <c r="AU1296" i="1" s="1"/>
  <c r="AU1297" i="1" s="1"/>
  <c r="AU1298" i="1" s="1"/>
  <c r="AU1299" i="1" s="1"/>
  <c r="AU1300" i="1" s="1"/>
  <c r="AU1301" i="1" s="1"/>
  <c r="AU1302" i="1" s="1"/>
  <c r="AU1303" i="1" s="1"/>
  <c r="AU1304" i="1" s="1"/>
  <c r="AU1305" i="1" s="1"/>
  <c r="AU1306" i="1" s="1"/>
  <c r="AU1307" i="1" s="1"/>
  <c r="AU1308" i="1" s="1"/>
  <c r="AU1309" i="1" s="1"/>
  <c r="AU1310" i="1" s="1"/>
  <c r="AU1311" i="1" s="1"/>
  <c r="AU1312" i="1" s="1"/>
  <c r="AU1313" i="1" s="1"/>
  <c r="AU1314" i="1" s="1"/>
  <c r="AU1315" i="1" s="1"/>
  <c r="AU1316" i="1" s="1"/>
  <c r="AU1317" i="1" s="1"/>
  <c r="AU1318" i="1" s="1"/>
  <c r="AU1319" i="1" s="1"/>
  <c r="AU1320" i="1" s="1"/>
  <c r="AU1321" i="1" s="1"/>
  <c r="AU1322" i="1" s="1"/>
  <c r="AU1323" i="1" s="1"/>
  <c r="AU1324" i="1" s="1"/>
  <c r="AU1325" i="1" s="1"/>
  <c r="AU1326" i="1" s="1"/>
  <c r="AU1327" i="1" s="1"/>
  <c r="AU1328" i="1" s="1"/>
  <c r="AU1329" i="1" s="1"/>
  <c r="AU1330" i="1" s="1"/>
  <c r="AU1331" i="1" s="1"/>
  <c r="AU1332" i="1" s="1"/>
  <c r="AU1333" i="1" s="1"/>
  <c r="AU1334" i="1" s="1"/>
  <c r="AU1335" i="1" s="1"/>
  <c r="AU1336" i="1" s="1"/>
  <c r="AU1337" i="1" s="1"/>
  <c r="AU1338" i="1" s="1"/>
  <c r="AU1339" i="1" s="1"/>
  <c r="AU1340" i="1" s="1"/>
  <c r="AU1341" i="1" s="1"/>
  <c r="AU1342" i="1" s="1"/>
  <c r="AU1343" i="1" s="1"/>
  <c r="AU1344" i="1" s="1"/>
  <c r="AU1345" i="1" s="1"/>
  <c r="AU1346" i="1" s="1"/>
  <c r="AU1347" i="1" s="1"/>
  <c r="AU1348" i="1" s="1"/>
  <c r="AU1349" i="1" s="1"/>
  <c r="AU1350" i="1" s="1"/>
  <c r="AU1351" i="1" s="1"/>
  <c r="AU1352" i="1" s="1"/>
  <c r="AU1353" i="1" s="1"/>
  <c r="AU1354" i="1" s="1"/>
  <c r="AU1355" i="1" s="1"/>
  <c r="AU1356" i="1" s="1"/>
  <c r="AU1357" i="1" s="1"/>
  <c r="AU1358" i="1" s="1"/>
  <c r="AU1359" i="1" s="1"/>
  <c r="AU1360" i="1" s="1"/>
  <c r="AU1361" i="1" s="1"/>
  <c r="AU1362" i="1" s="1"/>
  <c r="AU1363" i="1" s="1"/>
  <c r="AU1364" i="1" s="1"/>
  <c r="AU1365" i="1" s="1"/>
  <c r="AU1366" i="1" s="1"/>
  <c r="AU1367" i="1" s="1"/>
  <c r="AU1368" i="1" s="1"/>
  <c r="AU1369" i="1" s="1"/>
  <c r="AU1370" i="1" s="1"/>
  <c r="AU1371" i="1" s="1"/>
  <c r="AU1372" i="1" s="1"/>
  <c r="AU1373" i="1" s="1"/>
  <c r="AU1374" i="1" s="1"/>
  <c r="AU1375" i="1" s="1"/>
  <c r="AU1376" i="1" s="1"/>
  <c r="AU1377" i="1" s="1"/>
  <c r="AU1378" i="1" s="1"/>
  <c r="AU1379" i="1" s="1"/>
  <c r="AU1380" i="1" s="1"/>
  <c r="AU1381" i="1" s="1"/>
  <c r="AU1382" i="1" s="1"/>
  <c r="AU1383" i="1" s="1"/>
  <c r="AU1384" i="1" s="1"/>
  <c r="AU1385" i="1" s="1"/>
  <c r="AU1386" i="1" s="1"/>
  <c r="AU1387" i="1" s="1"/>
  <c r="AU1388" i="1" s="1"/>
  <c r="AU1389" i="1" s="1"/>
  <c r="AU1390" i="1" s="1"/>
  <c r="AU1391" i="1" s="1"/>
  <c r="AU1392" i="1" s="1"/>
  <c r="AU1393" i="1" s="1"/>
  <c r="AU1394" i="1" s="1"/>
  <c r="AU1395" i="1" s="1"/>
  <c r="AU1396" i="1" s="1"/>
  <c r="AU1397" i="1" s="1"/>
  <c r="AU1398" i="1" s="1"/>
  <c r="AU1399" i="1" s="1"/>
  <c r="AU1400" i="1" s="1"/>
  <c r="AU1401" i="1" s="1"/>
  <c r="AU1402" i="1" s="1"/>
  <c r="AU1403" i="1" s="1"/>
  <c r="AU1404" i="1" s="1"/>
  <c r="AU1405" i="1" s="1"/>
  <c r="AU1406" i="1" s="1"/>
  <c r="AU1407" i="1" s="1"/>
  <c r="AU1408" i="1" s="1"/>
  <c r="AU1409" i="1" s="1"/>
  <c r="AU1410" i="1" s="1"/>
  <c r="AU1411" i="1" s="1"/>
  <c r="AU1412" i="1" s="1"/>
  <c r="AU1413" i="1" s="1"/>
  <c r="AU1414" i="1" s="1"/>
  <c r="AU1415" i="1" s="1"/>
  <c r="AU1416" i="1" s="1"/>
  <c r="AU1417" i="1" s="1"/>
  <c r="AU1418" i="1" s="1"/>
  <c r="AU1419" i="1" s="1"/>
  <c r="AU1420" i="1" s="1"/>
  <c r="AU1421" i="1" s="1"/>
  <c r="AU1422" i="1" s="1"/>
  <c r="AU1423" i="1" s="1"/>
  <c r="AU1424" i="1" s="1"/>
  <c r="AU1425" i="1" s="1"/>
  <c r="AU1426" i="1" s="1"/>
  <c r="AU1427" i="1" s="1"/>
  <c r="AU1428" i="1" s="1"/>
  <c r="AU1429" i="1" s="1"/>
  <c r="AU1430" i="1" s="1"/>
  <c r="AU1431" i="1" s="1"/>
  <c r="AU1432" i="1" s="1"/>
  <c r="AU1433" i="1" s="1"/>
  <c r="AU1434" i="1" s="1"/>
  <c r="AU1435" i="1" s="1"/>
  <c r="AU1436" i="1" s="1"/>
  <c r="AU1437" i="1" s="1"/>
  <c r="AU1438" i="1" s="1"/>
  <c r="AU1439" i="1" s="1"/>
  <c r="AU1440" i="1" s="1"/>
  <c r="AU1441" i="1" s="1"/>
  <c r="AU1442" i="1" s="1"/>
  <c r="AU1443" i="1" s="1"/>
  <c r="AU1444" i="1" s="1"/>
  <c r="AU1445" i="1" s="1"/>
  <c r="AU1446" i="1" s="1"/>
  <c r="AU1447" i="1" s="1"/>
  <c r="AU1448" i="1" s="1"/>
  <c r="AU1449" i="1" s="1"/>
  <c r="AU1450" i="1" s="1"/>
  <c r="AU1451" i="1" s="1"/>
  <c r="AU1452" i="1" s="1"/>
  <c r="AU1453" i="1" s="1"/>
  <c r="AU1454" i="1" s="1"/>
  <c r="AU1455" i="1" s="1"/>
  <c r="AU1456" i="1" s="1"/>
  <c r="AU1457" i="1" s="1"/>
  <c r="AU1458" i="1" s="1"/>
  <c r="AU1459" i="1" s="1"/>
  <c r="AU1460" i="1" s="1"/>
  <c r="AU1461" i="1" s="1"/>
  <c r="AU1462" i="1" s="1"/>
  <c r="AU1463" i="1" s="1"/>
  <c r="AU1464" i="1" s="1"/>
  <c r="AU1465" i="1" s="1"/>
  <c r="AU1466" i="1" s="1"/>
  <c r="AU1467" i="1" s="1"/>
  <c r="AU1468" i="1" s="1"/>
  <c r="AU1469" i="1" s="1"/>
  <c r="AU1470" i="1" s="1"/>
  <c r="AU1471" i="1" s="1"/>
  <c r="AU1472" i="1" s="1"/>
  <c r="AU1473" i="1" s="1"/>
  <c r="AU1474" i="1" s="1"/>
  <c r="AU1475" i="1" s="1"/>
  <c r="AU1476" i="1" s="1"/>
  <c r="AU1477" i="1" s="1"/>
  <c r="AU1478" i="1" s="1"/>
  <c r="AU1479" i="1" s="1"/>
  <c r="AU1480" i="1" s="1"/>
  <c r="AU1481" i="1" s="1"/>
  <c r="AU1482" i="1" s="1"/>
  <c r="AU1483" i="1" s="1"/>
  <c r="AU1484" i="1" s="1"/>
  <c r="AU1485" i="1" s="1"/>
  <c r="AU1486" i="1" s="1"/>
  <c r="AU1487" i="1" s="1"/>
  <c r="AU1488" i="1" s="1"/>
  <c r="AU1489" i="1" s="1"/>
  <c r="AU1490" i="1" s="1"/>
  <c r="AU1491" i="1" s="1"/>
  <c r="AU1492" i="1" s="1"/>
  <c r="AU1493" i="1" s="1"/>
  <c r="AU1494" i="1" s="1"/>
  <c r="AU1495" i="1" s="1"/>
  <c r="AU1496" i="1" s="1"/>
  <c r="AU1497" i="1" s="1"/>
  <c r="AU1498" i="1" s="1"/>
  <c r="AU1499" i="1" s="1"/>
  <c r="AU1500" i="1" s="1"/>
  <c r="AU1501" i="1" s="1"/>
  <c r="AU1502" i="1" s="1"/>
  <c r="AU1503" i="1" s="1"/>
  <c r="AU1504" i="1" s="1"/>
  <c r="AU1505" i="1" s="1"/>
  <c r="AU1506" i="1" s="1"/>
  <c r="AU1507" i="1" s="1"/>
  <c r="AU1508" i="1" s="1"/>
  <c r="AU1509" i="1" s="1"/>
  <c r="AU1510" i="1" s="1"/>
  <c r="AU1511" i="1" s="1"/>
  <c r="AU1512" i="1" s="1"/>
  <c r="AU1513" i="1" s="1"/>
  <c r="AU1514" i="1" s="1"/>
  <c r="AU1515" i="1" s="1"/>
  <c r="AU1516" i="1" s="1"/>
  <c r="AU1517" i="1" s="1"/>
  <c r="AU1518" i="1" s="1"/>
  <c r="AU1519" i="1" s="1"/>
  <c r="AU1520" i="1" s="1"/>
  <c r="AU1521" i="1" s="1"/>
  <c r="AU1522" i="1" s="1"/>
  <c r="AU1523" i="1" s="1"/>
  <c r="AU1524" i="1" s="1"/>
  <c r="AU1525" i="1" s="1"/>
  <c r="AU1526" i="1" s="1"/>
  <c r="AU1527" i="1" s="1"/>
  <c r="AU1528" i="1" s="1"/>
  <c r="AU1529" i="1" s="1"/>
  <c r="AU1530" i="1" s="1"/>
  <c r="AU1531" i="1" s="1"/>
  <c r="AU1532" i="1" s="1"/>
  <c r="AU1533" i="1" s="1"/>
  <c r="AU1534" i="1" s="1"/>
  <c r="AU1535" i="1" s="1"/>
  <c r="AU1536" i="1" s="1"/>
  <c r="AU1537" i="1" s="1"/>
  <c r="AU1538" i="1" s="1"/>
  <c r="AU1539" i="1" s="1"/>
  <c r="AU1540" i="1" s="1"/>
  <c r="AU1541" i="1" s="1"/>
  <c r="AU1542" i="1" s="1"/>
  <c r="AU1543" i="1" s="1"/>
  <c r="AU1544" i="1" s="1"/>
  <c r="AU1545" i="1" s="1"/>
  <c r="AU1546" i="1" s="1"/>
  <c r="AU1547" i="1" s="1"/>
  <c r="AU1548" i="1" s="1"/>
  <c r="AU1549" i="1" s="1"/>
  <c r="AU1550" i="1" s="1"/>
  <c r="AU1551" i="1" s="1"/>
  <c r="AU1552" i="1" s="1"/>
  <c r="AU1553" i="1" s="1"/>
  <c r="AU1554" i="1" s="1"/>
  <c r="AU1555" i="1" s="1"/>
  <c r="AU1556" i="1" s="1"/>
  <c r="AU1557" i="1" s="1"/>
  <c r="AU1558" i="1" s="1"/>
  <c r="AU1559" i="1" s="1"/>
  <c r="AU1560" i="1" s="1"/>
  <c r="AU1561" i="1" s="1"/>
  <c r="AU1562" i="1" s="1"/>
  <c r="AU1563" i="1" s="1"/>
  <c r="AU1564" i="1" s="1"/>
  <c r="AU1565" i="1" s="1"/>
  <c r="AU1566" i="1" s="1"/>
  <c r="AU1567" i="1" s="1"/>
  <c r="AU1568" i="1" s="1"/>
  <c r="AU1569" i="1" s="1"/>
  <c r="AU1570" i="1" s="1"/>
  <c r="AU1571" i="1" s="1"/>
  <c r="AU1572" i="1" s="1"/>
  <c r="AU1573" i="1" s="1"/>
  <c r="AU1574" i="1" s="1"/>
  <c r="AU1575" i="1" s="1"/>
  <c r="AU1576" i="1" s="1"/>
  <c r="AU1577" i="1" s="1"/>
  <c r="AU1578" i="1" s="1"/>
  <c r="AU1579" i="1" s="1"/>
  <c r="AU1580" i="1" s="1"/>
  <c r="AU1581" i="1" s="1"/>
  <c r="AU1582" i="1" s="1"/>
  <c r="AU1583" i="1" s="1"/>
  <c r="AU1584" i="1" s="1"/>
  <c r="AU1585" i="1" s="1"/>
  <c r="AU1586" i="1" s="1"/>
  <c r="AU1587" i="1" s="1"/>
  <c r="AU1588" i="1" s="1"/>
  <c r="AU1589" i="1" s="1"/>
  <c r="AU1590" i="1" s="1"/>
  <c r="AU1591" i="1" s="1"/>
  <c r="AU1592" i="1" s="1"/>
  <c r="AU1593" i="1" s="1"/>
  <c r="AU1594" i="1" s="1"/>
  <c r="AU1595" i="1" s="1"/>
  <c r="AU1596" i="1" s="1"/>
  <c r="AU1597" i="1" s="1"/>
  <c r="AU1598" i="1" s="1"/>
  <c r="AU1599" i="1" s="1"/>
  <c r="AU1600" i="1" s="1"/>
  <c r="AU1601" i="1" s="1"/>
  <c r="AU1602" i="1" s="1"/>
  <c r="AU1603" i="1" s="1"/>
  <c r="AU1604" i="1" s="1"/>
  <c r="AU1605" i="1" s="1"/>
  <c r="AU1606" i="1" s="1"/>
  <c r="AU1607" i="1" s="1"/>
  <c r="AU1608" i="1" s="1"/>
  <c r="AU1609" i="1" s="1"/>
  <c r="AU1610" i="1" s="1"/>
  <c r="AU1611" i="1" s="1"/>
  <c r="AU1612" i="1" s="1"/>
  <c r="AU1613" i="1" s="1"/>
  <c r="AU1614" i="1" s="1"/>
  <c r="AU1615" i="1" s="1"/>
  <c r="AU1616" i="1" s="1"/>
  <c r="AU1617" i="1" s="1"/>
  <c r="AU1618" i="1" s="1"/>
  <c r="AU1619" i="1" s="1"/>
  <c r="AU1620" i="1" s="1"/>
  <c r="AU1621" i="1" s="1"/>
  <c r="AU1622" i="1" s="1"/>
  <c r="AU1623" i="1" s="1"/>
  <c r="AU1624" i="1" s="1"/>
  <c r="AU1625" i="1" s="1"/>
  <c r="AU1626" i="1" s="1"/>
  <c r="AU1627" i="1" s="1"/>
  <c r="AU1628" i="1" s="1"/>
  <c r="AU1629" i="1" s="1"/>
  <c r="AU1630" i="1" s="1"/>
  <c r="AU1631" i="1" s="1"/>
  <c r="AU1632" i="1" s="1"/>
  <c r="AU1633" i="1" s="1"/>
  <c r="AU1634" i="1" s="1"/>
  <c r="AU1635" i="1" s="1"/>
  <c r="AU1636" i="1" s="1"/>
  <c r="AU1637" i="1" s="1"/>
  <c r="AU1638" i="1" s="1"/>
  <c r="AU1639" i="1" s="1"/>
  <c r="AU1640" i="1" s="1"/>
  <c r="AU1641" i="1" s="1"/>
  <c r="AU1642" i="1" s="1"/>
  <c r="AU1643" i="1" s="1"/>
  <c r="AU1644" i="1" s="1"/>
  <c r="AU1645" i="1" s="1"/>
  <c r="AU1646" i="1" s="1"/>
  <c r="AU1647" i="1" s="1"/>
  <c r="AU1648" i="1" s="1"/>
  <c r="AU1649" i="1" s="1"/>
  <c r="AU1650" i="1" s="1"/>
  <c r="AU1651" i="1" s="1"/>
  <c r="AU1652" i="1" s="1"/>
  <c r="AU1653" i="1" s="1"/>
  <c r="AU1654" i="1" s="1"/>
  <c r="AU1655" i="1" s="1"/>
  <c r="AU1656" i="1" s="1"/>
  <c r="AU1657" i="1" s="1"/>
  <c r="AU1658" i="1" s="1"/>
  <c r="AU1659" i="1" s="1"/>
  <c r="AU1660" i="1" s="1"/>
  <c r="AU1661" i="1" s="1"/>
  <c r="AU1662" i="1" s="1"/>
  <c r="AU1663" i="1" s="1"/>
  <c r="AU1664" i="1" s="1"/>
  <c r="AU1665" i="1" s="1"/>
  <c r="AU1666" i="1" s="1"/>
  <c r="AU1667" i="1" s="1"/>
  <c r="AU1668" i="1" s="1"/>
  <c r="AU1669" i="1" s="1"/>
  <c r="AU1670" i="1" s="1"/>
  <c r="AU1671" i="1" s="1"/>
  <c r="AU1672" i="1" s="1"/>
  <c r="AU1673" i="1" s="1"/>
  <c r="AU1674" i="1" s="1"/>
  <c r="AU1675" i="1" s="1"/>
  <c r="AU1676" i="1" s="1"/>
  <c r="AU1677" i="1" s="1"/>
  <c r="AU1678" i="1" s="1"/>
  <c r="AU1679" i="1" s="1"/>
  <c r="AU1680" i="1" s="1"/>
  <c r="AU1681" i="1" s="1"/>
  <c r="AU1682" i="1" s="1"/>
  <c r="AU1683" i="1" s="1"/>
  <c r="AU1684" i="1" s="1"/>
  <c r="AU1685" i="1" s="1"/>
  <c r="AU1686" i="1" s="1"/>
  <c r="AU1687" i="1" s="1"/>
  <c r="AU1688" i="1" s="1"/>
  <c r="AU1689" i="1" s="1"/>
  <c r="AU1690" i="1" s="1"/>
  <c r="AU1691" i="1" s="1"/>
  <c r="AU1692" i="1" s="1"/>
  <c r="AU1693" i="1" s="1"/>
  <c r="AU1694" i="1" s="1"/>
  <c r="AU1695" i="1" s="1"/>
  <c r="AU1696" i="1" s="1"/>
  <c r="AU1697" i="1" s="1"/>
  <c r="AU1698" i="1" s="1"/>
  <c r="AU1699" i="1" s="1"/>
  <c r="AU1700" i="1" s="1"/>
  <c r="AU1701" i="1" s="1"/>
  <c r="AU1702" i="1" s="1"/>
  <c r="AU1703" i="1" s="1"/>
  <c r="AU1704" i="1" s="1"/>
  <c r="AU1705" i="1" s="1"/>
  <c r="AU1706" i="1" s="1"/>
  <c r="AU1707" i="1" s="1"/>
  <c r="AU1708" i="1" s="1"/>
  <c r="AU1709" i="1" s="1"/>
  <c r="AU1710" i="1" s="1"/>
  <c r="AU1711" i="1" s="1"/>
  <c r="AU1712" i="1" s="1"/>
  <c r="AU1713" i="1" s="1"/>
  <c r="AU1714" i="1" s="1"/>
  <c r="AU1715" i="1" s="1"/>
  <c r="AU1716" i="1" s="1"/>
  <c r="AU1717" i="1" s="1"/>
  <c r="AU1718" i="1" s="1"/>
  <c r="AU1719" i="1" s="1"/>
  <c r="AU1720" i="1" s="1"/>
  <c r="AU1721" i="1" s="1"/>
  <c r="AU1722" i="1" s="1"/>
  <c r="AU1723" i="1" s="1"/>
  <c r="AU1724" i="1" s="1"/>
  <c r="AU1725" i="1" s="1"/>
  <c r="AU1726" i="1" s="1"/>
  <c r="AU1727" i="1" s="1"/>
  <c r="AU1728" i="1" s="1"/>
  <c r="AU1729" i="1" s="1"/>
  <c r="AU1730" i="1" s="1"/>
  <c r="AU1731" i="1" s="1"/>
  <c r="AU1732" i="1" s="1"/>
  <c r="AU1733" i="1" s="1"/>
  <c r="AU1734" i="1" s="1"/>
  <c r="AU1735" i="1" s="1"/>
  <c r="AU1736" i="1" s="1"/>
  <c r="AU1737" i="1" s="1"/>
  <c r="AU1738" i="1" s="1"/>
  <c r="AU1739" i="1" s="1"/>
  <c r="AU1740" i="1" s="1"/>
  <c r="AU1741" i="1" s="1"/>
  <c r="AU1742" i="1" s="1"/>
  <c r="AU1743" i="1" s="1"/>
  <c r="AU1744" i="1" s="1"/>
  <c r="AU1745" i="1" s="1"/>
  <c r="AU1746" i="1" s="1"/>
  <c r="AU1747" i="1" s="1"/>
  <c r="AU1748" i="1" s="1"/>
  <c r="AU1749" i="1" s="1"/>
  <c r="AU1750" i="1" s="1"/>
  <c r="AU1751" i="1" s="1"/>
  <c r="AU1752" i="1" s="1"/>
  <c r="AU1753" i="1" s="1"/>
  <c r="AU1754" i="1" s="1"/>
  <c r="AU1755" i="1" s="1"/>
  <c r="AU1756" i="1" s="1"/>
  <c r="AU1757" i="1" s="1"/>
  <c r="AU1758" i="1" s="1"/>
  <c r="AU1759" i="1" s="1"/>
  <c r="AU1760" i="1" s="1"/>
  <c r="AU1761" i="1" s="1"/>
  <c r="AU1762" i="1" s="1"/>
  <c r="AU1763" i="1" s="1"/>
  <c r="AU1764" i="1" s="1"/>
  <c r="AU1765" i="1" s="1"/>
  <c r="AU1766" i="1" s="1"/>
  <c r="AU1767" i="1" s="1"/>
  <c r="AU1768" i="1" s="1"/>
  <c r="AU1769" i="1" s="1"/>
  <c r="AU1770" i="1" s="1"/>
  <c r="AU1771" i="1" s="1"/>
  <c r="AU1772" i="1" s="1"/>
  <c r="AU1773" i="1" s="1"/>
  <c r="AU1774" i="1" s="1"/>
  <c r="AU1775" i="1" s="1"/>
  <c r="AU1776" i="1" s="1"/>
  <c r="AU1777" i="1" s="1"/>
  <c r="AU1778" i="1" s="1"/>
  <c r="AU1779" i="1" s="1"/>
  <c r="AU1780" i="1" s="1"/>
  <c r="AU1781" i="1" s="1"/>
  <c r="AU1782" i="1" s="1"/>
  <c r="AU1783" i="1" s="1"/>
  <c r="AU1784" i="1" s="1"/>
  <c r="AU1785" i="1" s="1"/>
  <c r="AU1786" i="1" s="1"/>
  <c r="AU1787" i="1" s="1"/>
  <c r="AU1788" i="1" s="1"/>
  <c r="AU1789" i="1" s="1"/>
  <c r="AU1790" i="1" s="1"/>
  <c r="AU1791" i="1" s="1"/>
  <c r="AU1792" i="1" s="1"/>
  <c r="AU1793" i="1" s="1"/>
  <c r="AU1794" i="1" s="1"/>
  <c r="AU1795" i="1" s="1"/>
  <c r="AU1796" i="1" s="1"/>
  <c r="AU1797" i="1" s="1"/>
  <c r="AU1798" i="1" s="1"/>
  <c r="AU1799" i="1" s="1"/>
  <c r="AU1800" i="1" s="1"/>
  <c r="AU1801" i="1" s="1"/>
  <c r="AU1802" i="1" s="1"/>
  <c r="AU1803" i="1" s="1"/>
  <c r="BM15" i="1" l="1"/>
  <c r="AP4" i="1"/>
  <c r="BN17" i="1"/>
  <c r="AP5" i="1" l="1"/>
  <c r="AP6" i="1" s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Q4" i="1"/>
  <c r="BN18" i="1"/>
  <c r="AI10" i="1" l="1"/>
  <c r="AI22" i="1"/>
  <c r="AQ5" i="1"/>
  <c r="BN19" i="1"/>
  <c r="AQ6" i="1" l="1"/>
  <c r="AQ7" i="1"/>
  <c r="AQ8" i="1"/>
  <c r="BN20" i="1"/>
  <c r="AQ9" i="1" l="1"/>
  <c r="BN21" i="1"/>
  <c r="AQ10" i="1" l="1"/>
  <c r="BN22" i="1"/>
  <c r="AQ11" i="1" l="1"/>
  <c r="BN23" i="1"/>
  <c r="AQ12" i="1" l="1"/>
  <c r="BN24" i="1"/>
  <c r="AQ13" i="1" l="1"/>
  <c r="BN25" i="1"/>
  <c r="AQ14" i="1" l="1"/>
  <c r="BN26" i="1"/>
  <c r="AQ15" i="1" l="1"/>
  <c r="BN27" i="1"/>
  <c r="AQ16" i="1" l="1"/>
  <c r="BN28" i="1"/>
  <c r="AQ17" i="1" l="1"/>
  <c r="BN29" i="1"/>
  <c r="AQ18" i="1" l="1"/>
  <c r="BN30" i="1"/>
  <c r="AQ19" i="1" l="1"/>
  <c r="BN31" i="1"/>
  <c r="AQ20" i="1" l="1"/>
  <c r="BN32" i="1"/>
  <c r="AQ21" i="1" l="1"/>
  <c r="BN33" i="1"/>
  <c r="AQ22" i="1" l="1"/>
  <c r="BN34" i="1"/>
  <c r="AQ23" i="1" l="1"/>
  <c r="BN35" i="1"/>
  <c r="AQ24" i="1" l="1"/>
  <c r="BN36" i="1"/>
  <c r="AQ25" i="1" l="1"/>
  <c r="BN37" i="1"/>
  <c r="AQ26" i="1" l="1"/>
  <c r="BN38" i="1"/>
  <c r="AQ27" i="1" l="1"/>
  <c r="BN39" i="1"/>
  <c r="AQ28" i="1" l="1"/>
  <c r="BN40" i="1"/>
  <c r="AQ29" i="1" l="1"/>
  <c r="BN41" i="1"/>
  <c r="AQ30" i="1" l="1"/>
  <c r="BN42" i="1"/>
  <c r="AQ31" i="1" l="1"/>
  <c r="BN43" i="1"/>
  <c r="AQ32" i="1" l="1"/>
  <c r="BN44" i="1"/>
  <c r="AQ33" i="1" l="1"/>
  <c r="BN45" i="1"/>
  <c r="AQ34" i="1" l="1"/>
  <c r="BN46" i="1"/>
  <c r="AQ35" i="1" l="1"/>
  <c r="BN47" i="1"/>
  <c r="AQ36" i="1" l="1"/>
  <c r="BN48" i="1"/>
  <c r="AQ37" i="1" l="1"/>
  <c r="BN49" i="1"/>
  <c r="AQ38" i="1" l="1"/>
  <c r="BN50" i="1"/>
  <c r="AQ39" i="1" l="1"/>
  <c r="BN51" i="1"/>
  <c r="AQ40" i="1" l="1"/>
  <c r="BN52" i="1"/>
  <c r="AQ41" i="1" l="1"/>
  <c r="BN53" i="1"/>
  <c r="AQ42" i="1" l="1"/>
  <c r="BN54" i="1"/>
  <c r="AQ43" i="1" l="1"/>
  <c r="BN55" i="1"/>
  <c r="AQ44" i="1" l="1"/>
  <c r="BN56" i="1"/>
  <c r="AQ45" i="1" l="1"/>
  <c r="BN57" i="1"/>
  <c r="AQ46" i="1" l="1"/>
  <c r="BN58" i="1"/>
  <c r="AQ47" i="1" l="1"/>
  <c r="BN59" i="1"/>
  <c r="AQ48" i="1" l="1"/>
  <c r="BN60" i="1"/>
  <c r="AQ49" i="1" l="1"/>
  <c r="BN61" i="1"/>
  <c r="AQ50" i="1" l="1"/>
  <c r="BN62" i="1"/>
  <c r="AQ51" i="1" l="1"/>
  <c r="BN63" i="1"/>
  <c r="AQ52" i="1" l="1"/>
  <c r="BN64" i="1"/>
  <c r="AQ53" i="1" l="1"/>
  <c r="BN65" i="1"/>
  <c r="AQ54" i="1" l="1"/>
  <c r="BN66" i="1"/>
  <c r="AQ55" i="1" l="1"/>
  <c r="BN67" i="1"/>
  <c r="AQ56" i="1" l="1"/>
  <c r="BN68" i="1"/>
  <c r="AQ57" i="1" l="1"/>
  <c r="BN69" i="1"/>
  <c r="AQ58" i="1" l="1"/>
  <c r="BN70" i="1"/>
  <c r="AQ59" i="1" l="1"/>
  <c r="BN71" i="1"/>
  <c r="AQ60" i="1" l="1"/>
  <c r="BN72" i="1"/>
  <c r="AQ61" i="1" l="1"/>
  <c r="BN73" i="1"/>
  <c r="AQ62" i="1" l="1"/>
  <c r="BN74" i="1"/>
  <c r="AQ63" i="1" l="1"/>
  <c r="BN75" i="1"/>
  <c r="AQ64" i="1" l="1"/>
  <c r="BN76" i="1"/>
  <c r="AQ65" i="1" l="1"/>
  <c r="BN77" i="1"/>
  <c r="AQ66" i="1" l="1"/>
  <c r="BN78" i="1"/>
  <c r="AQ67" i="1" l="1"/>
  <c r="BN79" i="1"/>
  <c r="AQ68" i="1" l="1"/>
  <c r="BN80" i="1"/>
  <c r="AQ69" i="1" l="1"/>
  <c r="BN81" i="1"/>
  <c r="AQ70" i="1" l="1"/>
  <c r="BN82" i="1"/>
  <c r="AQ71" i="1" l="1"/>
  <c r="BN83" i="1"/>
  <c r="AQ72" i="1" l="1"/>
  <c r="BN84" i="1"/>
  <c r="AQ73" i="1" l="1"/>
  <c r="BN85" i="1"/>
  <c r="AQ74" i="1" l="1"/>
  <c r="BN86" i="1"/>
  <c r="AQ75" i="1" l="1"/>
  <c r="BN87" i="1"/>
  <c r="AQ76" i="1" l="1"/>
  <c r="BN88" i="1"/>
  <c r="AQ77" i="1" l="1"/>
  <c r="BN89" i="1"/>
  <c r="AQ78" i="1" l="1"/>
  <c r="BN90" i="1"/>
  <c r="BN91" i="1" s="1"/>
  <c r="BN92" i="1" s="1"/>
  <c r="BN93" i="1" s="1"/>
  <c r="BN94" i="1" s="1"/>
  <c r="BN95" i="1" s="1"/>
  <c r="BN96" i="1" s="1"/>
  <c r="BN97" i="1" s="1"/>
  <c r="BN98" i="1" s="1"/>
  <c r="BN99" i="1" s="1"/>
  <c r="BN100" i="1" s="1"/>
  <c r="BN101" i="1" s="1"/>
  <c r="BN102" i="1" s="1"/>
  <c r="BN103" i="1" s="1"/>
  <c r="BN104" i="1" s="1"/>
  <c r="BN105" i="1" s="1"/>
  <c r="BN106" i="1" s="1"/>
  <c r="BN107" i="1" s="1"/>
  <c r="BN108" i="1" s="1"/>
  <c r="BN109" i="1" s="1"/>
  <c r="BN110" i="1" s="1"/>
  <c r="BN111" i="1" s="1"/>
  <c r="BN112" i="1" s="1"/>
  <c r="BN113" i="1" s="1"/>
  <c r="BN114" i="1" s="1"/>
  <c r="BN115" i="1" s="1"/>
  <c r="BN116" i="1" s="1"/>
  <c r="BN117" i="1" s="1"/>
  <c r="BN118" i="1" s="1"/>
  <c r="BN119" i="1" s="1"/>
  <c r="BN120" i="1" s="1"/>
  <c r="BN121" i="1" s="1"/>
  <c r="BN122" i="1" s="1"/>
  <c r="BN123" i="1" s="1"/>
  <c r="BN124" i="1" s="1"/>
  <c r="BN125" i="1" s="1"/>
  <c r="BN126" i="1" s="1"/>
  <c r="BN127" i="1" s="1"/>
  <c r="BN128" i="1" s="1"/>
  <c r="BN129" i="1" s="1"/>
  <c r="BN130" i="1" s="1"/>
  <c r="BN131" i="1" s="1"/>
  <c r="BN132" i="1" s="1"/>
  <c r="BN133" i="1" s="1"/>
  <c r="BN134" i="1" s="1"/>
  <c r="BN135" i="1" s="1"/>
  <c r="BN136" i="1" s="1"/>
  <c r="BN137" i="1" s="1"/>
  <c r="BN138" i="1" s="1"/>
  <c r="BN139" i="1" s="1"/>
  <c r="BN140" i="1" s="1"/>
  <c r="BN141" i="1" s="1"/>
  <c r="BN142" i="1" s="1"/>
  <c r="BN143" i="1" s="1"/>
  <c r="BN144" i="1" s="1"/>
  <c r="BN145" i="1" s="1"/>
  <c r="BN146" i="1" s="1"/>
  <c r="BN147" i="1" s="1"/>
  <c r="BN148" i="1" s="1"/>
  <c r="BN149" i="1" s="1"/>
  <c r="BN150" i="1" s="1"/>
  <c r="BN151" i="1" s="1"/>
  <c r="BN152" i="1" s="1"/>
  <c r="BN153" i="1" s="1"/>
  <c r="AQ79" i="1" l="1"/>
  <c r="AQ80" i="1" l="1"/>
  <c r="AQ81" i="1" l="1"/>
  <c r="AQ82" i="1" l="1"/>
  <c r="AQ83" i="1" l="1"/>
  <c r="AQ84" i="1" l="1"/>
  <c r="AQ85" i="1" l="1"/>
  <c r="AQ86" i="1" l="1"/>
  <c r="AQ87" i="1" l="1"/>
  <c r="AQ88" i="1" l="1"/>
  <c r="AQ90" i="1" l="1"/>
  <c r="AQ89" i="1"/>
  <c r="AI23" i="1" l="1"/>
  <c r="I8" i="1" l="1"/>
  <c r="M8" i="1" l="1"/>
  <c r="K8" i="1"/>
  <c r="J8" i="1"/>
  <c r="L8" i="1"/>
  <c r="O8" i="1"/>
  <c r="N8" i="1"/>
  <c r="P8" i="1" l="1"/>
  <c r="I9" i="1" s="1"/>
  <c r="M9" i="1" l="1"/>
  <c r="K9" i="1"/>
  <c r="J9" i="1"/>
  <c r="O9" i="1"/>
  <c r="L9" i="1"/>
  <c r="N9" i="1"/>
  <c r="P9" i="1" l="1"/>
  <c r="I10" i="1" s="1"/>
  <c r="M10" i="1" l="1"/>
  <c r="O10" i="1"/>
  <c r="J10" i="1"/>
  <c r="K10" i="1"/>
  <c r="L10" i="1"/>
  <c r="N10" i="1"/>
  <c r="P10" i="1" l="1"/>
  <c r="I11" i="1" s="1"/>
  <c r="M11" i="1" l="1"/>
  <c r="K11" i="1"/>
  <c r="J11" i="1"/>
  <c r="O11" i="1"/>
  <c r="L11" i="1"/>
  <c r="N11" i="1"/>
  <c r="P11" i="1" l="1"/>
  <c r="I12" i="1" s="1"/>
  <c r="M12" i="1" l="1"/>
  <c r="L12" i="1"/>
  <c r="J12" i="1"/>
  <c r="K12" i="1"/>
  <c r="O12" i="1"/>
  <c r="N12" i="1"/>
  <c r="P12" i="1" l="1"/>
  <c r="I13" i="1" s="1"/>
  <c r="M13" i="1" l="1"/>
  <c r="L13" i="1"/>
  <c r="O13" i="1"/>
  <c r="K13" i="1"/>
  <c r="J13" i="1"/>
  <c r="N13" i="1"/>
  <c r="P13" i="1" l="1"/>
  <c r="I14" i="1" s="1"/>
  <c r="M14" i="1" l="1"/>
  <c r="L14" i="1"/>
  <c r="N14" i="1"/>
  <c r="J14" i="1"/>
  <c r="O14" i="1"/>
  <c r="K14" i="1"/>
  <c r="P14" i="1" l="1"/>
  <c r="I15" i="1" s="1"/>
  <c r="M15" i="1" l="1"/>
  <c r="N15" i="1"/>
  <c r="O15" i="1"/>
  <c r="J15" i="1"/>
  <c r="K15" i="1"/>
  <c r="L15" i="1"/>
  <c r="P15" i="1" l="1"/>
  <c r="I16" i="1" s="1"/>
  <c r="M16" i="1" l="1"/>
  <c r="J16" i="1"/>
  <c r="N16" i="1"/>
  <c r="K16" i="1"/>
  <c r="L16" i="1"/>
  <c r="O16" i="1"/>
  <c r="P16" i="1" l="1"/>
  <c r="I17" i="1" s="1"/>
  <c r="M17" i="1" l="1"/>
  <c r="L17" i="1"/>
  <c r="K17" i="1"/>
  <c r="O17" i="1"/>
  <c r="N17" i="1"/>
  <c r="J17" i="1"/>
  <c r="P17" i="1" l="1"/>
  <c r="I18" i="1" s="1"/>
  <c r="M18" i="1" l="1"/>
  <c r="J18" i="1"/>
  <c r="O18" i="1"/>
  <c r="K18" i="1"/>
  <c r="N18" i="1"/>
  <c r="L18" i="1"/>
  <c r="P18" i="1" l="1"/>
  <c r="I19" i="1" s="1"/>
  <c r="M19" i="1" l="1"/>
  <c r="J19" i="1"/>
  <c r="K19" i="1"/>
  <c r="N19" i="1"/>
  <c r="O19" i="1"/>
  <c r="L19" i="1"/>
  <c r="P19" i="1" l="1"/>
  <c r="I20" i="1" s="1"/>
  <c r="M20" i="1" l="1"/>
  <c r="O20" i="1"/>
  <c r="N20" i="1"/>
  <c r="J20" i="1"/>
  <c r="K20" i="1"/>
  <c r="L20" i="1"/>
  <c r="P20" i="1" l="1"/>
  <c r="I21" i="1" s="1"/>
  <c r="M21" i="1" l="1"/>
  <c r="K21" i="1"/>
  <c r="J21" i="1"/>
  <c r="N21" i="1"/>
  <c r="L21" i="1"/>
  <c r="O21" i="1"/>
  <c r="P21" i="1" l="1"/>
  <c r="I22" i="1" s="1"/>
  <c r="M22" i="1" l="1"/>
  <c r="J22" i="1"/>
  <c r="L22" i="1"/>
  <c r="N22" i="1"/>
  <c r="K22" i="1"/>
  <c r="O22" i="1"/>
  <c r="P22" i="1" l="1"/>
  <c r="I23" i="1" s="1"/>
  <c r="J23" i="1" l="1"/>
  <c r="M23" i="1"/>
  <c r="N23" i="1"/>
  <c r="K23" i="1"/>
  <c r="L23" i="1"/>
  <c r="O23" i="1"/>
  <c r="P23" i="1" l="1"/>
  <c r="I24" i="1" s="1"/>
  <c r="K24" i="1" l="1"/>
  <c r="M24" i="1"/>
  <c r="O24" i="1"/>
  <c r="N24" i="1"/>
  <c r="J24" i="1"/>
  <c r="L24" i="1"/>
  <c r="P24" i="1" l="1"/>
  <c r="I25" i="1" s="1"/>
  <c r="K25" i="1" s="1"/>
  <c r="O25" i="1" l="1"/>
  <c r="J25" i="1"/>
  <c r="M25" i="1"/>
  <c r="N25" i="1"/>
  <c r="L25" i="1"/>
  <c r="P25" i="1" l="1"/>
  <c r="I26" i="1" s="1"/>
  <c r="L26" i="1" l="1"/>
  <c r="M26" i="1"/>
  <c r="O26" i="1"/>
  <c r="N26" i="1"/>
  <c r="K26" i="1"/>
  <c r="J26" i="1"/>
  <c r="P26" i="1" l="1"/>
  <c r="I27" i="1" s="1"/>
  <c r="L27" i="1" s="1"/>
  <c r="O27" i="1" l="1"/>
  <c r="N27" i="1"/>
  <c r="M27" i="1"/>
  <c r="K27" i="1"/>
  <c r="J27" i="1"/>
  <c r="P27" i="1" l="1"/>
  <c r="I28" i="1" s="1"/>
  <c r="K28" i="1" s="1"/>
  <c r="O28" i="1" l="1"/>
  <c r="M28" i="1"/>
  <c r="J28" i="1"/>
  <c r="N28" i="1"/>
  <c r="L28" i="1"/>
  <c r="P28" i="1" l="1"/>
  <c r="I29" i="1" s="1"/>
  <c r="J29" i="1" s="1"/>
  <c r="O29" i="1" l="1"/>
  <c r="L29" i="1"/>
  <c r="N29" i="1"/>
  <c r="K29" i="1"/>
  <c r="M29" i="1"/>
  <c r="P29" i="1" l="1"/>
  <c r="I30" i="1" s="1"/>
  <c r="L30" i="1" s="1"/>
  <c r="K30" i="1" l="1"/>
  <c r="J30" i="1"/>
  <c r="O30" i="1"/>
  <c r="M30" i="1"/>
  <c r="N30" i="1"/>
  <c r="P30" i="1" l="1"/>
  <c r="I31" i="1" s="1"/>
  <c r="K31" i="1" s="1"/>
  <c r="J31" i="1" l="1"/>
  <c r="O31" i="1"/>
  <c r="L31" i="1"/>
  <c r="N31" i="1"/>
  <c r="M31" i="1"/>
  <c r="P31" i="1" l="1"/>
  <c r="I32" i="1" s="1"/>
  <c r="M32" i="1" s="1"/>
  <c r="O32" i="1" l="1"/>
  <c r="L32" i="1"/>
  <c r="K32" i="1"/>
  <c r="J32" i="1"/>
  <c r="N32" i="1"/>
  <c r="P32" i="1" l="1"/>
  <c r="I33" i="1" s="1"/>
  <c r="L33" i="1" s="1"/>
  <c r="M33" i="1" l="1"/>
  <c r="J33" i="1"/>
  <c r="O33" i="1"/>
  <c r="N33" i="1"/>
  <c r="K33" i="1"/>
  <c r="P33" i="1" l="1"/>
  <c r="I34" i="1" s="1"/>
  <c r="M34" i="1" s="1"/>
  <c r="N34" i="1" l="1"/>
  <c r="J34" i="1"/>
  <c r="K34" i="1"/>
  <c r="L34" i="1"/>
  <c r="O34" i="1"/>
  <c r="P34" i="1" l="1"/>
  <c r="I35" i="1" s="1"/>
  <c r="M35" i="1" s="1"/>
  <c r="K35" i="1" l="1"/>
  <c r="O35" i="1"/>
  <c r="N35" i="1"/>
  <c r="J35" i="1"/>
  <c r="L35" i="1"/>
  <c r="P35" i="1" l="1"/>
  <c r="I36" i="1" s="1"/>
  <c r="M36" i="1" s="1"/>
  <c r="O36" i="1" l="1"/>
  <c r="J36" i="1"/>
  <c r="N36" i="1"/>
  <c r="L36" i="1"/>
  <c r="K36" i="1"/>
  <c r="P36" i="1" l="1"/>
  <c r="I37" i="1" s="1"/>
  <c r="J37" i="1" s="1"/>
  <c r="L37" i="1" l="1"/>
  <c r="M37" i="1"/>
  <c r="O37" i="1"/>
  <c r="N37" i="1"/>
  <c r="K37" i="1"/>
  <c r="P37" i="1" l="1"/>
  <c r="I38" i="1" s="1"/>
  <c r="N38" i="1" s="1"/>
  <c r="K38" i="1" l="1"/>
  <c r="J38" i="1"/>
  <c r="M38" i="1"/>
  <c r="L38" i="1"/>
  <c r="O38" i="1"/>
  <c r="P38" i="1" l="1"/>
  <c r="I39" i="1" s="1"/>
  <c r="L39" i="1" s="1"/>
  <c r="O39" i="1" l="1"/>
  <c r="K39" i="1"/>
  <c r="N39" i="1"/>
  <c r="J39" i="1"/>
  <c r="M39" i="1"/>
  <c r="P39" i="1" l="1"/>
  <c r="I40" i="1" s="1"/>
  <c r="N40" i="1" s="1"/>
  <c r="M40" i="1" l="1"/>
  <c r="O40" i="1"/>
  <c r="J40" i="1"/>
  <c r="L40" i="1"/>
  <c r="K40" i="1"/>
  <c r="P40" i="1" l="1"/>
  <c r="I41" i="1" s="1"/>
  <c r="M41" i="1" s="1"/>
  <c r="J41" i="1" l="1"/>
  <c r="O41" i="1"/>
  <c r="L41" i="1"/>
  <c r="N41" i="1"/>
  <c r="K41" i="1"/>
  <c r="P41" i="1" l="1"/>
  <c r="I42" i="1" s="1"/>
  <c r="N42" i="1" s="1"/>
  <c r="K42" i="1" l="1"/>
  <c r="L42" i="1"/>
  <c r="O42" i="1"/>
  <c r="J42" i="1"/>
  <c r="M42" i="1"/>
  <c r="P42" i="1" l="1"/>
  <c r="I43" i="1" s="1"/>
  <c r="N43" i="1" s="1"/>
  <c r="M43" i="1" l="1"/>
  <c r="L43" i="1"/>
  <c r="O43" i="1"/>
  <c r="K43" i="1"/>
  <c r="J43" i="1"/>
  <c r="P43" i="1" l="1"/>
  <c r="I44" i="1" s="1"/>
  <c r="L44" i="1" s="1"/>
  <c r="N44" i="1" l="1"/>
  <c r="O44" i="1"/>
  <c r="J44" i="1"/>
  <c r="K44" i="1"/>
  <c r="M44" i="1"/>
  <c r="P44" i="1" l="1"/>
  <c r="I45" i="1" s="1"/>
  <c r="L45" i="1" s="1"/>
  <c r="N45" i="1" l="1"/>
  <c r="O45" i="1"/>
  <c r="K45" i="1"/>
  <c r="J45" i="1"/>
  <c r="M45" i="1"/>
  <c r="P45" i="1" l="1"/>
  <c r="I46" i="1" s="1"/>
  <c r="N46" i="1" s="1"/>
  <c r="L46" i="1" l="1"/>
  <c r="K46" i="1"/>
  <c r="J46" i="1"/>
  <c r="O46" i="1"/>
  <c r="M46" i="1"/>
  <c r="P46" i="1" l="1"/>
  <c r="I47" i="1" s="1"/>
  <c r="K47" i="1" s="1"/>
  <c r="O47" i="1" l="1"/>
  <c r="M47" i="1"/>
  <c r="N47" i="1"/>
  <c r="J47" i="1"/>
  <c r="L47" i="1"/>
  <c r="P47" i="1" l="1"/>
  <c r="I48" i="1" s="1"/>
  <c r="N48" i="1" s="1"/>
  <c r="O48" i="1" l="1"/>
  <c r="J48" i="1"/>
  <c r="K48" i="1"/>
  <c r="L48" i="1"/>
  <c r="M48" i="1"/>
  <c r="P48" i="1" l="1"/>
  <c r="I49" i="1" s="1"/>
  <c r="K49" i="1" s="1"/>
  <c r="O49" i="1"/>
  <c r="J49" i="1"/>
  <c r="M49" i="1"/>
  <c r="L49" i="1" l="1"/>
  <c r="N49" i="1"/>
  <c r="P49" i="1" s="1"/>
  <c r="I50" i="1" s="1"/>
  <c r="M50" i="1" s="1"/>
  <c r="N50" i="1" l="1"/>
  <c r="K50" i="1"/>
  <c r="L50" i="1"/>
  <c r="J50" i="1"/>
  <c r="O50" i="1"/>
  <c r="P50" i="1" l="1"/>
  <c r="I51" i="1" s="1"/>
  <c r="L51" i="1" s="1"/>
  <c r="K51" i="1"/>
  <c r="O51" i="1"/>
  <c r="N51" i="1" l="1"/>
  <c r="J51" i="1"/>
  <c r="M51" i="1"/>
  <c r="P51" i="1" s="1"/>
  <c r="I52" i="1" s="1"/>
  <c r="K52" i="1" s="1"/>
  <c r="L52" i="1" l="1"/>
  <c r="J52" i="1"/>
  <c r="N52" i="1"/>
  <c r="M52" i="1"/>
  <c r="O52" i="1"/>
  <c r="P52" i="1" l="1"/>
  <c r="I53" i="1" s="1"/>
  <c r="J53" i="1" s="1"/>
  <c r="K53" i="1" l="1"/>
  <c r="M53" i="1"/>
  <c r="O53" i="1"/>
  <c r="N53" i="1"/>
  <c r="L53" i="1"/>
  <c r="P53" i="1" l="1"/>
  <c r="I54" i="1" s="1"/>
  <c r="K54" i="1" s="1"/>
  <c r="O54" i="1" l="1"/>
  <c r="N54" i="1"/>
  <c r="M54" i="1"/>
  <c r="J54" i="1"/>
  <c r="L54" i="1"/>
  <c r="P54" i="1" l="1"/>
  <c r="I55" i="1" s="1"/>
  <c r="N55" i="1" s="1"/>
  <c r="O55" i="1"/>
  <c r="K55" i="1" l="1"/>
  <c r="M55" i="1"/>
  <c r="L55" i="1"/>
  <c r="J55" i="1"/>
  <c r="P55" i="1" l="1"/>
  <c r="I56" i="1" s="1"/>
  <c r="J56" i="1" s="1"/>
  <c r="M56" i="1" l="1"/>
  <c r="N56" i="1"/>
  <c r="O56" i="1"/>
  <c r="K56" i="1"/>
  <c r="L56" i="1"/>
  <c r="P56" i="1" s="1"/>
  <c r="I57" i="1" s="1"/>
  <c r="M57" i="1" s="1"/>
  <c r="L57" i="1" l="1"/>
  <c r="O57" i="1"/>
  <c r="J57" i="1"/>
  <c r="K57" i="1"/>
  <c r="N57" i="1"/>
  <c r="P57" i="1" l="1"/>
  <c r="I58" i="1" s="1"/>
  <c r="K58" i="1" s="1"/>
  <c r="J58" i="1" l="1"/>
  <c r="M58" i="1"/>
  <c r="N58" i="1"/>
  <c r="O58" i="1"/>
  <c r="L58" i="1"/>
  <c r="P58" i="1" l="1"/>
  <c r="I59" i="1" s="1"/>
  <c r="K59" i="1" s="1"/>
  <c r="N59" i="1" l="1"/>
  <c r="J59" i="1"/>
  <c r="O59" i="1"/>
  <c r="M59" i="1"/>
  <c r="L59" i="1"/>
  <c r="P59" i="1" l="1"/>
  <c r="I60" i="1" s="1"/>
  <c r="K60" i="1" s="1"/>
  <c r="M60" i="1" l="1"/>
  <c r="L60" i="1"/>
  <c r="J60" i="1"/>
  <c r="O60" i="1"/>
  <c r="N60" i="1"/>
  <c r="P60" i="1" l="1"/>
  <c r="I61" i="1" s="1"/>
  <c r="L61" i="1" s="1"/>
  <c r="J61" i="1" l="1"/>
  <c r="K61" i="1"/>
  <c r="N61" i="1"/>
  <c r="O61" i="1"/>
  <c r="M61" i="1"/>
  <c r="P61" i="1" l="1"/>
  <c r="I62" i="1" s="1"/>
  <c r="J62" i="1" s="1"/>
  <c r="O62" i="1"/>
  <c r="M62" i="1" l="1"/>
  <c r="N62" i="1"/>
  <c r="K62" i="1"/>
  <c r="L62" i="1"/>
  <c r="P62" i="1" l="1"/>
  <c r="I63" i="1" s="1"/>
  <c r="N63" i="1" s="1"/>
  <c r="M63" i="1"/>
  <c r="K63" i="1"/>
  <c r="O63" i="1"/>
  <c r="L63" i="1"/>
  <c r="J63" i="1"/>
  <c r="P63" i="1" l="1"/>
  <c r="I64" i="1" s="1"/>
  <c r="J64" i="1" s="1"/>
  <c r="O64" i="1"/>
  <c r="K64" i="1" l="1"/>
  <c r="M64" i="1"/>
  <c r="L64" i="1"/>
  <c r="N64" i="1"/>
  <c r="P64" i="1" l="1"/>
  <c r="I65" i="1" s="1"/>
  <c r="O65" i="1" s="1"/>
  <c r="M65" i="1" l="1"/>
  <c r="N65" i="1"/>
  <c r="J65" i="1"/>
  <c r="L65" i="1"/>
  <c r="K65" i="1"/>
  <c r="P65" i="1" l="1"/>
  <c r="I66" i="1" s="1"/>
  <c r="J66" i="1" s="1"/>
  <c r="L66" i="1"/>
  <c r="M66" i="1"/>
  <c r="N66" i="1"/>
  <c r="K66" i="1"/>
  <c r="O66" i="1"/>
  <c r="P66" i="1" l="1"/>
  <c r="I67" i="1" s="1"/>
  <c r="M67" i="1" s="1"/>
  <c r="O67" i="1" l="1"/>
  <c r="J67" i="1"/>
  <c r="L67" i="1"/>
  <c r="K67" i="1"/>
  <c r="N67" i="1"/>
  <c r="P67" i="1" l="1"/>
  <c r="I68" i="1" s="1"/>
  <c r="K68" i="1"/>
  <c r="O68" i="1"/>
  <c r="J68" i="1"/>
  <c r="M68" i="1"/>
  <c r="L68" i="1"/>
  <c r="N68" i="1"/>
  <c r="P68" i="1" l="1"/>
  <c r="I69" i="1" s="1"/>
  <c r="O69" i="1" s="1"/>
  <c r="J69" i="1" l="1"/>
  <c r="L69" i="1"/>
  <c r="N69" i="1"/>
  <c r="K69" i="1"/>
  <c r="M69" i="1"/>
  <c r="P69" i="1" l="1"/>
  <c r="I70" i="1" s="1"/>
  <c r="N70" i="1" s="1"/>
  <c r="M70" i="1"/>
  <c r="O70" i="1"/>
  <c r="J70" i="1"/>
  <c r="K70" i="1"/>
  <c r="L70" i="1"/>
  <c r="P70" i="1" l="1"/>
  <c r="I71" i="1" s="1"/>
  <c r="K71" i="1" s="1"/>
  <c r="O71" i="1" l="1"/>
  <c r="L71" i="1"/>
  <c r="J71" i="1"/>
  <c r="M71" i="1"/>
  <c r="N71" i="1"/>
  <c r="P71" i="1" l="1"/>
  <c r="I72" i="1" s="1"/>
  <c r="J72" i="1" s="1"/>
  <c r="O72" i="1"/>
  <c r="L72" i="1"/>
  <c r="N72" i="1" l="1"/>
  <c r="M72" i="1"/>
  <c r="K72" i="1"/>
  <c r="P72" i="1" l="1"/>
  <c r="I73" i="1" s="1"/>
  <c r="N73" i="1" s="1"/>
  <c r="M73" i="1"/>
  <c r="L73" i="1" l="1"/>
  <c r="O73" i="1"/>
  <c r="J73" i="1"/>
  <c r="K73" i="1"/>
  <c r="P73" i="1" l="1"/>
  <c r="I74" i="1" s="1"/>
  <c r="N74" i="1" s="1"/>
  <c r="M74" i="1"/>
  <c r="O74" i="1"/>
  <c r="L74" i="1"/>
  <c r="K74" i="1"/>
  <c r="J74" i="1" l="1"/>
  <c r="P74" i="1" s="1"/>
  <c r="I75" i="1" s="1"/>
  <c r="K75" i="1" s="1"/>
  <c r="O75" i="1" l="1"/>
  <c r="J75" i="1"/>
  <c r="N75" i="1"/>
  <c r="M75" i="1"/>
  <c r="L75" i="1"/>
  <c r="P75" i="1" l="1"/>
  <c r="I76" i="1" s="1"/>
  <c r="K76" i="1" s="1"/>
  <c r="O76" i="1" l="1"/>
  <c r="M76" i="1"/>
  <c r="J76" i="1"/>
  <c r="L76" i="1"/>
  <c r="N76" i="1"/>
  <c r="P76" i="1" l="1"/>
  <c r="I77" i="1" s="1"/>
  <c r="L77" i="1" s="1"/>
  <c r="N77" i="1"/>
  <c r="K77" i="1"/>
  <c r="J77" i="1"/>
  <c r="M77" i="1"/>
  <c r="O77" i="1"/>
  <c r="P77" i="1" l="1"/>
  <c r="I78" i="1" s="1"/>
  <c r="M78" i="1" s="1"/>
  <c r="O78" i="1" l="1"/>
  <c r="N78" i="1"/>
  <c r="L78" i="1"/>
  <c r="J78" i="1"/>
  <c r="K78" i="1"/>
  <c r="P78" i="1" l="1"/>
  <c r="I79" i="1" s="1"/>
  <c r="N79" i="1" s="1"/>
  <c r="O79" i="1"/>
  <c r="L79" i="1"/>
  <c r="J79" i="1"/>
  <c r="M79" i="1"/>
  <c r="K79" i="1"/>
  <c r="P79" i="1" l="1"/>
  <c r="I80" i="1" s="1"/>
  <c r="K80" i="1" s="1"/>
  <c r="O80" i="1"/>
  <c r="M80" i="1"/>
  <c r="J80" i="1"/>
  <c r="N80" i="1"/>
  <c r="L80" i="1" l="1"/>
  <c r="P80" i="1"/>
  <c r="I81" i="1" s="1"/>
  <c r="O81" i="1" s="1"/>
  <c r="L81" i="1" l="1"/>
  <c r="N81" i="1"/>
  <c r="J81" i="1"/>
  <c r="M81" i="1"/>
  <c r="K81" i="1"/>
  <c r="P81" i="1" l="1"/>
  <c r="I82" i="1" s="1"/>
  <c r="J82" i="1" s="1"/>
  <c r="N82" i="1" l="1"/>
  <c r="M82" i="1"/>
  <c r="L82" i="1"/>
  <c r="P82" i="1" s="1"/>
  <c r="I83" i="1" s="1"/>
  <c r="K83" i="1" s="1"/>
  <c r="O82" i="1"/>
  <c r="K82" i="1"/>
  <c r="J83" i="1" l="1"/>
  <c r="L83" i="1"/>
  <c r="N83" i="1"/>
  <c r="M83" i="1"/>
  <c r="O83" i="1"/>
  <c r="P83" i="1" l="1"/>
  <c r="I84" i="1" s="1"/>
  <c r="M84" i="1" s="1"/>
  <c r="O84" i="1" l="1"/>
  <c r="K84" i="1"/>
  <c r="N84" i="1"/>
  <c r="L84" i="1"/>
  <c r="J84" i="1"/>
  <c r="P84" i="1" l="1"/>
  <c r="I85" i="1" s="1"/>
  <c r="N85" i="1" s="1"/>
  <c r="J85" i="1" l="1"/>
  <c r="L85" i="1"/>
  <c r="O85" i="1"/>
  <c r="K85" i="1"/>
  <c r="M85" i="1"/>
  <c r="P85" i="1" l="1"/>
  <c r="I86" i="1" s="1"/>
  <c r="K86" i="1" s="1"/>
  <c r="J86" i="1" l="1"/>
  <c r="N86" i="1"/>
  <c r="M86" i="1"/>
  <c r="L86" i="1"/>
  <c r="O86" i="1"/>
  <c r="P86" i="1" l="1"/>
  <c r="I87" i="1" s="1"/>
  <c r="J87" i="1" s="1"/>
  <c r="N87" i="1" l="1"/>
  <c r="K87" i="1"/>
  <c r="L87" i="1"/>
  <c r="O87" i="1"/>
  <c r="M87" i="1"/>
  <c r="P87" i="1" s="1"/>
  <c r="I88" i="1" s="1"/>
  <c r="K88" i="1" s="1"/>
  <c r="M88" i="1" l="1"/>
  <c r="O88" i="1"/>
  <c r="J88" i="1"/>
  <c r="L88" i="1"/>
  <c r="N88" i="1"/>
  <c r="P88" i="1" l="1"/>
  <c r="I89" i="1" s="1"/>
  <c r="J89" i="1" s="1"/>
  <c r="O89" i="1" l="1"/>
  <c r="K89" i="1"/>
  <c r="M89" i="1"/>
  <c r="N89" i="1"/>
  <c r="L89" i="1"/>
  <c r="P89" i="1" l="1"/>
  <c r="I90" i="1" s="1"/>
  <c r="O90" i="1" s="1"/>
  <c r="M90" i="1" l="1"/>
  <c r="K90" i="1"/>
  <c r="J90" i="1"/>
  <c r="L90" i="1"/>
  <c r="N90" i="1"/>
  <c r="P90" i="1" l="1"/>
  <c r="I91" i="1" s="1"/>
  <c r="M91" i="1" s="1"/>
  <c r="O91" i="1" l="1"/>
  <c r="K91" i="1"/>
  <c r="N91" i="1"/>
  <c r="L91" i="1"/>
  <c r="J91" i="1"/>
  <c r="P91" i="1" l="1"/>
  <c r="I92" i="1" s="1"/>
  <c r="L92" i="1" s="1"/>
  <c r="N92" i="1"/>
  <c r="M92" i="1"/>
  <c r="O92" i="1"/>
  <c r="J92" i="1"/>
  <c r="K92" i="1"/>
  <c r="P92" i="1" l="1"/>
  <c r="I93" i="1" s="1"/>
  <c r="M93" i="1" s="1"/>
  <c r="O93" i="1"/>
  <c r="N93" i="1"/>
  <c r="J93" i="1"/>
  <c r="L93" i="1" l="1"/>
  <c r="K93" i="1"/>
  <c r="P93" i="1" s="1"/>
  <c r="I94" i="1" s="1"/>
  <c r="K94" i="1" s="1"/>
  <c r="L94" i="1" l="1"/>
  <c r="N94" i="1"/>
  <c r="M94" i="1"/>
  <c r="J94" i="1"/>
  <c r="O94" i="1"/>
  <c r="P94" i="1" s="1"/>
  <c r="I95" i="1" s="1"/>
  <c r="L95" i="1" s="1"/>
  <c r="J95" i="1" l="1"/>
  <c r="M95" i="1"/>
  <c r="O95" i="1"/>
  <c r="K95" i="1"/>
  <c r="N95" i="1"/>
  <c r="P95" i="1" l="1"/>
  <c r="I96" i="1" s="1"/>
  <c r="N96" i="1" s="1"/>
  <c r="O96" i="1" l="1"/>
  <c r="M96" i="1"/>
  <c r="J96" i="1"/>
  <c r="K96" i="1"/>
  <c r="L96" i="1"/>
  <c r="P96" i="1" l="1"/>
  <c r="I97" i="1" s="1"/>
  <c r="N97" i="1" s="1"/>
  <c r="M97" i="1" l="1"/>
  <c r="O97" i="1"/>
  <c r="K97" i="1"/>
  <c r="L97" i="1"/>
  <c r="J97" i="1"/>
  <c r="P97" i="1" l="1"/>
  <c r="I98" i="1" s="1"/>
  <c r="K98" i="1" s="1"/>
  <c r="O98" i="1" l="1"/>
  <c r="L98" i="1"/>
  <c r="J98" i="1"/>
  <c r="N98" i="1"/>
  <c r="M98" i="1"/>
  <c r="P98" i="1" l="1"/>
  <c r="I99" i="1" s="1"/>
  <c r="L99" i="1" s="1"/>
  <c r="O99" i="1"/>
  <c r="M99" i="1" l="1"/>
  <c r="J99" i="1"/>
  <c r="N99" i="1"/>
  <c r="K99" i="1"/>
  <c r="P99" i="1" l="1"/>
  <c r="I100" i="1" s="1"/>
  <c r="L100" i="1" s="1"/>
  <c r="O100" i="1" l="1"/>
  <c r="M100" i="1"/>
  <c r="K100" i="1"/>
  <c r="J100" i="1"/>
  <c r="N100" i="1"/>
  <c r="P100" i="1" l="1"/>
  <c r="I101" i="1" s="1"/>
  <c r="L101" i="1" s="1"/>
  <c r="M101" i="1"/>
  <c r="K101" i="1"/>
  <c r="O101" i="1" l="1"/>
  <c r="N101" i="1"/>
  <c r="J101" i="1"/>
  <c r="P101" i="1" s="1"/>
  <c r="I102" i="1" s="1"/>
  <c r="K102" i="1" s="1"/>
  <c r="J102" i="1" l="1"/>
  <c r="N102" i="1"/>
  <c r="O102" i="1"/>
  <c r="M102" i="1"/>
  <c r="L102" i="1"/>
  <c r="P102" i="1" l="1"/>
  <c r="I103" i="1" s="1"/>
  <c r="M103" i="1" s="1"/>
  <c r="N103" i="1" l="1"/>
  <c r="L103" i="1"/>
  <c r="O103" i="1"/>
  <c r="J103" i="1"/>
  <c r="K103" i="1"/>
  <c r="P103" i="1" l="1"/>
  <c r="I104" i="1" s="1"/>
  <c r="N104" i="1" s="1"/>
  <c r="O104" i="1"/>
  <c r="J104" i="1" l="1"/>
  <c r="M104" i="1"/>
  <c r="L104" i="1"/>
  <c r="K104" i="1"/>
  <c r="P104" i="1" l="1"/>
  <c r="I105" i="1" s="1"/>
  <c r="L105" i="1" s="1"/>
  <c r="O105" i="1"/>
  <c r="M105" i="1"/>
  <c r="J105" i="1"/>
  <c r="K105" i="1" l="1"/>
  <c r="N105" i="1"/>
  <c r="P105" i="1" l="1"/>
  <c r="I106" i="1" s="1"/>
  <c r="K106" i="1" s="1"/>
  <c r="N106" i="1"/>
  <c r="J106" i="1"/>
  <c r="L106" i="1"/>
  <c r="O106" i="1"/>
  <c r="M106" i="1"/>
  <c r="P106" i="1" l="1"/>
  <c r="I107" i="1" s="1"/>
  <c r="N107" i="1" s="1"/>
  <c r="M107" i="1" l="1"/>
  <c r="O107" i="1"/>
  <c r="K107" i="1"/>
  <c r="J107" i="1"/>
  <c r="L107" i="1"/>
  <c r="P107" i="1" l="1"/>
  <c r="I108" i="1" s="1"/>
  <c r="M108" i="1" s="1"/>
  <c r="N108" i="1" l="1"/>
  <c r="L108" i="1"/>
  <c r="O108" i="1"/>
  <c r="J108" i="1"/>
  <c r="K108" i="1"/>
  <c r="P108" i="1" l="1"/>
  <c r="I109" i="1" s="1"/>
  <c r="N109" i="1" s="1"/>
  <c r="L109" i="1" l="1"/>
  <c r="K109" i="1"/>
  <c r="O109" i="1"/>
  <c r="J109" i="1"/>
  <c r="M109" i="1"/>
  <c r="P109" i="1" l="1"/>
  <c r="I110" i="1" s="1"/>
  <c r="M110" i="1" s="1"/>
  <c r="O110" i="1" l="1"/>
  <c r="K110" i="1"/>
  <c r="N110" i="1"/>
  <c r="J110" i="1"/>
  <c r="L110" i="1"/>
  <c r="P110" i="1" l="1"/>
  <c r="I111" i="1" s="1"/>
  <c r="M111" i="1" s="1"/>
  <c r="O111" i="1" l="1"/>
  <c r="L111" i="1"/>
  <c r="J111" i="1"/>
  <c r="K111" i="1"/>
  <c r="N111" i="1"/>
  <c r="P111" i="1" l="1"/>
  <c r="I112" i="1" s="1"/>
  <c r="M112" i="1" s="1"/>
  <c r="O112" i="1" l="1"/>
  <c r="J112" i="1"/>
  <c r="K112" i="1"/>
  <c r="L112" i="1"/>
  <c r="N112" i="1"/>
  <c r="P112" i="1" l="1"/>
  <c r="I113" i="1" s="1"/>
  <c r="K113" i="1" s="1"/>
  <c r="M113" i="1"/>
  <c r="O113" i="1"/>
  <c r="J113" i="1"/>
  <c r="N113" i="1"/>
  <c r="L113" i="1" l="1"/>
  <c r="P113" i="1"/>
  <c r="I114" i="1" s="1"/>
  <c r="K114" i="1" s="1"/>
  <c r="O114" i="1" l="1"/>
  <c r="J114" i="1"/>
  <c r="M114" i="1"/>
  <c r="L114" i="1"/>
  <c r="N114" i="1"/>
  <c r="P114" i="1" l="1"/>
  <c r="I115" i="1" s="1"/>
  <c r="J115" i="1" s="1"/>
  <c r="M115" i="1" l="1"/>
  <c r="N115" i="1"/>
  <c r="K115" i="1"/>
  <c r="O115" i="1"/>
  <c r="L115" i="1"/>
  <c r="P115" i="1" l="1"/>
  <c r="I116" i="1" s="1"/>
  <c r="K116" i="1"/>
  <c r="O116" i="1"/>
  <c r="N116" i="1"/>
  <c r="M116" i="1"/>
  <c r="J116" i="1"/>
  <c r="L116" i="1"/>
  <c r="P116" i="1" l="1"/>
  <c r="I117" i="1" s="1"/>
  <c r="K117" i="1" s="1"/>
  <c r="M117" i="1" l="1"/>
  <c r="J117" i="1"/>
  <c r="N117" i="1"/>
  <c r="L117" i="1"/>
  <c r="O117" i="1"/>
  <c r="P117" i="1" l="1"/>
  <c r="I118" i="1" s="1"/>
  <c r="N118" i="1" s="1"/>
  <c r="O118" i="1" l="1"/>
  <c r="K118" i="1"/>
  <c r="J118" i="1"/>
  <c r="M118" i="1"/>
  <c r="L118" i="1"/>
  <c r="P118" i="1" l="1"/>
  <c r="I119" i="1" s="1"/>
  <c r="K119" i="1" s="1"/>
  <c r="N119" i="1"/>
  <c r="L119" i="1"/>
  <c r="M119" i="1"/>
  <c r="J119" i="1"/>
  <c r="O119" i="1"/>
  <c r="P119" i="1" l="1"/>
  <c r="I120" i="1" s="1"/>
  <c r="M120" i="1" s="1"/>
  <c r="O120" i="1"/>
  <c r="N120" i="1" l="1"/>
  <c r="J120" i="1"/>
  <c r="K120" i="1"/>
  <c r="L120" i="1"/>
  <c r="P120" i="1" l="1"/>
  <c r="I121" i="1" s="1"/>
  <c r="L121" i="1" s="1"/>
  <c r="M121" i="1"/>
  <c r="O121" i="1" l="1"/>
  <c r="N121" i="1"/>
  <c r="J121" i="1"/>
  <c r="K121" i="1"/>
  <c r="P121" i="1" l="1"/>
  <c r="I122" i="1" s="1"/>
  <c r="J122" i="1" s="1"/>
  <c r="O122" i="1" l="1"/>
  <c r="K122" i="1"/>
  <c r="P122" i="1" s="1"/>
  <c r="I123" i="1" s="1"/>
  <c r="N122" i="1"/>
  <c r="M122" i="1"/>
  <c r="L122" i="1"/>
  <c r="K123" i="1" l="1"/>
  <c r="J123" i="1"/>
  <c r="N123" i="1"/>
  <c r="M123" i="1"/>
  <c r="L123" i="1"/>
  <c r="O123" i="1"/>
  <c r="P123" i="1" s="1"/>
  <c r="I124" i="1" s="1"/>
  <c r="K124" i="1" l="1"/>
  <c r="J124" i="1"/>
  <c r="O124" i="1"/>
  <c r="L124" i="1"/>
  <c r="N124" i="1"/>
  <c r="M124" i="1"/>
  <c r="P124" i="1" l="1"/>
  <c r="I125" i="1" s="1"/>
  <c r="L125" i="1" s="1"/>
  <c r="M125" i="1"/>
  <c r="O125" i="1"/>
  <c r="J125" i="1"/>
  <c r="K125" i="1"/>
  <c r="N125" i="1" l="1"/>
  <c r="P125" i="1" s="1"/>
  <c r="I126" i="1" s="1"/>
  <c r="J126" i="1" s="1"/>
  <c r="C11" i="1"/>
  <c r="B31" i="4" s="1"/>
  <c r="M126" i="1" l="1"/>
  <c r="L126" i="1"/>
  <c r="O126" i="1"/>
  <c r="N126" i="1"/>
  <c r="K126" i="1"/>
  <c r="P126" i="1" l="1"/>
  <c r="I127" i="1" s="1"/>
  <c r="N127" i="1" s="1"/>
  <c r="O127" i="1"/>
  <c r="L127" i="1"/>
  <c r="M127" i="1"/>
  <c r="K127" i="1" l="1"/>
  <c r="J127" i="1"/>
  <c r="P127" i="1"/>
  <c r="I128" i="1" s="1"/>
  <c r="K128" i="1" s="1"/>
  <c r="O128" i="1" l="1"/>
  <c r="J128" i="1"/>
  <c r="L128" i="1"/>
  <c r="N128" i="1"/>
  <c r="M128" i="1"/>
  <c r="P128" i="1" l="1"/>
  <c r="I129" i="1" s="1"/>
  <c r="J129" i="1" s="1"/>
  <c r="O129" i="1"/>
  <c r="K129" i="1" l="1"/>
  <c r="N129" i="1"/>
  <c r="L129" i="1"/>
  <c r="M129" i="1"/>
  <c r="P129" i="1" l="1"/>
  <c r="I130" i="1" s="1"/>
  <c r="J130" i="1" s="1"/>
  <c r="M130" i="1"/>
  <c r="N130" i="1"/>
  <c r="L130" i="1"/>
  <c r="O130" i="1" l="1"/>
  <c r="K130" i="1"/>
  <c r="P130" i="1" l="1"/>
  <c r="I131" i="1" s="1"/>
  <c r="J131" i="1" s="1"/>
  <c r="L131" i="1"/>
  <c r="O131" i="1"/>
  <c r="M131" i="1"/>
  <c r="K131" i="1" l="1"/>
  <c r="N131" i="1"/>
  <c r="P131" i="1" l="1"/>
  <c r="I132" i="1" s="1"/>
  <c r="N132" i="1" s="1"/>
  <c r="M132" i="1"/>
  <c r="O132" i="1"/>
  <c r="L132" i="1"/>
  <c r="J132" i="1"/>
  <c r="K132" i="1"/>
  <c r="P132" i="1" l="1"/>
  <c r="I133" i="1" s="1"/>
  <c r="J133" i="1" s="1"/>
  <c r="O133" i="1"/>
  <c r="L133" i="1" l="1"/>
  <c r="M133" i="1"/>
  <c r="N133" i="1"/>
  <c r="K133" i="1"/>
  <c r="P133" i="1" l="1"/>
  <c r="I134" i="1" s="1"/>
  <c r="O134" i="1" s="1"/>
  <c r="N134" i="1"/>
  <c r="M134" i="1" l="1"/>
  <c r="K134" i="1"/>
  <c r="L134" i="1"/>
  <c r="J134" i="1"/>
  <c r="P134" i="1" l="1"/>
  <c r="I135" i="1" s="1"/>
  <c r="M135" i="1" s="1"/>
  <c r="K135" i="1"/>
  <c r="O135" i="1"/>
  <c r="L135" i="1"/>
  <c r="J135" i="1"/>
  <c r="N135" i="1"/>
  <c r="P135" i="1" l="1"/>
  <c r="I136" i="1" s="1"/>
  <c r="K136" i="1" s="1"/>
  <c r="O136" i="1"/>
  <c r="L136" i="1"/>
  <c r="M136" i="1"/>
  <c r="J136" i="1" l="1"/>
  <c r="N136" i="1"/>
  <c r="P136" i="1"/>
  <c r="I137" i="1" s="1"/>
  <c r="M137" i="1" s="1"/>
  <c r="L137" i="1" l="1"/>
  <c r="N137" i="1"/>
  <c r="J137" i="1"/>
  <c r="K137" i="1"/>
  <c r="O137" i="1"/>
  <c r="P137" i="1" l="1"/>
  <c r="I138" i="1" s="1"/>
  <c r="K138" i="1" l="1"/>
  <c r="J138" i="1"/>
  <c r="O138" i="1"/>
  <c r="N138" i="1"/>
  <c r="M138" i="1"/>
  <c r="L138" i="1"/>
  <c r="P138" i="1" l="1"/>
  <c r="I139" i="1" s="1"/>
  <c r="M139" i="1" s="1"/>
  <c r="L139" i="1" l="1"/>
  <c r="N139" i="1"/>
  <c r="J139" i="1"/>
  <c r="K139" i="1"/>
  <c r="O139" i="1"/>
  <c r="P139" i="1" l="1"/>
  <c r="I140" i="1" s="1"/>
  <c r="M140" i="1" s="1"/>
  <c r="O140" i="1" l="1"/>
  <c r="K140" i="1"/>
  <c r="J140" i="1"/>
  <c r="L140" i="1"/>
  <c r="N140" i="1"/>
  <c r="P140" i="1" l="1"/>
  <c r="I141" i="1" s="1"/>
  <c r="M141" i="1" s="1"/>
  <c r="L141" i="1" l="1"/>
  <c r="N141" i="1"/>
  <c r="O141" i="1"/>
  <c r="K141" i="1"/>
  <c r="J141" i="1"/>
  <c r="P141" i="1" l="1"/>
  <c r="I142" i="1" s="1"/>
  <c r="O142" i="1" s="1"/>
  <c r="M142" i="1" l="1"/>
  <c r="K142" i="1"/>
  <c r="J142" i="1"/>
  <c r="L142" i="1"/>
  <c r="N142" i="1"/>
  <c r="P142" i="1" l="1"/>
  <c r="I143" i="1" s="1"/>
  <c r="J143" i="1" s="1"/>
  <c r="K143" i="1" l="1"/>
  <c r="M143" i="1"/>
  <c r="L143" i="1"/>
  <c r="N143" i="1"/>
  <c r="O143" i="1"/>
  <c r="P143" i="1" l="1"/>
  <c r="I144" i="1" s="1"/>
  <c r="J144" i="1" s="1"/>
  <c r="L144" i="1"/>
  <c r="O144" i="1"/>
  <c r="N144" i="1"/>
  <c r="M144" i="1"/>
  <c r="K144" i="1" l="1"/>
  <c r="P144" i="1"/>
  <c r="I145" i="1" s="1"/>
  <c r="L145" i="1" s="1"/>
  <c r="M145" i="1"/>
  <c r="N145" i="1" l="1"/>
  <c r="O145" i="1"/>
  <c r="K145" i="1"/>
  <c r="J145" i="1"/>
  <c r="P145" i="1" l="1"/>
  <c r="I146" i="1" s="1"/>
  <c r="J146" i="1" s="1"/>
  <c r="L146" i="1"/>
  <c r="N146" i="1"/>
  <c r="M146" i="1"/>
  <c r="O146" i="1" l="1"/>
  <c r="K146" i="1"/>
  <c r="P146" i="1"/>
  <c r="I147" i="1" s="1"/>
  <c r="M147" i="1" s="1"/>
  <c r="L147" i="1"/>
  <c r="K147" i="1"/>
  <c r="J147" i="1"/>
  <c r="N147" i="1"/>
  <c r="O147" i="1"/>
  <c r="P147" i="1" l="1"/>
  <c r="I148" i="1" s="1"/>
  <c r="K148" i="1" s="1"/>
  <c r="O148" i="1"/>
  <c r="M148" i="1" l="1"/>
  <c r="L148" i="1"/>
  <c r="N148" i="1"/>
  <c r="J148" i="1"/>
  <c r="P148" i="1" l="1"/>
  <c r="I149" i="1" s="1"/>
  <c r="L149" i="1" s="1"/>
  <c r="M149" i="1"/>
  <c r="K149" i="1"/>
  <c r="J149" i="1"/>
  <c r="N149" i="1"/>
  <c r="O149" i="1" l="1"/>
  <c r="P149" i="1"/>
  <c r="I150" i="1" s="1"/>
  <c r="N150" i="1" s="1"/>
  <c r="K150" i="1" l="1"/>
  <c r="J150" i="1"/>
  <c r="L150" i="1"/>
  <c r="M150" i="1"/>
  <c r="O150" i="1"/>
  <c r="P150" i="1" l="1"/>
  <c r="I151" i="1" s="1"/>
  <c r="K151" i="1" s="1"/>
  <c r="N151" i="1"/>
  <c r="O151" i="1"/>
  <c r="J151" i="1"/>
  <c r="L151" i="1"/>
  <c r="M151" i="1" l="1"/>
  <c r="P151" i="1"/>
  <c r="I152" i="1" s="1"/>
  <c r="M152" i="1" s="1"/>
  <c r="O152" i="1"/>
  <c r="K152" i="1" l="1"/>
  <c r="J152" i="1"/>
  <c r="N152" i="1"/>
  <c r="L152" i="1"/>
  <c r="P152" i="1" l="1"/>
  <c r="I153" i="1" s="1"/>
  <c r="N153" i="1" s="1"/>
  <c r="M153" i="1"/>
  <c r="O153" i="1"/>
  <c r="L153" i="1"/>
  <c r="K153" i="1" l="1"/>
  <c r="M154" i="1" s="1"/>
  <c r="J153" i="1"/>
  <c r="P153" i="1"/>
  <c r="I154" i="1" s="1"/>
  <c r="L154" i="1" s="1"/>
  <c r="O154" i="1"/>
  <c r="J154" i="1" l="1"/>
  <c r="K154" i="1"/>
  <c r="N154" i="1"/>
  <c r="P154" i="1" l="1"/>
  <c r="I155" i="1" s="1"/>
  <c r="N155" i="1" s="1"/>
  <c r="J155" i="1"/>
  <c r="K155" i="1"/>
  <c r="L155" i="1"/>
  <c r="O155" i="1"/>
  <c r="M155" i="1"/>
  <c r="P155" i="1" l="1"/>
  <c r="I156" i="1" s="1"/>
  <c r="M156" i="1" s="1"/>
  <c r="N156" i="1" l="1"/>
  <c r="O156" i="1"/>
  <c r="J156" i="1"/>
  <c r="K156" i="1"/>
  <c r="L156" i="1"/>
  <c r="P156" i="1" l="1"/>
  <c r="I157" i="1" s="1"/>
  <c r="O157" i="1" s="1"/>
  <c r="M157" i="1"/>
  <c r="N157" i="1"/>
  <c r="L157" i="1" l="1"/>
  <c r="J157" i="1"/>
  <c r="P157" i="1" s="1"/>
  <c r="I158" i="1" s="1"/>
  <c r="K157" i="1"/>
  <c r="N158" i="1" s="1"/>
  <c r="K158" i="1" l="1"/>
  <c r="J158" i="1"/>
  <c r="O158" i="1"/>
  <c r="L158" i="1"/>
  <c r="M158" i="1"/>
  <c r="P158" i="1" s="1"/>
  <c r="I159" i="1" s="1"/>
  <c r="N159" i="1" l="1"/>
  <c r="O159" i="1"/>
  <c r="J159" i="1"/>
  <c r="K159" i="1"/>
  <c r="M159" i="1"/>
  <c r="L159" i="1"/>
  <c r="P159" i="1" l="1"/>
  <c r="I160" i="1" s="1"/>
  <c r="L160" i="1" s="1"/>
  <c r="K160" i="1" l="1"/>
  <c r="N160" i="1"/>
  <c r="M160" i="1"/>
  <c r="O160" i="1"/>
  <c r="J160" i="1"/>
  <c r="P160" i="1" s="1"/>
  <c r="I161" i="1" s="1"/>
  <c r="O161" i="1" l="1"/>
  <c r="N161" i="1"/>
  <c r="L161" i="1"/>
  <c r="J161" i="1"/>
  <c r="K161" i="1"/>
  <c r="M161" i="1"/>
  <c r="P161" i="1" l="1"/>
  <c r="I162" i="1" s="1"/>
  <c r="J162" i="1" s="1"/>
  <c r="L162" i="1"/>
  <c r="M162" i="1"/>
  <c r="N162" i="1"/>
  <c r="O162" i="1"/>
  <c r="K162" i="1"/>
  <c r="P162" i="1" l="1"/>
  <c r="I163" i="1" s="1"/>
  <c r="M163" i="1" s="1"/>
  <c r="O163" i="1"/>
  <c r="K163" i="1" l="1"/>
  <c r="J163" i="1"/>
  <c r="P163" i="1" s="1"/>
  <c r="I164" i="1" s="1"/>
  <c r="K164" i="1" s="1"/>
  <c r="N163" i="1"/>
  <c r="L163" i="1"/>
  <c r="M164" i="1" l="1"/>
  <c r="L164" i="1"/>
  <c r="J164" i="1"/>
  <c r="P164" i="1" s="1"/>
  <c r="I165" i="1" s="1"/>
  <c r="N165" i="1" s="1"/>
  <c r="N164" i="1"/>
  <c r="O164" i="1"/>
  <c r="L165" i="1" l="1"/>
  <c r="O165" i="1"/>
  <c r="M165" i="1"/>
  <c r="J165" i="1"/>
  <c r="K165" i="1"/>
  <c r="P165" i="1" l="1"/>
  <c r="I166" i="1" s="1"/>
  <c r="L166" i="1" s="1"/>
  <c r="O166" i="1" l="1"/>
  <c r="M166" i="1"/>
  <c r="N166" i="1"/>
  <c r="J166" i="1"/>
  <c r="K166" i="1"/>
  <c r="P166" i="1" l="1"/>
  <c r="I167" i="1" s="1"/>
  <c r="J167" i="1" s="1"/>
  <c r="O167" i="1"/>
  <c r="L167" i="1"/>
  <c r="M167" i="1"/>
  <c r="K167" i="1" l="1"/>
  <c r="N167" i="1"/>
  <c r="P167" i="1" l="1"/>
  <c r="I168" i="1" s="1"/>
  <c r="J168" i="1" s="1"/>
  <c r="L168" i="1"/>
  <c r="M168" i="1" l="1"/>
  <c r="N168" i="1"/>
  <c r="K168" i="1"/>
  <c r="O168" i="1"/>
  <c r="P168" i="1" l="1"/>
  <c r="I169" i="1" s="1"/>
  <c r="O169" i="1" s="1"/>
  <c r="J169" i="1"/>
  <c r="L169" i="1"/>
  <c r="K169" i="1"/>
  <c r="M169" i="1"/>
  <c r="N169" i="1" l="1"/>
  <c r="P169" i="1" s="1"/>
  <c r="I170" i="1" s="1"/>
  <c r="L170" i="1" l="1"/>
  <c r="M170" i="1"/>
  <c r="K170" i="1"/>
  <c r="J170" i="1"/>
  <c r="O170" i="1"/>
  <c r="N170" i="1"/>
  <c r="P170" i="1" l="1"/>
  <c r="I171" i="1" s="1"/>
  <c r="L171" i="1" l="1"/>
  <c r="K171" i="1"/>
  <c r="J171" i="1"/>
  <c r="O171" i="1"/>
  <c r="M171" i="1"/>
  <c r="N171" i="1"/>
  <c r="P171" i="1" l="1"/>
  <c r="I172" i="1" s="1"/>
  <c r="K172" i="1" l="1"/>
  <c r="M172" i="1"/>
  <c r="L172" i="1"/>
  <c r="N172" i="1"/>
  <c r="O172" i="1"/>
  <c r="L173" i="1" s="1"/>
  <c r="J172" i="1"/>
  <c r="P172" i="1" s="1"/>
  <c r="I173" i="1" s="1"/>
  <c r="K173" i="1" l="1"/>
  <c r="O173" i="1"/>
  <c r="M174" i="1" s="1"/>
  <c r="J173" i="1"/>
  <c r="N173" i="1"/>
  <c r="M173" i="1"/>
  <c r="P173" i="1" s="1"/>
  <c r="I174" i="1" s="1"/>
  <c r="L174" i="1" l="1"/>
  <c r="J174" i="1"/>
  <c r="P174" i="1" s="1"/>
  <c r="I175" i="1" s="1"/>
  <c r="O175" i="1" s="1"/>
  <c r="O174" i="1"/>
  <c r="N174" i="1"/>
  <c r="K174" i="1"/>
  <c r="K175" i="1" l="1"/>
  <c r="J175" i="1"/>
  <c r="L175" i="1"/>
  <c r="M175" i="1"/>
  <c r="N175" i="1"/>
  <c r="P175" i="1" s="1"/>
  <c r="I176" i="1" s="1"/>
  <c r="J176" i="1" l="1"/>
  <c r="N176" i="1"/>
  <c r="K176" i="1"/>
  <c r="O176" i="1"/>
  <c r="L176" i="1"/>
  <c r="M176" i="1"/>
  <c r="AC4" i="1"/>
  <c r="P176" i="1" l="1"/>
  <c r="I177" i="1" s="1"/>
  <c r="N177" i="1" s="1"/>
  <c r="M177" i="1"/>
  <c r="O177" i="1"/>
  <c r="K177" i="1"/>
  <c r="J177" i="1"/>
  <c r="L177" i="1" l="1"/>
  <c r="P177" i="1"/>
  <c r="I178" i="1" s="1"/>
  <c r="N178" i="1" s="1"/>
  <c r="AC5" i="1"/>
  <c r="K178" i="1" l="1"/>
  <c r="O178" i="1"/>
  <c r="P178" i="1" s="1"/>
  <c r="I179" i="1" s="1"/>
  <c r="L179" i="1" s="1"/>
  <c r="M178" i="1"/>
  <c r="J178" i="1"/>
  <c r="L178" i="1"/>
  <c r="AC6" i="1"/>
  <c r="M179" i="1" l="1"/>
  <c r="N179" i="1"/>
  <c r="J179" i="1"/>
  <c r="O179" i="1"/>
  <c r="K179" i="1"/>
  <c r="P179" i="1" l="1"/>
  <c r="I180" i="1" s="1"/>
  <c r="J180" i="1" s="1"/>
  <c r="O180" i="1"/>
  <c r="M180" i="1" l="1"/>
  <c r="N180" i="1"/>
  <c r="L180" i="1"/>
  <c r="K180" i="1"/>
  <c r="P180" i="1" l="1"/>
  <c r="I181" i="1" s="1"/>
  <c r="K181" i="1" s="1"/>
  <c r="M181" i="1"/>
  <c r="O181" i="1"/>
  <c r="L181" i="1"/>
  <c r="J181" i="1"/>
  <c r="AC7" i="1"/>
  <c r="N181" i="1" l="1"/>
  <c r="P181" i="1"/>
  <c r="I182" i="1" s="1"/>
  <c r="K182" i="1" s="1"/>
  <c r="O182" i="1"/>
  <c r="L182" i="1"/>
  <c r="N182" i="1"/>
  <c r="M182" i="1" l="1"/>
  <c r="J182" i="1"/>
  <c r="AC8" i="1"/>
  <c r="P182" i="1" l="1"/>
  <c r="I183" i="1" s="1"/>
  <c r="J183" i="1"/>
  <c r="N183" i="1"/>
  <c r="M183" i="1"/>
  <c r="K183" i="1"/>
  <c r="L183" i="1"/>
  <c r="O183" i="1"/>
  <c r="P183" i="1" s="1"/>
  <c r="I184" i="1" s="1"/>
  <c r="M184" i="1" l="1"/>
  <c r="L184" i="1"/>
  <c r="K184" i="1"/>
  <c r="O184" i="1"/>
  <c r="J184" i="1"/>
  <c r="N184" i="1"/>
  <c r="AC9" i="1"/>
  <c r="P184" i="1" l="1"/>
  <c r="I185" i="1" s="1"/>
  <c r="L185" i="1" s="1"/>
  <c r="O185" i="1" l="1"/>
  <c r="N185" i="1"/>
  <c r="J185" i="1"/>
  <c r="K185" i="1"/>
  <c r="M185" i="1"/>
  <c r="P185" i="1" s="1"/>
  <c r="I186" i="1" s="1"/>
  <c r="AC10" i="1"/>
  <c r="L186" i="1" l="1"/>
  <c r="N186" i="1"/>
  <c r="M186" i="1"/>
  <c r="J186" i="1"/>
  <c r="K186" i="1"/>
  <c r="O186" i="1"/>
  <c r="AC11" i="1"/>
  <c r="P186" i="1" l="1"/>
  <c r="I187" i="1" s="1"/>
  <c r="L187" i="1" s="1"/>
  <c r="M187" i="1"/>
  <c r="O187" i="1"/>
  <c r="J187" i="1"/>
  <c r="N187" i="1" l="1"/>
  <c r="K187" i="1"/>
  <c r="AC12" i="1"/>
  <c r="P187" i="1" l="1"/>
  <c r="I188" i="1" s="1"/>
  <c r="J188" i="1"/>
  <c r="O188" i="1"/>
  <c r="N188" i="1"/>
  <c r="K188" i="1"/>
  <c r="M188" i="1"/>
  <c r="L188" i="1"/>
  <c r="P188" i="1" l="1"/>
  <c r="I189" i="1" s="1"/>
  <c r="O189" i="1"/>
  <c r="J189" i="1"/>
  <c r="K189" i="1"/>
  <c r="L189" i="1"/>
  <c r="N189" i="1"/>
  <c r="M189" i="1"/>
  <c r="P189" i="1"/>
  <c r="I190" i="1" s="1"/>
  <c r="J190" i="1" s="1"/>
  <c r="AC13" i="1"/>
  <c r="N190" i="1" l="1"/>
  <c r="L190" i="1"/>
  <c r="M190" i="1"/>
  <c r="K190" i="1"/>
  <c r="O190" i="1"/>
  <c r="P190" i="1" l="1"/>
  <c r="I191" i="1" s="1"/>
  <c r="J191" i="1" s="1"/>
  <c r="L191" i="1" l="1"/>
  <c r="K191" i="1"/>
  <c r="O191" i="1"/>
  <c r="M191" i="1"/>
  <c r="N191" i="1"/>
  <c r="P191" i="1" l="1"/>
  <c r="I192" i="1" s="1"/>
  <c r="N192" i="1"/>
  <c r="O192" i="1"/>
  <c r="K192" i="1"/>
  <c r="L192" i="1"/>
  <c r="J192" i="1"/>
  <c r="M192" i="1"/>
  <c r="P192" i="1" s="1"/>
  <c r="I193" i="1" s="1"/>
  <c r="M193" i="1" l="1"/>
  <c r="O193" i="1"/>
  <c r="N193" i="1"/>
  <c r="L193" i="1"/>
  <c r="J193" i="1"/>
  <c r="K193" i="1"/>
  <c r="AC14" i="1"/>
  <c r="P193" i="1" l="1"/>
  <c r="I194" i="1" s="1"/>
  <c r="M194" i="1" s="1"/>
  <c r="L194" i="1" l="1"/>
  <c r="N194" i="1"/>
  <c r="J194" i="1"/>
  <c r="O194" i="1"/>
  <c r="K194" i="1"/>
  <c r="AC16" i="1"/>
  <c r="P194" i="1" l="1"/>
  <c r="I195" i="1" s="1"/>
  <c r="K195" i="1" s="1"/>
  <c r="M195" i="1"/>
  <c r="J195" i="1"/>
  <c r="L195" i="1"/>
  <c r="AC15" i="1"/>
  <c r="N195" i="1" l="1"/>
  <c r="O195" i="1"/>
  <c r="P195" i="1"/>
  <c r="I196" i="1" s="1"/>
  <c r="M196" i="1" s="1"/>
  <c r="O196" i="1"/>
  <c r="K196" i="1" l="1"/>
  <c r="N196" i="1"/>
  <c r="J196" i="1"/>
  <c r="L196" i="1"/>
  <c r="AC18" i="1"/>
  <c r="P196" i="1" l="1"/>
  <c r="I197" i="1" s="1"/>
  <c r="L197" i="1" s="1"/>
  <c r="N197" i="1" l="1"/>
  <c r="O197" i="1"/>
  <c r="J197" i="1"/>
  <c r="K197" i="1"/>
  <c r="M197" i="1"/>
  <c r="AC17" i="1"/>
  <c r="P197" i="1" l="1"/>
  <c r="I198" i="1" s="1"/>
  <c r="N198" i="1"/>
  <c r="O198" i="1"/>
  <c r="L198" i="1"/>
  <c r="M198" i="1"/>
  <c r="J198" i="1"/>
  <c r="K198" i="1"/>
  <c r="AC19" i="1"/>
  <c r="P198" i="1" l="1"/>
  <c r="I199" i="1" s="1"/>
  <c r="N199" i="1" s="1"/>
  <c r="L199" i="1" l="1"/>
  <c r="K199" i="1"/>
  <c r="M199" i="1"/>
  <c r="O199" i="1"/>
  <c r="J199" i="1"/>
  <c r="P199" i="1" l="1"/>
  <c r="I200" i="1" s="1"/>
  <c r="J200" i="1" s="1"/>
  <c r="AC20" i="1"/>
  <c r="O200" i="1" l="1"/>
  <c r="K200" i="1"/>
  <c r="L200" i="1"/>
  <c r="N200" i="1"/>
  <c r="M200" i="1"/>
  <c r="P200" i="1" l="1"/>
  <c r="I201" i="1" s="1"/>
  <c r="K201" i="1" s="1"/>
  <c r="M201" i="1"/>
  <c r="N201" i="1"/>
  <c r="J201" i="1"/>
  <c r="O201" i="1"/>
  <c r="L201" i="1"/>
  <c r="P201" i="1" l="1"/>
  <c r="I202" i="1" s="1"/>
  <c r="J202" i="1" s="1"/>
  <c r="O202" i="1" l="1"/>
  <c r="M202" i="1"/>
  <c r="N202" i="1"/>
  <c r="K202" i="1"/>
  <c r="L202" i="1"/>
  <c r="P202" i="1" l="1"/>
  <c r="I203" i="1" s="1"/>
  <c r="K203" i="1" s="1"/>
  <c r="AC21" i="1"/>
  <c r="M203" i="1" l="1"/>
  <c r="N203" i="1"/>
  <c r="L203" i="1"/>
  <c r="J203" i="1"/>
  <c r="O203" i="1"/>
  <c r="P203" i="1" l="1"/>
  <c r="I204" i="1" s="1"/>
  <c r="M204" i="1" s="1"/>
  <c r="N204" i="1"/>
  <c r="K204" i="1"/>
  <c r="O204" i="1"/>
  <c r="J204" i="1"/>
  <c r="L204" i="1"/>
  <c r="AC22" i="1"/>
  <c r="P204" i="1" l="1"/>
  <c r="I205" i="1" s="1"/>
  <c r="N205" i="1" s="1"/>
  <c r="L205" i="1" l="1"/>
  <c r="J205" i="1"/>
  <c r="K205" i="1"/>
  <c r="M205" i="1"/>
  <c r="O205" i="1"/>
  <c r="P205" i="1" l="1"/>
  <c r="I206" i="1" s="1"/>
  <c r="J206" i="1" s="1"/>
  <c r="AC23" i="1"/>
  <c r="L206" i="1" l="1"/>
  <c r="M206" i="1"/>
  <c r="N206" i="1"/>
  <c r="O206" i="1"/>
  <c r="K206" i="1"/>
  <c r="P206" i="1" l="1"/>
  <c r="I207" i="1" s="1"/>
  <c r="L207" i="1" s="1"/>
  <c r="M207" i="1" l="1"/>
  <c r="O207" i="1"/>
  <c r="N207" i="1"/>
  <c r="J207" i="1"/>
  <c r="K207" i="1"/>
  <c r="AC24" i="1"/>
  <c r="P207" i="1" l="1"/>
  <c r="I208" i="1" s="1"/>
  <c r="M208" i="1" s="1"/>
  <c r="N208" i="1"/>
  <c r="O208" i="1"/>
  <c r="L208" i="1"/>
  <c r="K208" i="1"/>
  <c r="J208" i="1" l="1"/>
  <c r="P208" i="1"/>
  <c r="I209" i="1" s="1"/>
  <c r="L209" i="1" s="1"/>
  <c r="K209" i="1" l="1"/>
  <c r="M209" i="1"/>
  <c r="O209" i="1"/>
  <c r="J209" i="1"/>
  <c r="N209" i="1"/>
  <c r="AC25" i="1"/>
  <c r="AC26" i="1"/>
  <c r="P209" i="1" l="1"/>
  <c r="I210" i="1" s="1"/>
  <c r="L210" i="1" s="1"/>
  <c r="K210" i="1" l="1"/>
  <c r="J210" i="1"/>
  <c r="O210" i="1"/>
  <c r="N210" i="1"/>
  <c r="M210" i="1"/>
  <c r="P210" i="1" l="1"/>
  <c r="I211" i="1" s="1"/>
  <c r="M211" i="1" s="1"/>
  <c r="O211" i="1"/>
  <c r="J211" i="1" l="1"/>
  <c r="K211" i="1"/>
  <c r="L211" i="1"/>
  <c r="N211" i="1"/>
  <c r="P211" i="1" l="1"/>
  <c r="I212" i="1" s="1"/>
  <c r="L212" i="1" s="1"/>
  <c r="O212" i="1"/>
  <c r="M212" i="1"/>
  <c r="N212" i="1"/>
  <c r="AC27" i="1"/>
  <c r="J212" i="1" l="1"/>
  <c r="K212" i="1"/>
  <c r="P212" i="1" l="1"/>
  <c r="I213" i="1" s="1"/>
  <c r="K213" i="1" s="1"/>
  <c r="O213" i="1"/>
  <c r="J213" i="1"/>
  <c r="AC28" i="1"/>
  <c r="L213" i="1" l="1"/>
  <c r="N213" i="1"/>
  <c r="M213" i="1"/>
  <c r="P213" i="1" l="1"/>
  <c r="I214" i="1" s="1"/>
  <c r="K214" i="1" s="1"/>
  <c r="N214" i="1"/>
  <c r="L214" i="1"/>
  <c r="O214" i="1"/>
  <c r="J214" i="1"/>
  <c r="M214" i="1"/>
  <c r="AC29" i="1"/>
  <c r="P214" i="1" l="1"/>
  <c r="I215" i="1" s="1"/>
  <c r="L215" i="1" s="1"/>
  <c r="M215" i="1"/>
  <c r="O215" i="1"/>
  <c r="N215" i="1" l="1"/>
  <c r="J215" i="1"/>
  <c r="K215" i="1"/>
  <c r="P215" i="1" l="1"/>
  <c r="I216" i="1" s="1"/>
  <c r="K216" i="1" s="1"/>
  <c r="O216" i="1"/>
  <c r="AC30" i="1"/>
  <c r="N216" i="1" l="1"/>
  <c r="J216" i="1"/>
  <c r="M216" i="1"/>
  <c r="L216" i="1"/>
  <c r="P216" i="1" l="1"/>
  <c r="I217" i="1" s="1"/>
  <c r="J217" i="1" s="1"/>
  <c r="O217" i="1"/>
  <c r="M217" i="1"/>
  <c r="AC31" i="1"/>
  <c r="L217" i="1" l="1"/>
  <c r="K217" i="1"/>
  <c r="N217" i="1"/>
  <c r="P217" i="1" s="1"/>
  <c r="I218" i="1" s="1"/>
  <c r="J218" i="1" l="1"/>
  <c r="O218" i="1"/>
  <c r="M218" i="1"/>
  <c r="K218" i="1"/>
  <c r="N218" i="1"/>
  <c r="L218" i="1"/>
  <c r="P218" i="1"/>
  <c r="I219" i="1" s="1"/>
  <c r="J219" i="1" s="1"/>
  <c r="O219" i="1"/>
  <c r="K219" i="1"/>
  <c r="N219" i="1"/>
  <c r="L219" i="1"/>
  <c r="M219" i="1" l="1"/>
  <c r="P219" i="1"/>
  <c r="I220" i="1" s="1"/>
  <c r="J220" i="1" s="1"/>
  <c r="O220" i="1"/>
  <c r="AC32" i="1"/>
  <c r="AC33" i="1"/>
  <c r="K220" i="1" l="1"/>
  <c r="N220" i="1"/>
  <c r="M220" i="1"/>
  <c r="L220" i="1"/>
  <c r="P220" i="1" l="1"/>
  <c r="I221" i="1" s="1"/>
  <c r="L221" i="1" s="1"/>
  <c r="J221" i="1" l="1"/>
  <c r="K221" i="1"/>
  <c r="O221" i="1"/>
  <c r="M221" i="1"/>
  <c r="N221" i="1"/>
  <c r="AC35" i="1"/>
  <c r="P221" i="1" l="1"/>
  <c r="I222" i="1" s="1"/>
  <c r="L222" i="1"/>
  <c r="N222" i="1"/>
  <c r="O222" i="1"/>
  <c r="J222" i="1"/>
  <c r="K222" i="1"/>
  <c r="M222" i="1"/>
  <c r="AC34" i="1"/>
  <c r="P222" i="1" l="1"/>
  <c r="I223" i="1" s="1"/>
  <c r="O223" i="1" s="1"/>
  <c r="L223" i="1"/>
  <c r="K223" i="1"/>
  <c r="J223" i="1"/>
  <c r="N223" i="1"/>
  <c r="M223" i="1"/>
  <c r="P223" i="1" l="1"/>
  <c r="I224" i="1" s="1"/>
  <c r="N224" i="1" s="1"/>
  <c r="L224" i="1"/>
  <c r="M224" i="1" l="1"/>
  <c r="K224" i="1"/>
  <c r="O224" i="1"/>
  <c r="J224" i="1"/>
  <c r="AC37" i="1"/>
  <c r="P224" i="1" l="1"/>
  <c r="I225" i="1" s="1"/>
  <c r="M225" i="1"/>
  <c r="J225" i="1"/>
  <c r="O225" i="1"/>
  <c r="N225" i="1"/>
  <c r="K225" i="1"/>
  <c r="L225" i="1"/>
  <c r="P225" i="1" l="1"/>
  <c r="I226" i="1" s="1"/>
  <c r="N226" i="1" s="1"/>
  <c r="L226" i="1"/>
  <c r="M226" i="1"/>
  <c r="K226" i="1"/>
  <c r="J226" i="1"/>
  <c r="O226" i="1"/>
  <c r="P226" i="1" l="1"/>
  <c r="I227" i="1" s="1"/>
  <c r="K227" i="1" s="1"/>
  <c r="AC36" i="1"/>
  <c r="N227" i="1" l="1"/>
  <c r="J227" i="1"/>
  <c r="O227" i="1"/>
  <c r="M227" i="1"/>
  <c r="L227" i="1"/>
  <c r="P227" i="1" l="1"/>
  <c r="I228" i="1" s="1"/>
  <c r="M228" i="1" s="1"/>
  <c r="O228" i="1"/>
  <c r="L228" i="1" l="1"/>
  <c r="N228" i="1"/>
  <c r="K228" i="1"/>
  <c r="J228" i="1"/>
  <c r="P228" i="1"/>
  <c r="I229" i="1" s="1"/>
  <c r="L229" i="1" s="1"/>
  <c r="O229" i="1" l="1"/>
  <c r="M229" i="1"/>
  <c r="J229" i="1"/>
  <c r="N229" i="1"/>
  <c r="K229" i="1"/>
  <c r="AC40" i="1"/>
  <c r="P229" i="1" l="1"/>
  <c r="I230" i="1" s="1"/>
  <c r="K230" i="1" s="1"/>
  <c r="M230" i="1"/>
  <c r="O230" i="1"/>
  <c r="L230" i="1"/>
  <c r="N230" i="1"/>
  <c r="J230" i="1"/>
  <c r="AC38" i="1"/>
  <c r="P230" i="1" l="1"/>
  <c r="I231" i="1" s="1"/>
  <c r="N231" i="1" s="1"/>
  <c r="AC41" i="1"/>
  <c r="O231" i="1" l="1"/>
  <c r="L231" i="1"/>
  <c r="K231" i="1"/>
  <c r="J231" i="1"/>
  <c r="M231" i="1"/>
  <c r="P231" i="1" s="1"/>
  <c r="I232" i="1" s="1"/>
  <c r="J232" i="1" s="1"/>
  <c r="AC39" i="1"/>
  <c r="M232" i="1" l="1"/>
  <c r="N232" i="1"/>
  <c r="O232" i="1"/>
  <c r="K232" i="1"/>
  <c r="L232" i="1"/>
  <c r="P232" i="1" l="1"/>
  <c r="I233" i="1" s="1"/>
  <c r="L233" i="1" s="1"/>
  <c r="N233" i="1" l="1"/>
  <c r="M233" i="1"/>
  <c r="K233" i="1"/>
  <c r="J233" i="1"/>
  <c r="O233" i="1"/>
  <c r="P233" i="1" l="1"/>
  <c r="I234" i="1" s="1"/>
  <c r="L234" i="1" s="1"/>
  <c r="O234" i="1" l="1"/>
  <c r="N234" i="1"/>
  <c r="J234" i="1"/>
  <c r="K234" i="1"/>
  <c r="M234" i="1"/>
  <c r="P234" i="1" l="1"/>
  <c r="I235" i="1" s="1"/>
  <c r="K235" i="1" s="1"/>
  <c r="J235" i="1"/>
  <c r="L235" i="1"/>
  <c r="N235" i="1"/>
  <c r="M235" i="1"/>
  <c r="O235" i="1" l="1"/>
  <c r="P235" i="1" s="1"/>
  <c r="I236" i="1" s="1"/>
  <c r="J236" i="1" s="1"/>
  <c r="AC42" i="1"/>
  <c r="O236" i="1" l="1"/>
  <c r="N236" i="1"/>
  <c r="M236" i="1"/>
  <c r="K236" i="1"/>
  <c r="L236" i="1"/>
  <c r="P236" i="1" l="1"/>
  <c r="I237" i="1" s="1"/>
  <c r="M237" i="1" s="1"/>
  <c r="AC43" i="1"/>
  <c r="L237" i="1" l="1"/>
  <c r="O237" i="1"/>
  <c r="J237" i="1"/>
  <c r="K237" i="1"/>
  <c r="N237" i="1"/>
  <c r="P237" i="1" l="1"/>
  <c r="I238" i="1" s="1"/>
  <c r="M238" i="1" s="1"/>
  <c r="AC44" i="1"/>
  <c r="AC46" i="1"/>
  <c r="N238" i="1" l="1"/>
  <c r="K238" i="1"/>
  <c r="O238" i="1"/>
  <c r="J238" i="1"/>
  <c r="L238" i="1"/>
  <c r="P238" i="1" l="1"/>
  <c r="I239" i="1" s="1"/>
  <c r="L239" i="1" s="1"/>
  <c r="AC45" i="1"/>
  <c r="AC47" i="1"/>
  <c r="O239" i="1" l="1"/>
  <c r="J239" i="1"/>
  <c r="K239" i="1"/>
  <c r="N239" i="1"/>
  <c r="M239" i="1"/>
  <c r="P239" i="1" l="1"/>
  <c r="I240" i="1" s="1"/>
  <c r="L240" i="1"/>
  <c r="O240" i="1"/>
  <c r="M240" i="1"/>
  <c r="K240" i="1"/>
  <c r="J240" i="1"/>
  <c r="N240" i="1"/>
  <c r="AC48" i="1"/>
  <c r="P240" i="1" l="1"/>
  <c r="I241" i="1" s="1"/>
  <c r="J241" i="1" s="1"/>
  <c r="O241" i="1"/>
  <c r="M241" i="1"/>
  <c r="N241" i="1" l="1"/>
  <c r="L241" i="1"/>
  <c r="K241" i="1"/>
  <c r="P241" i="1" l="1"/>
  <c r="I242" i="1" s="1"/>
  <c r="K242" i="1" s="1"/>
  <c r="M242" i="1"/>
  <c r="O242" i="1"/>
  <c r="N242" i="1"/>
  <c r="L242" i="1"/>
  <c r="AC49" i="1"/>
  <c r="J242" i="1" l="1"/>
  <c r="P242" i="1"/>
  <c r="I243" i="1" s="1"/>
  <c r="N243" i="1" s="1"/>
  <c r="M243" i="1"/>
  <c r="L243" i="1"/>
  <c r="O243" i="1" l="1"/>
  <c r="J243" i="1"/>
  <c r="K243" i="1"/>
  <c r="P243" i="1" s="1"/>
  <c r="I244" i="1" s="1"/>
  <c r="AC50" i="1"/>
  <c r="K244" i="1" l="1"/>
  <c r="M244" i="1"/>
  <c r="O244" i="1"/>
  <c r="J244" i="1"/>
  <c r="N244" i="1"/>
  <c r="L244" i="1"/>
  <c r="P244" i="1" l="1"/>
  <c r="I245" i="1" s="1"/>
  <c r="J245" i="1" s="1"/>
  <c r="O245" i="1"/>
  <c r="L245" i="1" l="1"/>
  <c r="M245" i="1"/>
  <c r="N245" i="1"/>
  <c r="K245" i="1"/>
  <c r="AC51" i="1"/>
  <c r="P245" i="1" l="1"/>
  <c r="I246" i="1" s="1"/>
  <c r="M246" i="1" s="1"/>
  <c r="L246" i="1"/>
  <c r="J246" i="1"/>
  <c r="O246" i="1"/>
  <c r="N246" i="1" l="1"/>
  <c r="K246" i="1"/>
  <c r="P246" i="1" s="1"/>
  <c r="I247" i="1" s="1"/>
  <c r="AC52" i="1"/>
  <c r="K247" i="1" l="1"/>
  <c r="O247" i="1"/>
  <c r="J247" i="1"/>
  <c r="N247" i="1"/>
  <c r="L247" i="1"/>
  <c r="M247" i="1"/>
  <c r="P247" i="1" l="1"/>
  <c r="I248" i="1" s="1"/>
  <c r="K248" i="1" s="1"/>
  <c r="AC53" i="1"/>
  <c r="O248" i="1" l="1"/>
  <c r="N248" i="1"/>
  <c r="M248" i="1"/>
  <c r="J248" i="1"/>
  <c r="L248" i="1"/>
  <c r="P248" i="1" l="1"/>
  <c r="I249" i="1" s="1"/>
  <c r="K249" i="1" s="1"/>
  <c r="M249" i="1"/>
  <c r="O249" i="1"/>
  <c r="N249" i="1"/>
  <c r="L249" i="1"/>
  <c r="AC54" i="1"/>
  <c r="J249" i="1" l="1"/>
  <c r="P249" i="1"/>
  <c r="I250" i="1" s="1"/>
  <c r="M250" i="1" s="1"/>
  <c r="O250" i="1" l="1"/>
  <c r="K250" i="1"/>
  <c r="J250" i="1"/>
  <c r="L250" i="1"/>
  <c r="N250" i="1"/>
  <c r="AC55" i="1"/>
  <c r="P250" i="1" l="1"/>
  <c r="I251" i="1" s="1"/>
  <c r="J251" i="1" s="1"/>
  <c r="L251" i="1"/>
  <c r="K251" i="1"/>
  <c r="O251" i="1"/>
  <c r="M251" i="1"/>
  <c r="N251" i="1" l="1"/>
  <c r="P251" i="1"/>
  <c r="I252" i="1" s="1"/>
  <c r="N252" i="1" s="1"/>
  <c r="AC56" i="1"/>
  <c r="M252" i="1" l="1"/>
  <c r="O252" i="1"/>
  <c r="J252" i="1"/>
  <c r="K252" i="1"/>
  <c r="L252" i="1"/>
  <c r="P252" i="1" l="1"/>
  <c r="I253" i="1" s="1"/>
  <c r="J253" i="1" s="1"/>
  <c r="AC57" i="1"/>
  <c r="N253" i="1" l="1"/>
  <c r="K253" i="1"/>
  <c r="O253" i="1"/>
  <c r="M253" i="1"/>
  <c r="L253" i="1"/>
  <c r="P253" i="1" l="1"/>
  <c r="I254" i="1" s="1"/>
  <c r="L254" i="1" s="1"/>
  <c r="O254" i="1"/>
  <c r="AC58" i="1"/>
  <c r="M254" i="1" l="1"/>
  <c r="K254" i="1"/>
  <c r="N254" i="1"/>
  <c r="J254" i="1"/>
  <c r="P254" i="1" l="1"/>
  <c r="I255" i="1" s="1"/>
  <c r="O255" i="1" s="1"/>
  <c r="AC59" i="1"/>
  <c r="N255" i="1" l="1"/>
  <c r="J255" i="1"/>
  <c r="K255" i="1"/>
  <c r="L255" i="1"/>
  <c r="M255" i="1"/>
  <c r="P255" i="1" l="1"/>
  <c r="I256" i="1" s="1"/>
  <c r="M256" i="1"/>
  <c r="L256" i="1"/>
  <c r="O256" i="1"/>
  <c r="J256" i="1"/>
  <c r="K256" i="1"/>
  <c r="N256" i="1"/>
  <c r="AC60" i="1"/>
  <c r="P256" i="1" l="1"/>
  <c r="I257" i="1" s="1"/>
  <c r="J257" i="1" s="1"/>
  <c r="O257" i="1"/>
  <c r="N257" i="1"/>
  <c r="K257" i="1"/>
  <c r="M257" i="1"/>
  <c r="L257" i="1"/>
  <c r="P257" i="1" l="1"/>
  <c r="I258" i="1" s="1"/>
  <c r="K258" i="1" s="1"/>
  <c r="AC61" i="1"/>
  <c r="M258" i="1" l="1"/>
  <c r="L258" i="1"/>
  <c r="J258" i="1"/>
  <c r="O258" i="1"/>
  <c r="N258" i="1"/>
  <c r="P258" i="1" l="1"/>
  <c r="I259" i="1" s="1"/>
  <c r="N259" i="1" s="1"/>
  <c r="M259" i="1"/>
  <c r="L259" i="1"/>
  <c r="K259" i="1"/>
  <c r="O259" i="1"/>
  <c r="AC62" i="1"/>
  <c r="J259" i="1" l="1"/>
  <c r="P259" i="1"/>
  <c r="I260" i="1" s="1"/>
  <c r="K260" i="1" s="1"/>
  <c r="O260" i="1"/>
  <c r="L260" i="1"/>
  <c r="M260" i="1" l="1"/>
  <c r="N260" i="1"/>
  <c r="J260" i="1"/>
  <c r="AC63" i="1"/>
  <c r="P260" i="1" l="1"/>
  <c r="I261" i="1" s="1"/>
  <c r="J261" i="1" s="1"/>
  <c r="O261" i="1"/>
  <c r="L261" i="1"/>
  <c r="K261" i="1"/>
  <c r="N261" i="1"/>
  <c r="M261" i="1"/>
  <c r="P261" i="1" l="1"/>
  <c r="I262" i="1" s="1"/>
  <c r="K262" i="1" s="1"/>
  <c r="AC64" i="1"/>
  <c r="O262" i="1" l="1"/>
  <c r="L262" i="1"/>
  <c r="M262" i="1"/>
  <c r="J262" i="1"/>
  <c r="N262" i="1"/>
  <c r="P262" i="1" l="1"/>
  <c r="I263" i="1" s="1"/>
  <c r="K263" i="1" s="1"/>
  <c r="M263" i="1"/>
  <c r="L263" i="1"/>
  <c r="O263" i="1"/>
  <c r="N263" i="1"/>
  <c r="AC65" i="1"/>
  <c r="J263" i="1" l="1"/>
  <c r="P263" i="1"/>
  <c r="I264" i="1" s="1"/>
  <c r="N264" i="1" s="1"/>
  <c r="L264" i="1" l="1"/>
  <c r="O264" i="1"/>
  <c r="K264" i="1"/>
  <c r="M264" i="1"/>
  <c r="J264" i="1"/>
  <c r="P264" i="1" l="1"/>
  <c r="I265" i="1" s="1"/>
  <c r="M265" i="1" s="1"/>
  <c r="O265" i="1"/>
  <c r="L265" i="1"/>
  <c r="K265" i="1"/>
  <c r="N265" i="1"/>
  <c r="AC66" i="1"/>
  <c r="J265" i="1" l="1"/>
  <c r="P265" i="1" s="1"/>
  <c r="I266" i="1" s="1"/>
  <c r="J266" i="1" l="1"/>
  <c r="M266" i="1"/>
  <c r="O266" i="1"/>
  <c r="K266" i="1"/>
  <c r="L266" i="1"/>
  <c r="N266" i="1"/>
  <c r="AC67" i="1"/>
  <c r="P266" i="1" l="1"/>
  <c r="I267" i="1" s="1"/>
  <c r="L267" i="1" s="1"/>
  <c r="M267" i="1"/>
  <c r="O267" i="1"/>
  <c r="J267" i="1"/>
  <c r="N267" i="1"/>
  <c r="K267" i="1" l="1"/>
  <c r="P267" i="1"/>
  <c r="I268" i="1" s="1"/>
  <c r="J268" i="1" s="1"/>
  <c r="M268" i="1" l="1"/>
  <c r="L268" i="1"/>
  <c r="O268" i="1"/>
  <c r="N268" i="1"/>
  <c r="K268" i="1"/>
  <c r="AC68" i="1"/>
  <c r="P268" i="1" l="1"/>
  <c r="I269" i="1" s="1"/>
  <c r="K269" i="1" s="1"/>
  <c r="O269" i="1"/>
  <c r="N269" i="1"/>
  <c r="L269" i="1"/>
  <c r="J269" i="1" l="1"/>
  <c r="M269" i="1"/>
  <c r="P269" i="1" s="1"/>
  <c r="I270" i="1" s="1"/>
  <c r="AC69" i="1"/>
  <c r="L270" i="1" l="1"/>
  <c r="O270" i="1"/>
  <c r="N270" i="1"/>
  <c r="J270" i="1"/>
  <c r="K270" i="1"/>
  <c r="M270" i="1"/>
  <c r="P270" i="1" l="1"/>
  <c r="I271" i="1" s="1"/>
  <c r="M271" i="1" s="1"/>
  <c r="J271" i="1" l="1"/>
  <c r="N271" i="1"/>
  <c r="L271" i="1"/>
  <c r="O271" i="1"/>
  <c r="K271" i="1"/>
  <c r="P271" i="1"/>
  <c r="I272" i="1" s="1"/>
  <c r="M272" i="1" s="1"/>
  <c r="AC70" i="1"/>
  <c r="N272" i="1" l="1"/>
  <c r="L272" i="1"/>
  <c r="O272" i="1"/>
  <c r="K272" i="1"/>
  <c r="J272" i="1"/>
  <c r="P272" i="1" l="1"/>
  <c r="I273" i="1" s="1"/>
  <c r="M273" i="1" s="1"/>
  <c r="N273" i="1"/>
  <c r="AC71" i="1"/>
  <c r="O273" i="1" l="1"/>
  <c r="K273" i="1"/>
  <c r="J273" i="1"/>
  <c r="L273" i="1"/>
  <c r="P273" i="1" l="1"/>
  <c r="I274" i="1" s="1"/>
  <c r="J274" i="1" s="1"/>
  <c r="L274" i="1"/>
  <c r="M274" i="1"/>
  <c r="K274" i="1"/>
  <c r="O274" i="1"/>
  <c r="N274" i="1"/>
  <c r="AC72" i="1"/>
  <c r="P274" i="1" l="1"/>
  <c r="I275" i="1" s="1"/>
  <c r="N275" i="1" s="1"/>
  <c r="M275" i="1"/>
  <c r="O275" i="1" l="1"/>
  <c r="J275" i="1"/>
  <c r="K275" i="1"/>
  <c r="L275" i="1"/>
  <c r="AC73" i="1"/>
  <c r="P275" i="1" l="1"/>
  <c r="I276" i="1" s="1"/>
  <c r="J276" i="1" s="1"/>
  <c r="N276" i="1"/>
  <c r="O276" i="1"/>
  <c r="L276" i="1"/>
  <c r="M276" i="1"/>
  <c r="K276" i="1"/>
  <c r="P276" i="1" l="1"/>
  <c r="I277" i="1" s="1"/>
  <c r="J277" i="1" s="1"/>
  <c r="AC74" i="1"/>
  <c r="N277" i="1" l="1"/>
  <c r="M277" i="1"/>
  <c r="L277" i="1"/>
  <c r="O277" i="1"/>
  <c r="K277" i="1"/>
  <c r="P277" i="1" l="1"/>
  <c r="I278" i="1" s="1"/>
  <c r="J278" i="1" s="1"/>
  <c r="L278" i="1"/>
  <c r="O278" i="1"/>
  <c r="AC75" i="1"/>
  <c r="N278" i="1" l="1"/>
  <c r="M278" i="1"/>
  <c r="K278" i="1"/>
  <c r="P278" i="1" l="1"/>
  <c r="I279" i="1" s="1"/>
  <c r="J279" i="1"/>
  <c r="M279" i="1"/>
  <c r="L279" i="1"/>
  <c r="K279" i="1"/>
  <c r="N279" i="1"/>
  <c r="O279" i="1"/>
  <c r="AC76" i="1"/>
  <c r="P279" i="1" l="1"/>
  <c r="I280" i="1" s="1"/>
  <c r="M280" i="1" s="1"/>
  <c r="O280" i="1"/>
  <c r="J280" i="1" l="1"/>
  <c r="L280" i="1"/>
  <c r="K280" i="1"/>
  <c r="N280" i="1"/>
  <c r="AC77" i="1"/>
  <c r="P280" i="1" l="1"/>
  <c r="I281" i="1" s="1"/>
  <c r="L281" i="1" s="1"/>
  <c r="O281" i="1"/>
  <c r="M281" i="1"/>
  <c r="N281" i="1"/>
  <c r="K281" i="1" l="1"/>
  <c r="J281" i="1"/>
  <c r="P281" i="1" l="1"/>
  <c r="I282" i="1" s="1"/>
  <c r="J282" i="1" s="1"/>
  <c r="O282" i="1"/>
  <c r="AC78" i="1"/>
  <c r="M282" i="1" l="1"/>
  <c r="N282" i="1"/>
  <c r="L282" i="1"/>
  <c r="K282" i="1"/>
  <c r="P282" i="1" s="1"/>
  <c r="I283" i="1" s="1"/>
  <c r="J283" i="1" l="1"/>
  <c r="M283" i="1"/>
  <c r="O283" i="1"/>
  <c r="L283" i="1"/>
  <c r="N283" i="1"/>
  <c r="K283" i="1"/>
  <c r="AC79" i="1"/>
  <c r="P283" i="1" l="1"/>
  <c r="I284" i="1" s="1"/>
  <c r="J284" i="1"/>
  <c r="L284" i="1"/>
  <c r="O284" i="1"/>
  <c r="M284" i="1"/>
  <c r="K284" i="1"/>
  <c r="N284" i="1"/>
  <c r="P284" i="1" l="1"/>
  <c r="I285" i="1" s="1"/>
  <c r="K285" i="1"/>
  <c r="L285" i="1"/>
  <c r="N285" i="1"/>
  <c r="J285" i="1"/>
  <c r="M285" i="1"/>
  <c r="O285" i="1"/>
  <c r="AC80" i="1"/>
  <c r="P285" i="1" l="1"/>
  <c r="I286" i="1" s="1"/>
  <c r="N286" i="1" s="1"/>
  <c r="M286" i="1"/>
  <c r="O286" i="1"/>
  <c r="K286" i="1"/>
  <c r="J286" i="1"/>
  <c r="L286" i="1"/>
  <c r="P286" i="1" l="1"/>
  <c r="I287" i="1" s="1"/>
  <c r="K287" i="1" s="1"/>
  <c r="N287" i="1"/>
  <c r="L287" i="1"/>
  <c r="M287" i="1"/>
  <c r="J287" i="1"/>
  <c r="O287" i="1"/>
  <c r="AC81" i="1"/>
  <c r="P287" i="1" l="1"/>
  <c r="I288" i="1" s="1"/>
  <c r="N288" i="1"/>
  <c r="O288" i="1"/>
  <c r="J288" i="1"/>
  <c r="M288" i="1"/>
  <c r="L288" i="1"/>
  <c r="K288" i="1"/>
  <c r="P288" i="1" l="1"/>
  <c r="I289" i="1" s="1"/>
  <c r="J289" i="1" s="1"/>
  <c r="AC82" i="1"/>
  <c r="K289" i="1" l="1"/>
  <c r="O289" i="1"/>
  <c r="N289" i="1"/>
  <c r="M289" i="1"/>
  <c r="L289" i="1"/>
  <c r="P289" i="1" l="1"/>
  <c r="I290" i="1" s="1"/>
  <c r="L290" i="1" s="1"/>
  <c r="AC83" i="1"/>
  <c r="O290" i="1" l="1"/>
  <c r="N290" i="1"/>
  <c r="M290" i="1"/>
  <c r="J290" i="1"/>
  <c r="K290" i="1"/>
  <c r="P290" i="1" l="1"/>
  <c r="I291" i="1" s="1"/>
  <c r="M291" i="1"/>
  <c r="O291" i="1"/>
  <c r="N291" i="1"/>
  <c r="J291" i="1"/>
  <c r="K291" i="1"/>
  <c r="L291" i="1"/>
  <c r="AC84" i="1"/>
  <c r="P291" i="1" l="1"/>
  <c r="I292" i="1" s="1"/>
  <c r="K292" i="1" s="1"/>
  <c r="M292" i="1"/>
  <c r="L292" i="1"/>
  <c r="O292" i="1" l="1"/>
  <c r="J292" i="1"/>
  <c r="N292" i="1"/>
  <c r="P292" i="1" s="1"/>
  <c r="I293" i="1" s="1"/>
  <c r="J293" i="1" l="1"/>
  <c r="L293" i="1"/>
  <c r="M293" i="1"/>
  <c r="K293" i="1"/>
  <c r="O293" i="1"/>
  <c r="N293" i="1"/>
  <c r="AC85" i="1"/>
  <c r="P293" i="1" l="1"/>
  <c r="I294" i="1" s="1"/>
  <c r="K294" i="1" s="1"/>
  <c r="O294" i="1"/>
  <c r="M294" i="1"/>
  <c r="AC86" i="1"/>
  <c r="L294" i="1" l="1"/>
  <c r="N294" i="1"/>
  <c r="J294" i="1"/>
  <c r="P294" i="1" l="1"/>
  <c r="I295" i="1" s="1"/>
  <c r="K295" i="1" s="1"/>
  <c r="O295" i="1"/>
  <c r="J295" i="1"/>
  <c r="L295" i="1"/>
  <c r="M295" i="1"/>
  <c r="N295" i="1"/>
  <c r="AC87" i="1"/>
  <c r="P295" i="1" l="1"/>
  <c r="I296" i="1" s="1"/>
  <c r="J296" i="1" s="1"/>
  <c r="L296" i="1"/>
  <c r="N296" i="1"/>
  <c r="M296" i="1"/>
  <c r="O296" i="1"/>
  <c r="AC88" i="1"/>
  <c r="K296" i="1" l="1"/>
  <c r="P296" i="1"/>
  <c r="I297" i="1" s="1"/>
  <c r="L297" i="1" s="1"/>
  <c r="M297" i="1" l="1"/>
  <c r="O297" i="1"/>
  <c r="J297" i="1"/>
  <c r="K297" i="1"/>
  <c r="N297" i="1"/>
  <c r="AC89" i="1"/>
  <c r="P297" i="1" l="1"/>
  <c r="I298" i="1" s="1"/>
  <c r="J298" i="1" s="1"/>
  <c r="M298" i="1"/>
  <c r="O298" i="1"/>
  <c r="N298" i="1"/>
  <c r="L298" i="1" l="1"/>
  <c r="K298" i="1"/>
  <c r="P298" i="1" s="1"/>
  <c r="I299" i="1" s="1"/>
  <c r="N299" i="1" s="1"/>
  <c r="M299" i="1" l="1"/>
  <c r="K299" i="1"/>
  <c r="O299" i="1"/>
  <c r="J299" i="1"/>
  <c r="L299" i="1"/>
  <c r="AC90" i="1"/>
  <c r="P299" i="1" l="1"/>
  <c r="I300" i="1" s="1"/>
  <c r="K300" i="1" s="1"/>
  <c r="M300" i="1"/>
  <c r="L300" i="1" l="1"/>
  <c r="N300" i="1"/>
  <c r="O300" i="1"/>
  <c r="J300" i="1"/>
  <c r="AC91" i="1"/>
  <c r="P300" i="1" l="1"/>
  <c r="I301" i="1" s="1"/>
  <c r="J301" i="1" s="1"/>
  <c r="M301" i="1" l="1"/>
  <c r="N301" i="1"/>
  <c r="L301" i="1"/>
  <c r="O301" i="1"/>
  <c r="K301" i="1"/>
  <c r="AC92" i="1"/>
  <c r="P301" i="1" l="1"/>
  <c r="I302" i="1" s="1"/>
  <c r="M302" i="1" s="1"/>
  <c r="O302" i="1"/>
  <c r="L302" i="1"/>
  <c r="N302" i="1"/>
  <c r="J302" i="1"/>
  <c r="AC93" i="1"/>
  <c r="K302" i="1" l="1"/>
  <c r="P302" i="1"/>
  <c r="I303" i="1" s="1"/>
  <c r="L303" i="1" s="1"/>
  <c r="M303" i="1"/>
  <c r="K303" i="1"/>
  <c r="J303" i="1"/>
  <c r="N303" i="1"/>
  <c r="O303" i="1" l="1"/>
  <c r="P303" i="1" s="1"/>
  <c r="I304" i="1" s="1"/>
  <c r="J304" i="1" s="1"/>
  <c r="O304" i="1" l="1"/>
  <c r="N304" i="1"/>
  <c r="M304" i="1"/>
  <c r="K304" i="1"/>
  <c r="L304" i="1"/>
  <c r="AC94" i="1"/>
  <c r="P304" i="1" l="1"/>
  <c r="I305" i="1" s="1"/>
  <c r="J305" i="1" s="1"/>
  <c r="O305" i="1"/>
  <c r="M305" i="1"/>
  <c r="K305" i="1" l="1"/>
  <c r="L305" i="1"/>
  <c r="N305" i="1"/>
  <c r="AC95" i="1"/>
  <c r="P305" i="1" l="1"/>
  <c r="I306" i="1" s="1"/>
  <c r="K306" i="1"/>
  <c r="M306" i="1"/>
  <c r="L306" i="1"/>
  <c r="N306" i="1"/>
  <c r="O306" i="1"/>
  <c r="J306" i="1"/>
  <c r="AC96" i="1"/>
  <c r="P306" i="1" l="1"/>
  <c r="I307" i="1" s="1"/>
  <c r="K307" i="1" s="1"/>
  <c r="M307" i="1" l="1"/>
  <c r="J307" i="1"/>
  <c r="O307" i="1"/>
  <c r="N307" i="1"/>
  <c r="L307" i="1"/>
  <c r="P307" i="1" l="1"/>
  <c r="I308" i="1" s="1"/>
  <c r="J308" i="1" s="1"/>
  <c r="M308" i="1"/>
  <c r="L308" i="1"/>
  <c r="K308" i="1"/>
  <c r="N308" i="1" l="1"/>
  <c r="O308" i="1"/>
  <c r="P308" i="1" l="1"/>
  <c r="I309" i="1" s="1"/>
  <c r="M309" i="1" s="1"/>
  <c r="K309" i="1" l="1"/>
  <c r="N309" i="1"/>
  <c r="O309" i="1"/>
  <c r="L309" i="1"/>
  <c r="J309" i="1"/>
  <c r="AC98" i="1"/>
  <c r="P309" i="1" l="1"/>
  <c r="I310" i="1" s="1"/>
  <c r="J310" i="1"/>
  <c r="O310" i="1"/>
  <c r="M310" i="1"/>
  <c r="L310" i="1"/>
  <c r="K310" i="1"/>
  <c r="N310" i="1"/>
  <c r="P310" i="1" s="1"/>
  <c r="I311" i="1" s="1"/>
  <c r="J311" i="1" s="1"/>
  <c r="AC97" i="1"/>
  <c r="N311" i="1" l="1"/>
  <c r="M311" i="1"/>
  <c r="O311" i="1"/>
  <c r="K311" i="1"/>
  <c r="L311" i="1"/>
  <c r="P311" i="1" l="1"/>
  <c r="I312" i="1" s="1"/>
  <c r="N312" i="1" s="1"/>
  <c r="M312" i="1"/>
  <c r="K312" i="1"/>
  <c r="J312" i="1"/>
  <c r="L312" i="1"/>
  <c r="O312" i="1"/>
  <c r="P312" i="1" l="1"/>
  <c r="I313" i="1" s="1"/>
  <c r="J313" i="1" s="1"/>
  <c r="O313" i="1"/>
  <c r="K313" i="1"/>
  <c r="N313" i="1"/>
  <c r="M313" i="1"/>
  <c r="L313" i="1"/>
  <c r="P313" i="1" l="1"/>
  <c r="I314" i="1" s="1"/>
  <c r="K314" i="1" s="1"/>
  <c r="N314" i="1"/>
  <c r="M314" i="1"/>
  <c r="O314" i="1"/>
  <c r="J314" i="1"/>
  <c r="L314" i="1"/>
  <c r="AC100" i="1"/>
  <c r="P314" i="1" l="1"/>
  <c r="I315" i="1" s="1"/>
  <c r="J315" i="1" s="1"/>
  <c r="AC99" i="1"/>
  <c r="N315" i="1" l="1"/>
  <c r="L315" i="1"/>
  <c r="M315" i="1"/>
  <c r="O315" i="1"/>
  <c r="K315" i="1"/>
  <c r="P315" i="1" l="1"/>
  <c r="I316" i="1" s="1"/>
  <c r="M316" i="1" s="1"/>
  <c r="N316" i="1"/>
  <c r="O316" i="1"/>
  <c r="J316" i="1"/>
  <c r="K316" i="1"/>
  <c r="L316" i="1"/>
  <c r="P316" i="1" l="1"/>
  <c r="I317" i="1" s="1"/>
  <c r="L317" i="1" s="1"/>
  <c r="M317" i="1" l="1"/>
  <c r="N317" i="1"/>
  <c r="O317" i="1"/>
  <c r="K317" i="1"/>
  <c r="J317" i="1"/>
  <c r="AC101" i="1"/>
  <c r="P317" i="1" l="1"/>
  <c r="I318" i="1" s="1"/>
  <c r="J318" i="1" s="1"/>
  <c r="L318" i="1" l="1"/>
  <c r="N318" i="1"/>
  <c r="M318" i="1"/>
  <c r="O318" i="1"/>
  <c r="K318" i="1"/>
  <c r="P318" i="1" l="1"/>
  <c r="I319" i="1" s="1"/>
  <c r="K319" i="1" s="1"/>
  <c r="AC102" i="1"/>
  <c r="AC103" i="1"/>
  <c r="O319" i="1" l="1"/>
  <c r="J319" i="1"/>
  <c r="N319" i="1"/>
  <c r="L319" i="1"/>
  <c r="M319" i="1"/>
  <c r="P319" i="1" l="1"/>
  <c r="I320" i="1" s="1"/>
  <c r="K320" i="1" s="1"/>
  <c r="O320" i="1"/>
  <c r="L320" i="1"/>
  <c r="M320" i="1"/>
  <c r="J320" i="1" l="1"/>
  <c r="N320" i="1"/>
  <c r="P320" i="1" s="1"/>
  <c r="I321" i="1" s="1"/>
  <c r="M321" i="1" s="1"/>
  <c r="N321" i="1" l="1"/>
  <c r="O321" i="1"/>
  <c r="J321" i="1"/>
  <c r="K321" i="1"/>
  <c r="L321" i="1"/>
  <c r="P321" i="1" l="1"/>
  <c r="I322" i="1" s="1"/>
  <c r="N322" i="1" s="1"/>
  <c r="AC104" i="1"/>
  <c r="AC105" i="1"/>
  <c r="O322" i="1" l="1"/>
  <c r="K322" i="1"/>
  <c r="J322" i="1"/>
  <c r="M322" i="1"/>
  <c r="L322" i="1"/>
  <c r="P322" i="1" l="1"/>
  <c r="I323" i="1" s="1"/>
  <c r="L323" i="1" s="1"/>
  <c r="O323" i="1"/>
  <c r="M323" i="1"/>
  <c r="N323" i="1"/>
  <c r="J323" i="1" l="1"/>
  <c r="K323" i="1"/>
  <c r="P323" i="1" l="1"/>
  <c r="I324" i="1" s="1"/>
  <c r="K324" i="1" s="1"/>
  <c r="M324" i="1"/>
  <c r="L324" i="1"/>
  <c r="N324" i="1"/>
  <c r="J324" i="1"/>
  <c r="O324" i="1"/>
  <c r="P324" i="1" s="1"/>
  <c r="I325" i="1" s="1"/>
  <c r="M325" i="1" s="1"/>
  <c r="J325" i="1" l="1"/>
  <c r="K325" i="1"/>
  <c r="O325" i="1"/>
  <c r="L325" i="1"/>
  <c r="N325" i="1"/>
  <c r="AC106" i="1"/>
  <c r="P325" i="1" l="1"/>
  <c r="I326" i="1" s="1"/>
  <c r="J326" i="1" s="1"/>
  <c r="AC107" i="1"/>
  <c r="N326" i="1" l="1"/>
  <c r="L326" i="1"/>
  <c r="M326" i="1"/>
  <c r="O326" i="1"/>
  <c r="K326" i="1"/>
  <c r="P326" i="1" l="1"/>
  <c r="I327" i="1" s="1"/>
  <c r="K327" i="1" s="1"/>
  <c r="O327" i="1"/>
  <c r="M327" i="1" l="1"/>
  <c r="J327" i="1"/>
  <c r="L327" i="1"/>
  <c r="N327" i="1"/>
  <c r="P327" i="1" l="1"/>
  <c r="I328" i="1" s="1"/>
  <c r="L328" i="1" s="1"/>
  <c r="M328" i="1" l="1"/>
  <c r="N328" i="1"/>
  <c r="J328" i="1"/>
  <c r="K328" i="1"/>
  <c r="O328" i="1"/>
  <c r="P328" i="1" s="1"/>
  <c r="I329" i="1" s="1"/>
  <c r="L329" i="1" s="1"/>
  <c r="M329" i="1" l="1"/>
  <c r="O329" i="1"/>
  <c r="K329" i="1"/>
  <c r="J329" i="1"/>
  <c r="N329" i="1"/>
  <c r="AC108" i="1"/>
  <c r="AC109" i="1"/>
  <c r="P329" i="1" l="1"/>
  <c r="I330" i="1" s="1"/>
  <c r="J330" i="1" s="1"/>
  <c r="O330" i="1"/>
  <c r="M330" i="1"/>
  <c r="N330" i="1"/>
  <c r="L330" i="1"/>
  <c r="K330" i="1"/>
  <c r="P330" i="1" l="1"/>
  <c r="I331" i="1" s="1"/>
  <c r="J331" i="1" s="1"/>
  <c r="L331" i="1" l="1"/>
  <c r="K331" i="1"/>
  <c r="N331" i="1"/>
  <c r="M331" i="1"/>
  <c r="O331" i="1"/>
  <c r="P331" i="1" l="1"/>
  <c r="I332" i="1" s="1"/>
  <c r="L332" i="1" s="1"/>
  <c r="O332" i="1"/>
  <c r="M332" i="1"/>
  <c r="N332" i="1" l="1"/>
  <c r="K332" i="1"/>
  <c r="J332" i="1"/>
  <c r="P332" i="1"/>
  <c r="I333" i="1" s="1"/>
  <c r="K333" i="1" s="1"/>
  <c r="M333" i="1"/>
  <c r="AC110" i="1"/>
  <c r="AC111" i="1"/>
  <c r="O333" i="1" l="1"/>
  <c r="N333" i="1"/>
  <c r="L333" i="1"/>
  <c r="J333" i="1"/>
  <c r="AC112" i="1"/>
  <c r="P333" i="1" l="1"/>
  <c r="I334" i="1" s="1"/>
  <c r="N334" i="1" s="1"/>
  <c r="O334" i="1"/>
  <c r="L334" i="1"/>
  <c r="M334" i="1" l="1"/>
  <c r="J334" i="1"/>
  <c r="K334" i="1"/>
  <c r="P334" i="1" l="1"/>
  <c r="I335" i="1" s="1"/>
  <c r="L335" i="1" s="1"/>
  <c r="O335" i="1"/>
  <c r="AC113" i="1"/>
  <c r="N335" i="1" l="1"/>
  <c r="K335" i="1"/>
  <c r="J335" i="1"/>
  <c r="M335" i="1"/>
  <c r="P335" i="1" l="1"/>
  <c r="I336" i="1" s="1"/>
  <c r="O336" i="1"/>
  <c r="J336" i="1"/>
  <c r="M336" i="1"/>
  <c r="L336" i="1"/>
  <c r="K336" i="1"/>
  <c r="N336" i="1"/>
  <c r="P336" i="1" l="1"/>
  <c r="I337" i="1" s="1"/>
  <c r="N337" i="1" s="1"/>
  <c r="M337" i="1"/>
  <c r="K337" i="1"/>
  <c r="J337" i="1"/>
  <c r="O337" i="1"/>
  <c r="L337" i="1"/>
  <c r="P337" i="1" l="1"/>
  <c r="I338" i="1" s="1"/>
  <c r="L338" i="1" s="1"/>
  <c r="N338" i="1" l="1"/>
  <c r="M338" i="1"/>
  <c r="J338" i="1"/>
  <c r="O338" i="1"/>
  <c r="K338" i="1"/>
  <c r="AC114" i="1"/>
  <c r="P338" i="1" l="1"/>
  <c r="I339" i="1" s="1"/>
  <c r="N339" i="1" s="1"/>
  <c r="L339" i="1"/>
  <c r="M339" i="1" l="1"/>
  <c r="O339" i="1"/>
  <c r="J339" i="1"/>
  <c r="K339" i="1"/>
  <c r="AC115" i="1"/>
  <c r="P339" i="1" l="1"/>
  <c r="I340" i="1" s="1"/>
  <c r="N340" i="1" s="1"/>
  <c r="O340" i="1"/>
  <c r="K340" i="1" l="1"/>
  <c r="J340" i="1"/>
  <c r="L340" i="1"/>
  <c r="M340" i="1"/>
  <c r="AC116" i="1"/>
  <c r="AC117" i="1"/>
  <c r="P340" i="1" l="1"/>
  <c r="I341" i="1" s="1"/>
  <c r="K341" i="1" s="1"/>
  <c r="N341" i="1"/>
  <c r="O341" i="1"/>
  <c r="J341" i="1"/>
  <c r="L341" i="1"/>
  <c r="M341" i="1" l="1"/>
  <c r="P341" i="1" s="1"/>
  <c r="I342" i="1" s="1"/>
  <c r="AC118" i="1"/>
  <c r="K342" i="1" l="1"/>
  <c r="M342" i="1"/>
  <c r="N342" i="1"/>
  <c r="J342" i="1"/>
  <c r="O342" i="1"/>
  <c r="L342" i="1"/>
  <c r="P342" i="1" l="1"/>
  <c r="I343" i="1" s="1"/>
  <c r="M343" i="1" s="1"/>
  <c r="K343" i="1"/>
  <c r="J343" i="1"/>
  <c r="O343" i="1"/>
  <c r="N343" i="1"/>
  <c r="L343" i="1"/>
  <c r="P343" i="1" l="1"/>
  <c r="I344" i="1" s="1"/>
  <c r="O344" i="1" s="1"/>
  <c r="L344" i="1" l="1"/>
  <c r="M344" i="1"/>
  <c r="K344" i="1"/>
  <c r="J344" i="1"/>
  <c r="N344" i="1"/>
  <c r="P344" i="1" l="1"/>
  <c r="I345" i="1" s="1"/>
  <c r="N345" i="1" s="1"/>
  <c r="AC119" i="1"/>
  <c r="AC120" i="1"/>
  <c r="M345" i="1" l="1"/>
  <c r="L345" i="1"/>
  <c r="O345" i="1"/>
  <c r="J345" i="1"/>
  <c r="K345" i="1"/>
  <c r="P345" i="1" l="1"/>
  <c r="I346" i="1" s="1"/>
  <c r="J346" i="1" s="1"/>
  <c r="L346" i="1"/>
  <c r="O346" i="1"/>
  <c r="M346" i="1"/>
  <c r="AC121" i="1"/>
  <c r="N346" i="1" l="1"/>
  <c r="K346" i="1"/>
  <c r="AC122" i="1"/>
  <c r="P346" i="1" l="1"/>
  <c r="I347" i="1" s="1"/>
  <c r="K347" i="1" s="1"/>
  <c r="O347" i="1"/>
  <c r="J347" i="1"/>
  <c r="L347" i="1"/>
  <c r="N347" i="1"/>
  <c r="M347" i="1"/>
  <c r="P347" i="1" l="1"/>
  <c r="I348" i="1" s="1"/>
  <c r="J348" i="1" s="1"/>
  <c r="M348" i="1"/>
  <c r="N348" i="1"/>
  <c r="L348" i="1"/>
  <c r="O348" i="1"/>
  <c r="K348" i="1"/>
  <c r="P348" i="1" l="1"/>
  <c r="I349" i="1" s="1"/>
  <c r="J349" i="1" s="1"/>
  <c r="AC123" i="1"/>
  <c r="O349" i="1" l="1"/>
  <c r="N349" i="1"/>
  <c r="M349" i="1"/>
  <c r="K349" i="1"/>
  <c r="L349" i="1"/>
  <c r="P349" i="1" l="1"/>
  <c r="I350" i="1" s="1"/>
  <c r="J350" i="1" s="1"/>
  <c r="O350" i="1"/>
  <c r="K350" i="1"/>
  <c r="M350" i="1"/>
  <c r="N350" i="1"/>
  <c r="AC124" i="1"/>
  <c r="L350" i="1" l="1"/>
  <c r="P350" i="1"/>
  <c r="I351" i="1" s="1"/>
  <c r="J351" i="1" s="1"/>
  <c r="L351" i="1"/>
  <c r="O351" i="1"/>
  <c r="N351" i="1"/>
  <c r="M351" i="1"/>
  <c r="K351" i="1" l="1"/>
  <c r="P351" i="1"/>
  <c r="I352" i="1" s="1"/>
  <c r="M352" i="1" s="1"/>
  <c r="L352" i="1" l="1"/>
  <c r="J352" i="1"/>
  <c r="O352" i="1"/>
  <c r="K352" i="1"/>
  <c r="N352" i="1"/>
  <c r="P352" i="1" l="1"/>
  <c r="I353" i="1" s="1"/>
  <c r="K353" i="1" l="1"/>
  <c r="O353" i="1"/>
  <c r="J353" i="1"/>
  <c r="N353" i="1"/>
  <c r="M353" i="1"/>
  <c r="L353" i="1"/>
  <c r="AC125" i="1"/>
  <c r="AC126" i="1"/>
  <c r="P353" i="1" l="1"/>
  <c r="I354" i="1" s="1"/>
  <c r="J354" i="1" s="1"/>
  <c r="O354" i="1"/>
  <c r="M354" i="1"/>
  <c r="N354" i="1"/>
  <c r="L354" i="1"/>
  <c r="K354" i="1" l="1"/>
  <c r="P354" i="1"/>
  <c r="I355" i="1" s="1"/>
  <c r="N355" i="1" s="1"/>
  <c r="M355" i="1" l="1"/>
  <c r="L355" i="1"/>
  <c r="K355" i="1"/>
  <c r="J355" i="1"/>
  <c r="O355" i="1"/>
  <c r="P355" i="1" l="1"/>
  <c r="I356" i="1" s="1"/>
  <c r="N356" i="1" s="1"/>
  <c r="L356" i="1"/>
  <c r="M356" i="1"/>
  <c r="K356" i="1" l="1"/>
  <c r="O356" i="1"/>
  <c r="J356" i="1"/>
  <c r="AC127" i="1"/>
  <c r="P356" i="1" l="1"/>
  <c r="I357" i="1" s="1"/>
  <c r="K357" i="1" s="1"/>
  <c r="O357" i="1" l="1"/>
  <c r="J357" i="1"/>
  <c r="L357" i="1"/>
  <c r="N357" i="1"/>
  <c r="M357" i="1"/>
  <c r="P357" i="1"/>
  <c r="I358" i="1" s="1"/>
  <c r="M358" i="1" s="1"/>
  <c r="O358" i="1"/>
  <c r="N358" i="1" l="1"/>
  <c r="L358" i="1"/>
  <c r="J358" i="1"/>
  <c r="K358" i="1"/>
  <c r="P358" i="1"/>
  <c r="I359" i="1" s="1"/>
  <c r="J359" i="1" s="1"/>
  <c r="M359" i="1"/>
  <c r="L359" i="1"/>
  <c r="N359" i="1"/>
  <c r="AC128" i="1"/>
  <c r="K359" i="1" l="1"/>
  <c r="O359" i="1"/>
  <c r="P359" i="1" s="1"/>
  <c r="I360" i="1" s="1"/>
  <c r="J360" i="1" l="1"/>
  <c r="O360" i="1"/>
  <c r="M360" i="1"/>
  <c r="N360" i="1"/>
  <c r="L360" i="1"/>
  <c r="K360" i="1"/>
  <c r="AC129" i="1"/>
  <c r="P360" i="1" l="1"/>
  <c r="I361" i="1" s="1"/>
  <c r="O361" i="1" s="1"/>
  <c r="M361" i="1"/>
  <c r="J361" i="1"/>
  <c r="N361" i="1" l="1"/>
  <c r="L361" i="1"/>
  <c r="K361" i="1"/>
  <c r="P361" i="1" l="1"/>
  <c r="I362" i="1" s="1"/>
  <c r="K362" i="1"/>
  <c r="M362" i="1"/>
  <c r="N362" i="1"/>
  <c r="L362" i="1"/>
  <c r="O362" i="1"/>
  <c r="J362" i="1"/>
  <c r="AC130" i="1"/>
  <c r="AC131" i="1"/>
  <c r="P362" i="1" l="1"/>
  <c r="I363" i="1" s="1"/>
  <c r="N363" i="1" s="1"/>
  <c r="M363" i="1"/>
  <c r="K363" i="1"/>
  <c r="O363" i="1"/>
  <c r="L363" i="1"/>
  <c r="J363" i="1"/>
  <c r="P363" i="1" l="1"/>
  <c r="I364" i="1" s="1"/>
  <c r="M364" i="1" s="1"/>
  <c r="N364" i="1"/>
  <c r="AC132" i="1"/>
  <c r="J364" i="1" l="1"/>
  <c r="O364" i="1"/>
  <c r="K364" i="1"/>
  <c r="L364" i="1"/>
  <c r="P364" i="1" l="1"/>
  <c r="I365" i="1" s="1"/>
  <c r="L365" i="1" s="1"/>
  <c r="O365" i="1"/>
  <c r="K365" i="1"/>
  <c r="N365" i="1"/>
  <c r="M365" i="1" l="1"/>
  <c r="J365" i="1"/>
  <c r="P365" i="1" l="1"/>
  <c r="I366" i="1" s="1"/>
  <c r="L366" i="1" s="1"/>
  <c r="O366" i="1"/>
  <c r="K366" i="1" l="1"/>
  <c r="J366" i="1"/>
  <c r="M366" i="1"/>
  <c r="N366" i="1"/>
  <c r="P366" i="1" s="1"/>
  <c r="I367" i="1" s="1"/>
  <c r="AC133" i="1"/>
  <c r="J367" i="1" l="1"/>
  <c r="O367" i="1"/>
  <c r="L367" i="1"/>
  <c r="N367" i="1"/>
  <c r="M367" i="1"/>
  <c r="K367" i="1"/>
  <c r="P367" i="1" s="1"/>
  <c r="I368" i="1" s="1"/>
  <c r="K368" i="1" s="1"/>
  <c r="M368" i="1" l="1"/>
  <c r="L368" i="1"/>
  <c r="N368" i="1"/>
  <c r="O368" i="1"/>
  <c r="J368" i="1"/>
  <c r="P368" i="1" l="1"/>
  <c r="I369" i="1" s="1"/>
  <c r="M369" i="1" s="1"/>
  <c r="O369" i="1"/>
  <c r="AC134" i="1"/>
  <c r="L369" i="1" l="1"/>
  <c r="K369" i="1"/>
  <c r="J369" i="1"/>
  <c r="N369" i="1"/>
  <c r="AC136" i="1"/>
  <c r="P369" i="1" l="1"/>
  <c r="I370" i="1" s="1"/>
  <c r="K370" i="1" s="1"/>
  <c r="AC135" i="1"/>
  <c r="N370" i="1" l="1"/>
  <c r="M370" i="1"/>
  <c r="O370" i="1"/>
  <c r="L370" i="1"/>
  <c r="J370" i="1"/>
  <c r="P370" i="1"/>
  <c r="I371" i="1" s="1"/>
  <c r="J371" i="1" s="1"/>
  <c r="L371" i="1" l="1"/>
  <c r="K371" i="1"/>
  <c r="M371" i="1"/>
  <c r="O371" i="1"/>
  <c r="N371" i="1"/>
  <c r="P371" i="1"/>
  <c r="I372" i="1" s="1"/>
  <c r="L372" i="1" s="1"/>
  <c r="M372" i="1"/>
  <c r="O372" i="1"/>
  <c r="N372" i="1"/>
  <c r="K372" i="1" l="1"/>
  <c r="J372" i="1"/>
  <c r="P372" i="1" l="1"/>
  <c r="I373" i="1" s="1"/>
  <c r="N373" i="1"/>
  <c r="O373" i="1"/>
  <c r="K373" i="1"/>
  <c r="J373" i="1"/>
  <c r="M373" i="1"/>
  <c r="L373" i="1"/>
  <c r="AC137" i="1"/>
  <c r="AC138" i="1"/>
  <c r="P373" i="1" l="1"/>
  <c r="I374" i="1" s="1"/>
  <c r="N374" i="1" s="1"/>
  <c r="O374" i="1"/>
  <c r="L374" i="1"/>
  <c r="J374" i="1" l="1"/>
  <c r="M374" i="1"/>
  <c r="K374" i="1"/>
  <c r="P374" i="1" l="1"/>
  <c r="I375" i="1" s="1"/>
  <c r="K375" i="1" s="1"/>
  <c r="M375" i="1" l="1"/>
  <c r="N375" i="1"/>
  <c r="L375" i="1"/>
  <c r="J375" i="1"/>
  <c r="O375" i="1"/>
  <c r="P375" i="1" l="1"/>
  <c r="I376" i="1" s="1"/>
  <c r="M376" i="1" s="1"/>
  <c r="AC139" i="1"/>
  <c r="K376" i="1" l="1"/>
  <c r="L376" i="1"/>
  <c r="N376" i="1"/>
  <c r="J376" i="1"/>
  <c r="O376" i="1"/>
  <c r="P376" i="1" l="1"/>
  <c r="I377" i="1" s="1"/>
  <c r="K377" i="1"/>
  <c r="O377" i="1"/>
  <c r="J377" i="1"/>
  <c r="N377" i="1"/>
  <c r="L377" i="1"/>
  <c r="M377" i="1"/>
  <c r="P377" i="1" l="1"/>
  <c r="I378" i="1" s="1"/>
  <c r="M378" i="1"/>
  <c r="O378" i="1"/>
  <c r="J378" i="1"/>
  <c r="L378" i="1"/>
  <c r="N378" i="1"/>
  <c r="K378" i="1"/>
  <c r="AC141" i="1"/>
  <c r="P378" i="1" l="1"/>
  <c r="I379" i="1" s="1"/>
  <c r="J379" i="1" s="1"/>
  <c r="N379" i="1" l="1"/>
  <c r="O379" i="1"/>
  <c r="L379" i="1"/>
  <c r="K379" i="1"/>
  <c r="M379" i="1"/>
  <c r="P379" i="1" l="1"/>
  <c r="I380" i="1" s="1"/>
  <c r="K380" i="1" s="1"/>
  <c r="M380" i="1"/>
  <c r="N380" i="1"/>
  <c r="L380" i="1"/>
  <c r="O380" i="1"/>
  <c r="J380" i="1"/>
  <c r="P380" i="1" l="1"/>
  <c r="I381" i="1" s="1"/>
  <c r="J381" i="1" s="1"/>
  <c r="AC143" i="1"/>
  <c r="L381" i="1" l="1"/>
  <c r="N381" i="1"/>
  <c r="K381" i="1"/>
  <c r="M381" i="1"/>
  <c r="O381" i="1"/>
  <c r="P381" i="1" s="1"/>
  <c r="I382" i="1" s="1"/>
  <c r="K382" i="1" l="1"/>
  <c r="M382" i="1"/>
  <c r="O382" i="1"/>
  <c r="L382" i="1"/>
  <c r="J382" i="1"/>
  <c r="N382" i="1"/>
  <c r="P382" i="1" s="1"/>
  <c r="I383" i="1" s="1"/>
  <c r="K383" i="1" l="1"/>
  <c r="O383" i="1"/>
  <c r="L383" i="1"/>
  <c r="J383" i="1"/>
  <c r="M383" i="1"/>
  <c r="N383" i="1"/>
  <c r="P383" i="1" l="1"/>
  <c r="I384" i="1" s="1"/>
  <c r="M384" i="1" s="1"/>
  <c r="L384" i="1" l="1"/>
  <c r="N384" i="1"/>
  <c r="K384" i="1"/>
  <c r="O384" i="1"/>
  <c r="J384" i="1"/>
  <c r="AC140" i="1"/>
  <c r="P384" i="1" l="1"/>
  <c r="I385" i="1" s="1"/>
  <c r="M385" i="1" s="1"/>
  <c r="K385" i="1" l="1"/>
  <c r="O385" i="1"/>
  <c r="J385" i="1"/>
  <c r="L385" i="1"/>
  <c r="N385" i="1"/>
  <c r="P385" i="1" l="1"/>
  <c r="I386" i="1" s="1"/>
  <c r="K386" i="1" s="1"/>
  <c r="M386" i="1" l="1"/>
  <c r="N386" i="1"/>
  <c r="L386" i="1"/>
  <c r="O386" i="1"/>
  <c r="J386" i="1"/>
  <c r="AC142" i="1"/>
  <c r="P386" i="1" l="1"/>
  <c r="I387" i="1" s="1"/>
  <c r="N387" i="1" s="1"/>
  <c r="L387" i="1"/>
  <c r="M387" i="1" l="1"/>
  <c r="J387" i="1"/>
  <c r="K387" i="1"/>
  <c r="O387" i="1"/>
  <c r="P387" i="1" s="1"/>
  <c r="I388" i="1" s="1"/>
  <c r="K388" i="1" l="1"/>
  <c r="O388" i="1"/>
  <c r="N388" i="1"/>
  <c r="J388" i="1"/>
  <c r="M388" i="1"/>
  <c r="L388" i="1"/>
  <c r="P388" i="1" l="1"/>
  <c r="I389" i="1" s="1"/>
  <c r="K389" i="1" s="1"/>
  <c r="M389" i="1"/>
  <c r="N389" i="1"/>
  <c r="L389" i="1"/>
  <c r="J389" i="1"/>
  <c r="O389" i="1"/>
  <c r="AC144" i="1"/>
  <c r="P389" i="1" l="1"/>
  <c r="I390" i="1" s="1"/>
  <c r="K390" i="1"/>
  <c r="O390" i="1"/>
  <c r="L390" i="1"/>
  <c r="M390" i="1"/>
  <c r="N390" i="1"/>
  <c r="J390" i="1"/>
  <c r="AC149" i="1"/>
  <c r="P390" i="1" l="1"/>
  <c r="I391" i="1" s="1"/>
  <c r="L391" i="1" s="1"/>
  <c r="J391" i="1" l="1"/>
  <c r="N391" i="1"/>
  <c r="O391" i="1"/>
  <c r="M391" i="1"/>
  <c r="K391" i="1"/>
  <c r="AC145" i="1"/>
  <c r="P391" i="1" l="1"/>
  <c r="I392" i="1" s="1"/>
  <c r="N392" i="1" s="1"/>
  <c r="O392" i="1"/>
  <c r="M392" i="1"/>
  <c r="J392" i="1"/>
  <c r="L392" i="1"/>
  <c r="K392" i="1" l="1"/>
  <c r="P392" i="1"/>
  <c r="I393" i="1" s="1"/>
  <c r="K393" i="1" s="1"/>
  <c r="O393" i="1" l="1"/>
  <c r="J393" i="1"/>
  <c r="M393" i="1"/>
  <c r="N393" i="1"/>
  <c r="L393" i="1"/>
  <c r="AC146" i="1"/>
  <c r="AC151" i="1"/>
  <c r="P393" i="1" l="1"/>
  <c r="I394" i="1" s="1"/>
  <c r="O394" i="1" s="1"/>
  <c r="N394" i="1" l="1"/>
  <c r="M394" i="1"/>
  <c r="J394" i="1"/>
  <c r="L394" i="1"/>
  <c r="K394" i="1"/>
  <c r="AC147" i="1"/>
  <c r="P394" i="1" l="1"/>
  <c r="I395" i="1" s="1"/>
  <c r="J395" i="1" s="1"/>
  <c r="M395" i="1"/>
  <c r="N395" i="1"/>
  <c r="L395" i="1"/>
  <c r="O395" i="1" l="1"/>
  <c r="K395" i="1"/>
  <c r="AC148" i="1"/>
  <c r="P395" i="1" l="1"/>
  <c r="I396" i="1" s="1"/>
  <c r="J396" i="1" s="1"/>
  <c r="K396" i="1"/>
  <c r="N396" i="1"/>
  <c r="L396" i="1"/>
  <c r="O396" i="1"/>
  <c r="M396" i="1"/>
  <c r="P396" i="1" l="1"/>
  <c r="I397" i="1" s="1"/>
  <c r="M397" i="1" s="1"/>
  <c r="O397" i="1" l="1"/>
  <c r="K397" i="1"/>
  <c r="J397" i="1"/>
  <c r="L397" i="1"/>
  <c r="N397" i="1"/>
  <c r="P397" i="1" l="1"/>
  <c r="I398" i="1" s="1"/>
  <c r="N398" i="1" s="1"/>
  <c r="M398" i="1"/>
  <c r="AC150" i="1"/>
  <c r="O398" i="1" l="1"/>
  <c r="K398" i="1"/>
  <c r="L398" i="1"/>
  <c r="J398" i="1"/>
  <c r="P398" i="1" l="1"/>
  <c r="I399" i="1" s="1"/>
  <c r="J399" i="1" s="1"/>
  <c r="M399" i="1"/>
  <c r="N399" i="1"/>
  <c r="O399" i="1"/>
  <c r="L399" i="1"/>
  <c r="K399" i="1" l="1"/>
  <c r="P399" i="1"/>
  <c r="I400" i="1" s="1"/>
  <c r="J400" i="1" s="1"/>
  <c r="M400" i="1" l="1"/>
  <c r="N400" i="1"/>
  <c r="L400" i="1"/>
  <c r="K400" i="1"/>
  <c r="O400" i="1"/>
  <c r="AC152" i="1"/>
  <c r="P400" i="1" l="1"/>
  <c r="I401" i="1" s="1"/>
  <c r="O401" i="1" s="1"/>
  <c r="AC156" i="1"/>
  <c r="L401" i="1" l="1"/>
  <c r="N401" i="1"/>
  <c r="M401" i="1"/>
  <c r="J401" i="1"/>
  <c r="P401" i="1" s="1"/>
  <c r="I402" i="1" s="1"/>
  <c r="M402" i="1" s="1"/>
  <c r="K401" i="1"/>
  <c r="AC153" i="1"/>
  <c r="O402" i="1" l="1"/>
  <c r="L402" i="1"/>
  <c r="J402" i="1"/>
  <c r="N402" i="1"/>
  <c r="K402" i="1"/>
  <c r="P402" i="1" l="1"/>
  <c r="I403" i="1" s="1"/>
  <c r="J403" i="1" s="1"/>
  <c r="M403" i="1"/>
  <c r="L403" i="1"/>
  <c r="N403" i="1"/>
  <c r="AC154" i="1"/>
  <c r="O403" i="1" l="1"/>
  <c r="K403" i="1"/>
  <c r="P403" i="1" l="1"/>
  <c r="I404" i="1" s="1"/>
  <c r="K404" i="1" s="1"/>
  <c r="M404" i="1"/>
  <c r="N404" i="1"/>
  <c r="L404" i="1"/>
  <c r="O404" i="1"/>
  <c r="AC155" i="1"/>
  <c r="J404" i="1" l="1"/>
  <c r="P404" i="1" s="1"/>
  <c r="I405" i="1" s="1"/>
  <c r="N405" i="1"/>
  <c r="M405" i="1"/>
  <c r="L405" i="1"/>
  <c r="K405" i="1" l="1"/>
  <c r="P405" i="1" s="1"/>
  <c r="I406" i="1" s="1"/>
  <c r="J406" i="1" s="1"/>
  <c r="J405" i="1"/>
  <c r="O405" i="1"/>
  <c r="AC159" i="1"/>
  <c r="O406" i="1" l="1"/>
  <c r="N406" i="1"/>
  <c r="L406" i="1"/>
  <c r="M406" i="1"/>
  <c r="K406" i="1"/>
  <c r="P406" i="1" l="1"/>
  <c r="I407" i="1" s="1"/>
  <c r="J407" i="1" s="1"/>
  <c r="AC157" i="1"/>
  <c r="O407" i="1" l="1"/>
  <c r="K407" i="1"/>
  <c r="M407" i="1"/>
  <c r="N407" i="1"/>
  <c r="L407" i="1"/>
  <c r="P407" i="1" l="1"/>
  <c r="I408" i="1" s="1"/>
  <c r="J408" i="1" s="1"/>
  <c r="M408" i="1"/>
  <c r="L408" i="1"/>
  <c r="AC158" i="1"/>
  <c r="K408" i="1" l="1"/>
  <c r="O408" i="1"/>
  <c r="N408" i="1"/>
  <c r="P408" i="1" l="1"/>
  <c r="I409" i="1" s="1"/>
  <c r="J409" i="1" s="1"/>
  <c r="N409" i="1"/>
  <c r="L409" i="1"/>
  <c r="M409" i="1"/>
  <c r="O409" i="1" l="1"/>
  <c r="K409" i="1"/>
  <c r="P409" i="1" l="1"/>
  <c r="I410" i="1" s="1"/>
  <c r="O410" i="1" s="1"/>
  <c r="N410" i="1"/>
  <c r="M410" i="1"/>
  <c r="K410" i="1"/>
  <c r="J410" i="1"/>
  <c r="L410" i="1"/>
  <c r="AC160" i="1"/>
  <c r="AC162" i="1"/>
  <c r="P410" i="1" l="1"/>
  <c r="I411" i="1" s="1"/>
  <c r="K411" i="1" s="1"/>
  <c r="M411" i="1"/>
  <c r="N411" i="1" l="1"/>
  <c r="L411" i="1"/>
  <c r="O411" i="1"/>
  <c r="J411" i="1"/>
  <c r="AC161" i="1"/>
  <c r="AC163" i="1"/>
  <c r="P411" i="1" l="1"/>
  <c r="I412" i="1" s="1"/>
  <c r="K412" i="1" s="1"/>
  <c r="J412" i="1" l="1"/>
  <c r="O412" i="1"/>
  <c r="L412" i="1"/>
  <c r="M412" i="1"/>
  <c r="N412" i="1"/>
  <c r="P412" i="1" l="1"/>
  <c r="I413" i="1" s="1"/>
  <c r="L413" i="1" s="1"/>
  <c r="N413" i="1"/>
  <c r="K413" i="1"/>
  <c r="J413" i="1"/>
  <c r="M413" i="1"/>
  <c r="O413" i="1"/>
  <c r="P413" i="1" l="1"/>
  <c r="I414" i="1" s="1"/>
  <c r="M414" i="1" s="1"/>
  <c r="O414" i="1"/>
  <c r="N414" i="1" l="1"/>
  <c r="L414" i="1"/>
  <c r="K414" i="1"/>
  <c r="J414" i="1"/>
  <c r="P414" i="1" l="1"/>
  <c r="I415" i="1" s="1"/>
  <c r="K415" i="1" s="1"/>
  <c r="AC164" i="1"/>
  <c r="O415" i="1" l="1"/>
  <c r="M415" i="1"/>
  <c r="J415" i="1"/>
  <c r="L415" i="1"/>
  <c r="N415" i="1"/>
  <c r="P415" i="1" s="1"/>
  <c r="I416" i="1" s="1"/>
  <c r="L416" i="1" s="1"/>
  <c r="O416" i="1" l="1"/>
  <c r="M416" i="1"/>
  <c r="K416" i="1"/>
  <c r="N416" i="1"/>
  <c r="J416" i="1"/>
  <c r="AC165" i="1"/>
  <c r="AC166" i="1"/>
  <c r="P416" i="1" l="1"/>
  <c r="I417" i="1" s="1"/>
  <c r="J417" i="1" s="1"/>
  <c r="M417" i="1" l="1"/>
  <c r="L417" i="1"/>
  <c r="K417" i="1"/>
  <c r="N417" i="1"/>
  <c r="O417" i="1"/>
  <c r="AC167" i="1"/>
  <c r="P417" i="1" l="1"/>
  <c r="I418" i="1" s="1"/>
  <c r="J418" i="1" s="1"/>
  <c r="M418" i="1" l="1"/>
  <c r="L418" i="1"/>
  <c r="O418" i="1"/>
  <c r="K418" i="1"/>
  <c r="N418" i="1"/>
  <c r="P418" i="1" s="1"/>
  <c r="I419" i="1" s="1"/>
  <c r="O419" i="1" s="1"/>
  <c r="AC168" i="1"/>
  <c r="L419" i="1" l="1"/>
  <c r="N419" i="1"/>
  <c r="M419" i="1"/>
  <c r="K419" i="1"/>
  <c r="J419" i="1"/>
  <c r="P419" i="1" l="1"/>
  <c r="I420" i="1" s="1"/>
  <c r="K420" i="1" s="1"/>
  <c r="O420" i="1" l="1"/>
  <c r="M420" i="1"/>
  <c r="J420" i="1"/>
  <c r="L420" i="1"/>
  <c r="N420" i="1"/>
  <c r="P420" i="1" l="1"/>
  <c r="I421" i="1" s="1"/>
  <c r="J421" i="1" s="1"/>
  <c r="AC169" i="1"/>
  <c r="AC170" i="1"/>
  <c r="O421" i="1" l="1"/>
  <c r="L421" i="1"/>
  <c r="M421" i="1"/>
  <c r="N421" i="1"/>
  <c r="K421" i="1"/>
  <c r="V4" i="1"/>
  <c r="P421" i="1" l="1"/>
  <c r="I422" i="1" s="1"/>
  <c r="N422" i="1" s="1"/>
  <c r="O422" i="1"/>
  <c r="Y4" i="1"/>
  <c r="AB4" i="1"/>
  <c r="AF4" i="1" s="1"/>
  <c r="W4" i="1"/>
  <c r="AA4" i="1"/>
  <c r="X4" i="1"/>
  <c r="Z4" i="1"/>
  <c r="K422" i="1" l="1"/>
  <c r="J422" i="1"/>
  <c r="L422" i="1"/>
  <c r="M422" i="1"/>
  <c r="AD4" i="1"/>
  <c r="V5" i="1" s="1"/>
  <c r="P422" i="1" l="1"/>
  <c r="I423" i="1" s="1"/>
  <c r="K423" i="1" s="1"/>
  <c r="M423" i="1"/>
  <c r="O423" i="1"/>
  <c r="L423" i="1"/>
  <c r="N423" i="1"/>
  <c r="AG4" i="1"/>
  <c r="Z5" i="1"/>
  <c r="Y5" i="1"/>
  <c r="AA5" i="1"/>
  <c r="W5" i="1"/>
  <c r="X5" i="1"/>
  <c r="AB5" i="1"/>
  <c r="AF5" i="1" s="1"/>
  <c r="AC172" i="1"/>
  <c r="J423" i="1" l="1"/>
  <c r="P423" i="1"/>
  <c r="I424" i="1" s="1"/>
  <c r="M424" i="1" s="1"/>
  <c r="L424" i="1"/>
  <c r="AD5" i="1"/>
  <c r="AG5" i="1" s="1"/>
  <c r="AC171" i="1"/>
  <c r="O424" i="1" l="1"/>
  <c r="J424" i="1"/>
  <c r="N424" i="1"/>
  <c r="K424" i="1"/>
  <c r="V6" i="1"/>
  <c r="Z6" i="1" s="1"/>
  <c r="P424" i="1" l="1"/>
  <c r="I425" i="1" s="1"/>
  <c r="J425" i="1" s="1"/>
  <c r="M425" i="1"/>
  <c r="N425" i="1"/>
  <c r="L425" i="1"/>
  <c r="K425" i="1"/>
  <c r="O425" i="1"/>
  <c r="X6" i="1"/>
  <c r="Y6" i="1"/>
  <c r="AA6" i="1"/>
  <c r="W6" i="1"/>
  <c r="AB6" i="1"/>
  <c r="AF6" i="1" s="1"/>
  <c r="P425" i="1" l="1"/>
  <c r="I426" i="1" s="1"/>
  <c r="K426" i="1" s="1"/>
  <c r="N426" i="1"/>
  <c r="M426" i="1"/>
  <c r="L426" i="1"/>
  <c r="O426" i="1"/>
  <c r="AD6" i="1"/>
  <c r="AG6" i="1" s="1"/>
  <c r="J426" i="1" l="1"/>
  <c r="P426" i="1" s="1"/>
  <c r="I427" i="1" s="1"/>
  <c r="M427" i="1" s="1"/>
  <c r="V7" i="1"/>
  <c r="Z7" i="1" s="1"/>
  <c r="AC173" i="1"/>
  <c r="J427" i="1" l="1"/>
  <c r="K427" i="1"/>
  <c r="O427" i="1"/>
  <c r="N427" i="1"/>
  <c r="L427" i="1"/>
  <c r="AB7" i="1"/>
  <c r="AF7" i="1" s="1"/>
  <c r="W7" i="1"/>
  <c r="X7" i="1"/>
  <c r="Y7" i="1"/>
  <c r="AA7" i="1"/>
  <c r="P427" i="1" l="1"/>
  <c r="I428" i="1" s="1"/>
  <c r="M428" i="1" s="1"/>
  <c r="AD7" i="1"/>
  <c r="AG7" i="1" s="1"/>
  <c r="O428" i="1" l="1"/>
  <c r="J428" i="1"/>
  <c r="L428" i="1"/>
  <c r="K428" i="1"/>
  <c r="N428" i="1"/>
  <c r="V8" i="1"/>
  <c r="Y8" i="1" s="1"/>
  <c r="AC174" i="1"/>
  <c r="P428" i="1" l="1"/>
  <c r="I429" i="1" s="1"/>
  <c r="L429" i="1" s="1"/>
  <c r="Z8" i="1"/>
  <c r="W8" i="1"/>
  <c r="AA8" i="1"/>
  <c r="AB8" i="1"/>
  <c r="AF8" i="1" s="1"/>
  <c r="X8" i="1"/>
  <c r="M429" i="1" l="1"/>
  <c r="K429" i="1"/>
  <c r="J429" i="1"/>
  <c r="O429" i="1"/>
  <c r="N429" i="1"/>
  <c r="AD8" i="1"/>
  <c r="V9" i="1" s="1"/>
  <c r="AA9" i="1" s="1"/>
  <c r="AC176" i="1"/>
  <c r="P429" i="1" l="1"/>
  <c r="I430" i="1" s="1"/>
  <c r="K430" i="1" s="1"/>
  <c r="AG8" i="1"/>
  <c r="X9" i="1"/>
  <c r="Y9" i="1"/>
  <c r="W9" i="1"/>
  <c r="Z9" i="1"/>
  <c r="AB9" i="1"/>
  <c r="AF9" i="1" s="1"/>
  <c r="AC175" i="1"/>
  <c r="M430" i="1" l="1"/>
  <c r="O430" i="1"/>
  <c r="L430" i="1"/>
  <c r="J430" i="1"/>
  <c r="N430" i="1"/>
  <c r="AD9" i="1"/>
  <c r="P430" i="1" l="1"/>
  <c r="I431" i="1" s="1"/>
  <c r="J431" i="1" s="1"/>
  <c r="V10" i="1"/>
  <c r="AG9" i="1"/>
  <c r="O431" i="1" l="1"/>
  <c r="L431" i="1"/>
  <c r="N431" i="1"/>
  <c r="M431" i="1"/>
  <c r="K431" i="1"/>
  <c r="Y10" i="1"/>
  <c r="W10" i="1"/>
  <c r="AB10" i="1"/>
  <c r="Z10" i="1"/>
  <c r="X10" i="1"/>
  <c r="AA10" i="1"/>
  <c r="P431" i="1" l="1"/>
  <c r="I432" i="1" s="1"/>
  <c r="J432" i="1" s="1"/>
  <c r="AD10" i="1"/>
  <c r="AF10" i="1"/>
  <c r="AC177" i="1"/>
  <c r="AC178" i="1"/>
  <c r="M432" i="1" l="1"/>
  <c r="N432" i="1"/>
  <c r="L432" i="1"/>
  <c r="O432" i="1"/>
  <c r="K432" i="1"/>
  <c r="V11" i="1"/>
  <c r="AG10" i="1"/>
  <c r="P432" i="1" l="1"/>
  <c r="I433" i="1" s="1"/>
  <c r="J433" i="1" s="1"/>
  <c r="O433" i="1"/>
  <c r="K433" i="1"/>
  <c r="M433" i="1"/>
  <c r="L433" i="1"/>
  <c r="N433" i="1"/>
  <c r="W11" i="1"/>
  <c r="AB11" i="1"/>
  <c r="AF11" i="1" s="1"/>
  <c r="X11" i="1"/>
  <c r="Z11" i="1"/>
  <c r="Y11" i="1"/>
  <c r="AA11" i="1"/>
  <c r="P433" i="1" l="1"/>
  <c r="I434" i="1" s="1"/>
  <c r="K434" i="1" s="1"/>
  <c r="O434" i="1"/>
  <c r="AD11" i="1"/>
  <c r="AG11" i="1" s="1"/>
  <c r="M434" i="1" l="1"/>
  <c r="L434" i="1"/>
  <c r="J434" i="1"/>
  <c r="N434" i="1"/>
  <c r="V12" i="1"/>
  <c r="AA12" i="1" s="1"/>
  <c r="P434" i="1" l="1"/>
  <c r="I435" i="1" s="1"/>
  <c r="J435" i="1" s="1"/>
  <c r="M435" i="1"/>
  <c r="O435" i="1"/>
  <c r="Y12" i="1"/>
  <c r="X12" i="1"/>
  <c r="AB12" i="1"/>
  <c r="AF12" i="1" s="1"/>
  <c r="W12" i="1"/>
  <c r="Z12" i="1"/>
  <c r="AC179" i="1"/>
  <c r="L435" i="1" l="1"/>
  <c r="N435" i="1"/>
  <c r="K435" i="1"/>
  <c r="AD12" i="1"/>
  <c r="AG12" i="1" s="1"/>
  <c r="P435" i="1" l="1"/>
  <c r="I436" i="1" s="1"/>
  <c r="J436" i="1" s="1"/>
  <c r="O436" i="1"/>
  <c r="N436" i="1"/>
  <c r="L436" i="1"/>
  <c r="V13" i="1"/>
  <c r="AA13" i="1" s="1"/>
  <c r="AC180" i="1"/>
  <c r="AC181" i="1"/>
  <c r="M436" i="1" l="1"/>
  <c r="K436" i="1"/>
  <c r="AB13" i="1"/>
  <c r="AF13" i="1" s="1"/>
  <c r="Z13" i="1"/>
  <c r="Y13" i="1"/>
  <c r="X13" i="1"/>
  <c r="W13" i="1"/>
  <c r="P436" i="1" l="1"/>
  <c r="I437" i="1" s="1"/>
  <c r="L437" i="1"/>
  <c r="O437" i="1"/>
  <c r="N437" i="1"/>
  <c r="M437" i="1"/>
  <c r="K437" i="1"/>
  <c r="J437" i="1"/>
  <c r="AD13" i="1"/>
  <c r="AG13" i="1" s="1"/>
  <c r="P437" i="1" l="1"/>
  <c r="I438" i="1" s="1"/>
  <c r="N438" i="1" s="1"/>
  <c r="O438" i="1"/>
  <c r="K438" i="1"/>
  <c r="L438" i="1"/>
  <c r="V14" i="1"/>
  <c r="M438" i="1" l="1"/>
  <c r="J438" i="1"/>
  <c r="Y14" i="1"/>
  <c r="AB14" i="1"/>
  <c r="AF14" i="1" s="1"/>
  <c r="AA14" i="1"/>
  <c r="Z14" i="1"/>
  <c r="X14" i="1"/>
  <c r="W14" i="1"/>
  <c r="P438" i="1" l="1"/>
  <c r="I439" i="1" s="1"/>
  <c r="J439" i="1" s="1"/>
  <c r="AD14" i="1"/>
  <c r="AG14" i="1" s="1"/>
  <c r="AC182" i="1"/>
  <c r="L439" i="1" l="1"/>
  <c r="M439" i="1"/>
  <c r="N439" i="1"/>
  <c r="O439" i="1"/>
  <c r="K439" i="1"/>
  <c r="V15" i="1"/>
  <c r="X15" i="1" s="1"/>
  <c r="P439" i="1" l="1"/>
  <c r="I440" i="1" s="1"/>
  <c r="K440" i="1" s="1"/>
  <c r="N440" i="1"/>
  <c r="M440" i="1"/>
  <c r="L440" i="1"/>
  <c r="O440" i="1"/>
  <c r="J440" i="1"/>
  <c r="Y15" i="1"/>
  <c r="W15" i="1"/>
  <c r="AB15" i="1"/>
  <c r="AF15" i="1" s="1"/>
  <c r="Z15" i="1"/>
  <c r="AA15" i="1"/>
  <c r="P440" i="1" l="1"/>
  <c r="I441" i="1" s="1"/>
  <c r="M441" i="1" s="1"/>
  <c r="AD15" i="1"/>
  <c r="AG15" i="1" s="1"/>
  <c r="AC183" i="1"/>
  <c r="O441" i="1" l="1"/>
  <c r="J441" i="1"/>
  <c r="K441" i="1"/>
  <c r="L441" i="1"/>
  <c r="N441" i="1"/>
  <c r="V16" i="1"/>
  <c r="AA16" i="1" s="1"/>
  <c r="P441" i="1" l="1"/>
  <c r="I442" i="1" s="1"/>
  <c r="N442" i="1" s="1"/>
  <c r="O442" i="1"/>
  <c r="L442" i="1"/>
  <c r="M442" i="1"/>
  <c r="J442" i="1"/>
  <c r="K442" i="1"/>
  <c r="X16" i="1"/>
  <c r="AB16" i="1"/>
  <c r="AF16" i="1" s="1"/>
  <c r="Y16" i="1"/>
  <c r="W16" i="1"/>
  <c r="Z16" i="1"/>
  <c r="AC184" i="1"/>
  <c r="P442" i="1" l="1"/>
  <c r="I443" i="1" s="1"/>
  <c r="J443" i="1" s="1"/>
  <c r="AD16" i="1"/>
  <c r="AG16" i="1" s="1"/>
  <c r="K443" i="1" l="1"/>
  <c r="O443" i="1"/>
  <c r="M443" i="1"/>
  <c r="N443" i="1"/>
  <c r="L443" i="1"/>
  <c r="V17" i="1"/>
  <c r="W17" i="1" s="1"/>
  <c r="AC185" i="1"/>
  <c r="P443" i="1" l="1"/>
  <c r="I444" i="1" s="1"/>
  <c r="M444" i="1" s="1"/>
  <c r="AB17" i="1"/>
  <c r="AF17" i="1" s="1"/>
  <c r="Y17" i="1"/>
  <c r="AA17" i="1"/>
  <c r="Z17" i="1"/>
  <c r="X17" i="1"/>
  <c r="N444" i="1" l="1"/>
  <c r="L444" i="1"/>
  <c r="O444" i="1"/>
  <c r="K444" i="1"/>
  <c r="J444" i="1"/>
  <c r="AD17" i="1"/>
  <c r="V18" i="1" s="1"/>
  <c r="P444" i="1"/>
  <c r="I445" i="1" s="1"/>
  <c r="AC186" i="1"/>
  <c r="AG17" i="1" l="1"/>
  <c r="J445" i="1"/>
  <c r="K445" i="1"/>
  <c r="O445" i="1"/>
  <c r="M445" i="1"/>
  <c r="N445" i="1"/>
  <c r="L445" i="1"/>
  <c r="AA18" i="1"/>
  <c r="X18" i="1"/>
  <c r="W18" i="1"/>
  <c r="Z18" i="1"/>
  <c r="AB18" i="1"/>
  <c r="Y18" i="1"/>
  <c r="P445" i="1" l="1"/>
  <c r="I446" i="1" s="1"/>
  <c r="J446" i="1" s="1"/>
  <c r="AD18" i="1"/>
  <c r="AG18" i="1" s="1"/>
  <c r="AF18" i="1"/>
  <c r="AC187" i="1"/>
  <c r="N446" i="1" l="1"/>
  <c r="M446" i="1"/>
  <c r="K446" i="1"/>
  <c r="O446" i="1"/>
  <c r="L446" i="1"/>
  <c r="V19" i="1"/>
  <c r="Y19" i="1" s="1"/>
  <c r="P446" i="1" l="1"/>
  <c r="I447" i="1" s="1"/>
  <c r="J447" i="1" s="1"/>
  <c r="Z19" i="1"/>
  <c r="W19" i="1"/>
  <c r="AB19" i="1"/>
  <c r="AF19" i="1" s="1"/>
  <c r="X19" i="1"/>
  <c r="AA19" i="1"/>
  <c r="AC188" i="1"/>
  <c r="AC189" i="1"/>
  <c r="N447" i="1" l="1"/>
  <c r="O447" i="1"/>
  <c r="L447" i="1"/>
  <c r="M447" i="1"/>
  <c r="K447" i="1"/>
  <c r="AD19" i="1"/>
  <c r="AG19" i="1" s="1"/>
  <c r="P447" i="1" l="1"/>
  <c r="I448" i="1" s="1"/>
  <c r="K448" i="1" s="1"/>
  <c r="V20" i="1"/>
  <c r="Z20" i="1" s="1"/>
  <c r="L448" i="1" l="1"/>
  <c r="M448" i="1"/>
  <c r="J448" i="1"/>
  <c r="N448" i="1"/>
  <c r="O448" i="1"/>
  <c r="AB20" i="1"/>
  <c r="AF20" i="1" s="1"/>
  <c r="Y20" i="1"/>
  <c r="AA20" i="1"/>
  <c r="W20" i="1"/>
  <c r="X20" i="1"/>
  <c r="P448" i="1" l="1"/>
  <c r="I449" i="1" s="1"/>
  <c r="M449" i="1" s="1"/>
  <c r="AD20" i="1"/>
  <c r="AG20" i="1" s="1"/>
  <c r="AC191" i="1"/>
  <c r="N449" i="1" l="1"/>
  <c r="O449" i="1"/>
  <c r="J449" i="1"/>
  <c r="K449" i="1"/>
  <c r="L449" i="1"/>
  <c r="V21" i="1"/>
  <c r="W21" i="1" s="1"/>
  <c r="AC190" i="1"/>
  <c r="P449" i="1" l="1"/>
  <c r="I450" i="1" s="1"/>
  <c r="J450" i="1" s="1"/>
  <c r="AB21" i="1"/>
  <c r="AF21" i="1" s="1"/>
  <c r="Y21" i="1"/>
  <c r="X21" i="1"/>
  <c r="Z21" i="1"/>
  <c r="AA21" i="1"/>
  <c r="AC192" i="1"/>
  <c r="M450" i="1" l="1"/>
  <c r="L450" i="1"/>
  <c r="K450" i="1"/>
  <c r="N450" i="1"/>
  <c r="O450" i="1"/>
  <c r="AD21" i="1"/>
  <c r="AG21" i="1" s="1"/>
  <c r="P450" i="1" l="1"/>
  <c r="I451" i="1" s="1"/>
  <c r="N451" i="1" s="1"/>
  <c r="V22" i="1"/>
  <c r="X22" i="1" s="1"/>
  <c r="M451" i="1" l="1"/>
  <c r="L451" i="1"/>
  <c r="J451" i="1"/>
  <c r="K451" i="1"/>
  <c r="O451" i="1"/>
  <c r="AB22" i="1"/>
  <c r="AF22" i="1" s="1"/>
  <c r="AA22" i="1"/>
  <c r="Z22" i="1"/>
  <c r="W22" i="1"/>
  <c r="Y22" i="1"/>
  <c r="AC193" i="1"/>
  <c r="P451" i="1" l="1"/>
  <c r="I452" i="1" s="1"/>
  <c r="M452" i="1"/>
  <c r="J452" i="1"/>
  <c r="N452" i="1"/>
  <c r="O452" i="1"/>
  <c r="K452" i="1"/>
  <c r="L452" i="1"/>
  <c r="AD22" i="1"/>
  <c r="V23" i="1" s="1"/>
  <c r="Z23" i="1" s="1"/>
  <c r="P452" i="1" l="1"/>
  <c r="I453" i="1" s="1"/>
  <c r="K453" i="1" s="1"/>
  <c r="AG22" i="1"/>
  <c r="AB23" i="1"/>
  <c r="AF23" i="1" s="1"/>
  <c r="X23" i="1"/>
  <c r="Y23" i="1"/>
  <c r="W23" i="1"/>
  <c r="AA23" i="1"/>
  <c r="N453" i="1" l="1"/>
  <c r="M453" i="1"/>
  <c r="O453" i="1"/>
  <c r="J453" i="1"/>
  <c r="L453" i="1"/>
  <c r="AD23" i="1"/>
  <c r="AG23" i="1" s="1"/>
  <c r="P453" i="1" l="1"/>
  <c r="I454" i="1" s="1"/>
  <c r="K454" i="1" s="1"/>
  <c r="V24" i="1"/>
  <c r="Y24" i="1" s="1"/>
  <c r="L454" i="1" l="1"/>
  <c r="O454" i="1"/>
  <c r="J454" i="1"/>
  <c r="N454" i="1"/>
  <c r="M454" i="1"/>
  <c r="AA24" i="1"/>
  <c r="Z24" i="1"/>
  <c r="AB24" i="1"/>
  <c r="AF24" i="1" s="1"/>
  <c r="W24" i="1"/>
  <c r="X24" i="1"/>
  <c r="AC194" i="1"/>
  <c r="P454" i="1" l="1"/>
  <c r="I455" i="1" s="1"/>
  <c r="J455" i="1" s="1"/>
  <c r="O455" i="1"/>
  <c r="L455" i="1"/>
  <c r="M455" i="1"/>
  <c r="AD24" i="1"/>
  <c r="AC196" i="1"/>
  <c r="N455" i="1" l="1"/>
  <c r="K455" i="1"/>
  <c r="V25" i="1"/>
  <c r="AG24" i="1"/>
  <c r="AC195" i="1"/>
  <c r="P455" i="1" l="1"/>
  <c r="I456" i="1" s="1"/>
  <c r="L456" i="1"/>
  <c r="M456" i="1"/>
  <c r="O456" i="1"/>
  <c r="K456" i="1"/>
  <c r="N456" i="1"/>
  <c r="J456" i="1"/>
  <c r="Y25" i="1"/>
  <c r="W25" i="1"/>
  <c r="X25" i="1"/>
  <c r="AA25" i="1"/>
  <c r="AB25" i="1"/>
  <c r="AF25" i="1" s="1"/>
  <c r="Z25" i="1"/>
  <c r="P456" i="1" l="1"/>
  <c r="I457" i="1" s="1"/>
  <c r="J457" i="1" s="1"/>
  <c r="L457" i="1"/>
  <c r="M457" i="1"/>
  <c r="AD25" i="1"/>
  <c r="K457" i="1" l="1"/>
  <c r="N457" i="1"/>
  <c r="O457" i="1"/>
  <c r="P457" i="1" s="1"/>
  <c r="I458" i="1" s="1"/>
  <c r="AG25" i="1"/>
  <c r="V26" i="1"/>
  <c r="N458" i="1" l="1"/>
  <c r="K458" i="1"/>
  <c r="J458" i="1"/>
  <c r="O458" i="1"/>
  <c r="L458" i="1"/>
  <c r="M458" i="1"/>
  <c r="Y26" i="1"/>
  <c r="X26" i="1"/>
  <c r="W26" i="1"/>
  <c r="AB26" i="1"/>
  <c r="Z26" i="1"/>
  <c r="AA26" i="1"/>
  <c r="AC197" i="1"/>
  <c r="P458" i="1" l="1"/>
  <c r="I459" i="1" s="1"/>
  <c r="M459" i="1" s="1"/>
  <c r="AD26" i="1"/>
  <c r="V27" i="1" s="1"/>
  <c r="Y27" i="1" s="1"/>
  <c r="AF26" i="1"/>
  <c r="N459" i="1" l="1"/>
  <c r="J459" i="1"/>
  <c r="K459" i="1"/>
  <c r="O459" i="1"/>
  <c r="L459" i="1"/>
  <c r="P459" i="1" s="1"/>
  <c r="I460" i="1" s="1"/>
  <c r="M460" i="1" s="1"/>
  <c r="AG26" i="1"/>
  <c r="W27" i="1"/>
  <c r="X27" i="1"/>
  <c r="AB27" i="1"/>
  <c r="AF27" i="1" s="1"/>
  <c r="Z27" i="1"/>
  <c r="AA27" i="1"/>
  <c r="N460" i="1" l="1"/>
  <c r="L460" i="1"/>
  <c r="K460" i="1"/>
  <c r="J460" i="1"/>
  <c r="O460" i="1"/>
  <c r="AD27" i="1"/>
  <c r="V28" i="1" s="1"/>
  <c r="AA28" i="1" s="1"/>
  <c r="AC198" i="1"/>
  <c r="AC199" i="1"/>
  <c r="P460" i="1" l="1"/>
  <c r="I461" i="1" s="1"/>
  <c r="J461" i="1"/>
  <c r="L461" i="1"/>
  <c r="M461" i="1"/>
  <c r="N461" i="1"/>
  <c r="K461" i="1"/>
  <c r="O461" i="1"/>
  <c r="P461" i="1" s="1"/>
  <c r="I462" i="1" s="1"/>
  <c r="AG27" i="1"/>
  <c r="Y28" i="1"/>
  <c r="AB28" i="1"/>
  <c r="AF28" i="1" s="1"/>
  <c r="X28" i="1"/>
  <c r="W28" i="1"/>
  <c r="Z28" i="1"/>
  <c r="M462" i="1" l="1"/>
  <c r="L462" i="1"/>
  <c r="N462" i="1"/>
  <c r="J462" i="1"/>
  <c r="O462" i="1"/>
  <c r="K462" i="1"/>
  <c r="AD28" i="1"/>
  <c r="P462" i="1" l="1"/>
  <c r="I463" i="1" s="1"/>
  <c r="J463" i="1" s="1"/>
  <c r="O463" i="1"/>
  <c r="N463" i="1"/>
  <c r="K463" i="1"/>
  <c r="AG28" i="1"/>
  <c r="V29" i="1"/>
  <c r="M463" i="1" l="1"/>
  <c r="L463" i="1"/>
  <c r="X29" i="1"/>
  <c r="AA29" i="1"/>
  <c r="Y29" i="1"/>
  <c r="Z29" i="1"/>
  <c r="AB29" i="1"/>
  <c r="AF29" i="1" s="1"/>
  <c r="W29" i="1"/>
  <c r="P463" i="1" l="1"/>
  <c r="I464" i="1" s="1"/>
  <c r="J464" i="1" s="1"/>
  <c r="L464" i="1"/>
  <c r="AD29" i="1"/>
  <c r="AC200" i="1"/>
  <c r="N464" i="1" l="1"/>
  <c r="M464" i="1"/>
  <c r="K464" i="1"/>
  <c r="O464" i="1"/>
  <c r="AG29" i="1"/>
  <c r="V30" i="1"/>
  <c r="AC201" i="1"/>
  <c r="P464" i="1" l="1"/>
  <c r="I465" i="1" s="1"/>
  <c r="M465" i="1" s="1"/>
  <c r="X30" i="1"/>
  <c r="Y30" i="1"/>
  <c r="Z30" i="1"/>
  <c r="W30" i="1"/>
  <c r="AA30" i="1"/>
  <c r="AB30" i="1"/>
  <c r="AF30" i="1" s="1"/>
  <c r="O465" i="1" l="1"/>
  <c r="L465" i="1"/>
  <c r="J465" i="1"/>
  <c r="N465" i="1"/>
  <c r="K465" i="1"/>
  <c r="AD30" i="1"/>
  <c r="P465" i="1" l="1"/>
  <c r="I466" i="1" s="1"/>
  <c r="AG30" i="1"/>
  <c r="V31" i="1"/>
  <c r="N466" i="1" l="1"/>
  <c r="J466" i="1"/>
  <c r="K466" i="1"/>
  <c r="M466" i="1"/>
  <c r="L466" i="1"/>
  <c r="O466" i="1"/>
  <c r="AA31" i="1"/>
  <c r="Z31" i="1"/>
  <c r="AB31" i="1"/>
  <c r="AF31" i="1" s="1"/>
  <c r="Y31" i="1"/>
  <c r="W31" i="1"/>
  <c r="X31" i="1"/>
  <c r="P466" i="1" l="1"/>
  <c r="I467" i="1" s="1"/>
  <c r="J467" i="1"/>
  <c r="O467" i="1"/>
  <c r="K467" i="1"/>
  <c r="M467" i="1"/>
  <c r="N467" i="1"/>
  <c r="L467" i="1"/>
  <c r="AD31" i="1"/>
  <c r="AC202" i="1"/>
  <c r="P467" i="1" l="1"/>
  <c r="I468" i="1" s="1"/>
  <c r="O468" i="1"/>
  <c r="N468" i="1"/>
  <c r="J468" i="1"/>
  <c r="K468" i="1"/>
  <c r="M468" i="1"/>
  <c r="L468" i="1"/>
  <c r="V32" i="1"/>
  <c r="AG31" i="1"/>
  <c r="P468" i="1" l="1"/>
  <c r="I469" i="1" s="1"/>
  <c r="J469" i="1" s="1"/>
  <c r="L469" i="1"/>
  <c r="M469" i="1"/>
  <c r="O469" i="1"/>
  <c r="N469" i="1"/>
  <c r="K469" i="1"/>
  <c r="Y32" i="1"/>
  <c r="X32" i="1"/>
  <c r="AB32" i="1"/>
  <c r="AF32" i="1" s="1"/>
  <c r="W32" i="1"/>
  <c r="Z32" i="1"/>
  <c r="AA32" i="1"/>
  <c r="AC203" i="1"/>
  <c r="P469" i="1" l="1"/>
  <c r="I470" i="1" s="1"/>
  <c r="M470" i="1" s="1"/>
  <c r="L470" i="1"/>
  <c r="N470" i="1"/>
  <c r="K470" i="1"/>
  <c r="O470" i="1"/>
  <c r="J470" i="1"/>
  <c r="AD32" i="1"/>
  <c r="P470" i="1" l="1"/>
  <c r="I471" i="1" s="1"/>
  <c r="O471" i="1" s="1"/>
  <c r="AG32" i="1"/>
  <c r="V33" i="1"/>
  <c r="AC204" i="1"/>
  <c r="AC205" i="1"/>
  <c r="K471" i="1" l="1"/>
  <c r="N471" i="1"/>
  <c r="J471" i="1"/>
  <c r="L471" i="1"/>
  <c r="M471" i="1"/>
  <c r="AA33" i="1"/>
  <c r="Y33" i="1"/>
  <c r="AB33" i="1"/>
  <c r="AF33" i="1" s="1"/>
  <c r="Z33" i="1"/>
  <c r="X33" i="1"/>
  <c r="W33" i="1"/>
  <c r="P471" i="1"/>
  <c r="I472" i="1" s="1"/>
  <c r="AD33" i="1" l="1"/>
  <c r="K472" i="1"/>
  <c r="N472" i="1"/>
  <c r="O472" i="1"/>
  <c r="M472" i="1"/>
  <c r="J472" i="1"/>
  <c r="L472" i="1"/>
  <c r="AG33" i="1" l="1"/>
  <c r="V34" i="1"/>
  <c r="P472" i="1"/>
  <c r="I473" i="1" s="1"/>
  <c r="M473" i="1" s="1"/>
  <c r="AB34" i="1" l="1"/>
  <c r="AF34" i="1" s="1"/>
  <c r="Y34" i="1"/>
  <c r="W34" i="1"/>
  <c r="X34" i="1"/>
  <c r="AA34" i="1"/>
  <c r="Z34" i="1"/>
  <c r="N473" i="1"/>
  <c r="J473" i="1"/>
  <c r="O473" i="1"/>
  <c r="L473" i="1"/>
  <c r="K473" i="1"/>
  <c r="AD34" i="1" l="1"/>
  <c r="AG34" i="1" s="1"/>
  <c r="P473" i="1"/>
  <c r="I474" i="1" s="1"/>
  <c r="K474" i="1" s="1"/>
  <c r="AC206" i="1"/>
  <c r="V35" i="1" l="1"/>
  <c r="AB35" i="1" s="1"/>
  <c r="AF35" i="1" s="1"/>
  <c r="L474" i="1"/>
  <c r="N474" i="1"/>
  <c r="M474" i="1"/>
  <c r="J474" i="1"/>
  <c r="O474" i="1"/>
  <c r="Y35" i="1" l="1"/>
  <c r="Z35" i="1"/>
  <c r="W35" i="1"/>
  <c r="X35" i="1"/>
  <c r="AA35" i="1"/>
  <c r="P474" i="1"/>
  <c r="I475" i="1" s="1"/>
  <c r="AC207" i="1"/>
  <c r="AD35" i="1" l="1"/>
  <c r="AG35" i="1"/>
  <c r="V36" i="1"/>
  <c r="L475" i="1"/>
  <c r="M475" i="1"/>
  <c r="N475" i="1"/>
  <c r="K475" i="1"/>
  <c r="O475" i="1"/>
  <c r="J475" i="1"/>
  <c r="W36" i="1" l="1"/>
  <c r="Z36" i="1"/>
  <c r="X36" i="1"/>
  <c r="AA36" i="1"/>
  <c r="Y36" i="1"/>
  <c r="AB36" i="1"/>
  <c r="AF36" i="1" s="1"/>
  <c r="P475" i="1"/>
  <c r="I476" i="1" s="1"/>
  <c r="L476" i="1" s="1"/>
  <c r="AD36" i="1" l="1"/>
  <c r="M476" i="1"/>
  <c r="N476" i="1"/>
  <c r="J476" i="1"/>
  <c r="K476" i="1"/>
  <c r="O476" i="1"/>
  <c r="AC208" i="1"/>
  <c r="V37" i="1" l="1"/>
  <c r="AG36" i="1"/>
  <c r="P476" i="1"/>
  <c r="I477" i="1" s="1"/>
  <c r="K477" i="1" s="1"/>
  <c r="M477" i="1" l="1"/>
  <c r="L477" i="1"/>
  <c r="N477" i="1"/>
  <c r="O477" i="1"/>
  <c r="J477" i="1"/>
  <c r="W37" i="1"/>
  <c r="Z37" i="1"/>
  <c r="X37" i="1"/>
  <c r="AA37" i="1"/>
  <c r="AB37" i="1"/>
  <c r="AF37" i="1" s="1"/>
  <c r="Y37" i="1"/>
  <c r="AC210" i="1"/>
  <c r="P477" i="1" l="1"/>
  <c r="I478" i="1" s="1"/>
  <c r="M478" i="1" s="1"/>
  <c r="AD37" i="1"/>
  <c r="AG37" i="1" s="1"/>
  <c r="O478" i="1"/>
  <c r="N478" i="1"/>
  <c r="L478" i="1"/>
  <c r="K478" i="1"/>
  <c r="J478" i="1"/>
  <c r="AC209" i="1"/>
  <c r="V38" i="1" l="1"/>
  <c r="Z38" i="1" s="1"/>
  <c r="P478" i="1"/>
  <c r="I479" i="1" s="1"/>
  <c r="J479" i="1" s="1"/>
  <c r="AC211" i="1"/>
  <c r="AB38" i="1" l="1"/>
  <c r="AF38" i="1" s="1"/>
  <c r="X38" i="1"/>
  <c r="AA38" i="1"/>
  <c r="Y38" i="1"/>
  <c r="W38" i="1"/>
  <c r="M479" i="1"/>
  <c r="N479" i="1"/>
  <c r="L479" i="1"/>
  <c r="O479" i="1"/>
  <c r="K479" i="1"/>
  <c r="AC212" i="1"/>
  <c r="AD38" i="1" l="1"/>
  <c r="AG38" i="1" s="1"/>
  <c r="P479" i="1"/>
  <c r="I480" i="1" s="1"/>
  <c r="N480" i="1" s="1"/>
  <c r="V39" i="1" l="1"/>
  <c r="Z39" i="1" s="1"/>
  <c r="M480" i="1"/>
  <c r="O480" i="1"/>
  <c r="K480" i="1"/>
  <c r="L480" i="1"/>
  <c r="J480" i="1"/>
  <c r="AB39" i="1"/>
  <c r="AF39" i="1" s="1"/>
  <c r="X39" i="1"/>
  <c r="W39" i="1"/>
  <c r="AA39" i="1"/>
  <c r="Y39" i="1"/>
  <c r="AC213" i="1"/>
  <c r="P480" i="1" l="1"/>
  <c r="I481" i="1" s="1"/>
  <c r="L481" i="1" s="1"/>
  <c r="AD39" i="1"/>
  <c r="AG39" i="1" s="1"/>
  <c r="N481" i="1" l="1"/>
  <c r="J481" i="1"/>
  <c r="O481" i="1"/>
  <c r="K481" i="1"/>
  <c r="M481" i="1"/>
  <c r="V40" i="1"/>
  <c r="Y40" i="1" s="1"/>
  <c r="AA40" i="1" l="1"/>
  <c r="Z40" i="1"/>
  <c r="AB40" i="1"/>
  <c r="AF40" i="1" s="1"/>
  <c r="W40" i="1"/>
  <c r="P481" i="1"/>
  <c r="I482" i="1" s="1"/>
  <c r="K482" i="1" s="1"/>
  <c r="X40" i="1"/>
  <c r="L482" i="1" l="1"/>
  <c r="J482" i="1"/>
  <c r="M482" i="1"/>
  <c r="O482" i="1"/>
  <c r="AD40" i="1"/>
  <c r="AG40" i="1" s="1"/>
  <c r="N482" i="1"/>
  <c r="V41" i="1" l="1"/>
  <c r="X41" i="1" s="1"/>
  <c r="P482" i="1"/>
  <c r="I483" i="1" s="1"/>
  <c r="O483" i="1" s="1"/>
  <c r="AB41" i="1"/>
  <c r="AF41" i="1" s="1"/>
  <c r="Z41" i="1"/>
  <c r="Y41" i="1"/>
  <c r="W41" i="1"/>
  <c r="N483" i="1"/>
  <c r="AC215" i="1"/>
  <c r="AA41" i="1" l="1"/>
  <c r="AD41" i="1" s="1"/>
  <c r="V42" i="1" s="1"/>
  <c r="L483" i="1"/>
  <c r="J483" i="1"/>
  <c r="K483" i="1"/>
  <c r="M483" i="1"/>
  <c r="P483" i="1" l="1"/>
  <c r="I484" i="1" s="1"/>
  <c r="K484" i="1" s="1"/>
  <c r="AG41" i="1"/>
  <c r="M484" i="1"/>
  <c r="L484" i="1"/>
  <c r="AB42" i="1"/>
  <c r="AF42" i="1" s="1"/>
  <c r="Y42" i="1"/>
  <c r="AA42" i="1"/>
  <c r="Z42" i="1"/>
  <c r="W42" i="1"/>
  <c r="X42" i="1"/>
  <c r="AC214" i="1"/>
  <c r="AC216" i="1"/>
  <c r="N484" i="1" l="1"/>
  <c r="J484" i="1"/>
  <c r="O484" i="1"/>
  <c r="AD42" i="1"/>
  <c r="AC217" i="1"/>
  <c r="P484" i="1" l="1"/>
  <c r="I485" i="1" s="1"/>
  <c r="K485" i="1" s="1"/>
  <c r="L485" i="1"/>
  <c r="N485" i="1"/>
  <c r="M485" i="1"/>
  <c r="V43" i="1"/>
  <c r="AG42" i="1"/>
  <c r="O485" i="1" l="1"/>
  <c r="J485" i="1"/>
  <c r="AB43" i="1"/>
  <c r="AF43" i="1" s="1"/>
  <c r="X43" i="1"/>
  <c r="W43" i="1"/>
  <c r="Y43" i="1"/>
  <c r="Z43" i="1"/>
  <c r="AA43" i="1"/>
  <c r="P485" i="1" l="1"/>
  <c r="I486" i="1" s="1"/>
  <c r="L486" i="1" s="1"/>
  <c r="N486" i="1"/>
  <c r="O486" i="1"/>
  <c r="M486" i="1"/>
  <c r="J486" i="1"/>
  <c r="K486" i="1"/>
  <c r="AD43" i="1"/>
  <c r="AG43" i="1" s="1"/>
  <c r="AC218" i="1"/>
  <c r="P486" i="1" l="1"/>
  <c r="I487" i="1" s="1"/>
  <c r="L487" i="1" s="1"/>
  <c r="V44" i="1"/>
  <c r="X44" i="1" s="1"/>
  <c r="N487" i="1" l="1"/>
  <c r="J487" i="1"/>
  <c r="K487" i="1"/>
  <c r="M487" i="1"/>
  <c r="O487" i="1"/>
  <c r="W44" i="1"/>
  <c r="Z44" i="1"/>
  <c r="Y44" i="1"/>
  <c r="AB44" i="1"/>
  <c r="AF44" i="1" s="1"/>
  <c r="AA44" i="1"/>
  <c r="AC219" i="1"/>
  <c r="P487" i="1" l="1"/>
  <c r="I488" i="1" s="1"/>
  <c r="M488" i="1" s="1"/>
  <c r="N488" i="1"/>
  <c r="AD44" i="1"/>
  <c r="AG44" i="1" s="1"/>
  <c r="O488" i="1" l="1"/>
  <c r="J488" i="1"/>
  <c r="L488" i="1"/>
  <c r="K488" i="1"/>
  <c r="V45" i="1"/>
  <c r="Y45" i="1" s="1"/>
  <c r="AC220" i="1"/>
  <c r="P488" i="1" l="1"/>
  <c r="I489" i="1" s="1"/>
  <c r="K489" i="1" s="1"/>
  <c r="N489" i="1"/>
  <c r="J489" i="1"/>
  <c r="AB45" i="1"/>
  <c r="AF45" i="1" s="1"/>
  <c r="AA45" i="1"/>
  <c r="X45" i="1"/>
  <c r="Z45" i="1"/>
  <c r="W45" i="1"/>
  <c r="M489" i="1" l="1"/>
  <c r="L489" i="1"/>
  <c r="O489" i="1"/>
  <c r="P489" i="1" s="1"/>
  <c r="I490" i="1" s="1"/>
  <c r="M490" i="1" s="1"/>
  <c r="AD45" i="1"/>
  <c r="AG45" i="1" s="1"/>
  <c r="AC221" i="1"/>
  <c r="L490" i="1" l="1"/>
  <c r="K490" i="1"/>
  <c r="N490" i="1"/>
  <c r="J490" i="1"/>
  <c r="O490" i="1"/>
  <c r="P490" i="1" s="1"/>
  <c r="I491" i="1" s="1"/>
  <c r="V46" i="1"/>
  <c r="W46" i="1" s="1"/>
  <c r="AB46" i="1" l="1"/>
  <c r="AF46" i="1" s="1"/>
  <c r="M491" i="1"/>
  <c r="J491" i="1"/>
  <c r="K491" i="1"/>
  <c r="O491" i="1"/>
  <c r="L491" i="1"/>
  <c r="N491" i="1"/>
  <c r="Y46" i="1"/>
  <c r="X46" i="1"/>
  <c r="Z46" i="1"/>
  <c r="AA46" i="1"/>
  <c r="P491" i="1" l="1"/>
  <c r="I492" i="1" s="1"/>
  <c r="O492" i="1" s="1"/>
  <c r="AD46" i="1"/>
  <c r="AG46" i="1" s="1"/>
  <c r="N492" i="1"/>
  <c r="M492" i="1"/>
  <c r="J492" i="1"/>
  <c r="AC222" i="1"/>
  <c r="V47" i="1" l="1"/>
  <c r="Z47" i="1" s="1"/>
  <c r="L492" i="1"/>
  <c r="K492" i="1"/>
  <c r="AC223" i="1"/>
  <c r="AA47" i="1" l="1"/>
  <c r="AB47" i="1"/>
  <c r="AF47" i="1" s="1"/>
  <c r="Y47" i="1"/>
  <c r="W47" i="1"/>
  <c r="X47" i="1"/>
  <c r="P492" i="1"/>
  <c r="I493" i="1" s="1"/>
  <c r="L493" i="1" s="1"/>
  <c r="M493" i="1"/>
  <c r="K493" i="1"/>
  <c r="O493" i="1"/>
  <c r="J493" i="1"/>
  <c r="N493" i="1"/>
  <c r="AD47" i="1" l="1"/>
  <c r="V48" i="1" s="1"/>
  <c r="W48" i="1" s="1"/>
  <c r="P493" i="1"/>
  <c r="I494" i="1" s="1"/>
  <c r="M494" i="1" s="1"/>
  <c r="AG47" i="1"/>
  <c r="Y48" i="1"/>
  <c r="Z48" i="1"/>
  <c r="AB48" i="1"/>
  <c r="AF48" i="1" s="1"/>
  <c r="X48" i="1"/>
  <c r="AA48" i="1"/>
  <c r="AC224" i="1"/>
  <c r="O494" i="1" l="1"/>
  <c r="J494" i="1"/>
  <c r="K494" i="1"/>
  <c r="L494" i="1"/>
  <c r="N494" i="1"/>
  <c r="AD48" i="1"/>
  <c r="V49" i="1" s="1"/>
  <c r="P494" i="1" l="1"/>
  <c r="I495" i="1" s="1"/>
  <c r="K495" i="1" s="1"/>
  <c r="AG48" i="1"/>
  <c r="X49" i="1"/>
  <c r="AB49" i="1"/>
  <c r="AA49" i="1"/>
  <c r="Z49" i="1"/>
  <c r="W49" i="1"/>
  <c r="Y49" i="1"/>
  <c r="O495" i="1" l="1"/>
  <c r="N495" i="1"/>
  <c r="L495" i="1"/>
  <c r="M495" i="1"/>
  <c r="J495" i="1"/>
  <c r="AD49" i="1"/>
  <c r="V50" i="1" s="1"/>
  <c r="AF49" i="1"/>
  <c r="AC225" i="1"/>
  <c r="P495" i="1" l="1"/>
  <c r="I496" i="1" s="1"/>
  <c r="O496" i="1" s="1"/>
  <c r="N496" i="1"/>
  <c r="L496" i="1"/>
  <c r="M496" i="1"/>
  <c r="K496" i="1"/>
  <c r="J496" i="1"/>
  <c r="AA50" i="1"/>
  <c r="Z50" i="1"/>
  <c r="AG49" i="1"/>
  <c r="Y50" i="1"/>
  <c r="AB50" i="1"/>
  <c r="W50" i="1"/>
  <c r="X50" i="1"/>
  <c r="P496" i="1" l="1"/>
  <c r="I497" i="1" s="1"/>
  <c r="M497" i="1" s="1"/>
  <c r="L497" i="1"/>
  <c r="N497" i="1"/>
  <c r="K497" i="1"/>
  <c r="O497" i="1"/>
  <c r="J497" i="1"/>
  <c r="AD50" i="1"/>
  <c r="V51" i="1" s="1"/>
  <c r="AF50" i="1"/>
  <c r="P497" i="1" l="1"/>
  <c r="I498" i="1" s="1"/>
  <c r="K498" i="1" s="1"/>
  <c r="M498" i="1"/>
  <c r="O498" i="1"/>
  <c r="L498" i="1"/>
  <c r="J498" i="1"/>
  <c r="Y51" i="1"/>
  <c r="AA51" i="1"/>
  <c r="Z51" i="1"/>
  <c r="AG50" i="1"/>
  <c r="AB51" i="1"/>
  <c r="W51" i="1"/>
  <c r="X51" i="1"/>
  <c r="AC226" i="1"/>
  <c r="N498" i="1" l="1"/>
  <c r="P498" i="1"/>
  <c r="I499" i="1" s="1"/>
  <c r="N499" i="1" s="1"/>
  <c r="AD51" i="1"/>
  <c r="AG51" i="1" s="1"/>
  <c r="AF51" i="1"/>
  <c r="K499" i="1" l="1"/>
  <c r="L499" i="1"/>
  <c r="J499" i="1"/>
  <c r="M499" i="1"/>
  <c r="O499" i="1"/>
  <c r="V52" i="1"/>
  <c r="Y52" i="1" s="1"/>
  <c r="AB52" i="1"/>
  <c r="AF52" i="1" s="1"/>
  <c r="X52" i="1"/>
  <c r="W52" i="1"/>
  <c r="AA52" i="1" l="1"/>
  <c r="P499" i="1"/>
  <c r="I500" i="1" s="1"/>
  <c r="K500" i="1" s="1"/>
  <c r="Z52" i="1"/>
  <c r="O500" i="1"/>
  <c r="M500" i="1"/>
  <c r="J500" i="1"/>
  <c r="N500" i="1"/>
  <c r="L500" i="1"/>
  <c r="AC227" i="1"/>
  <c r="AD52" i="1" l="1"/>
  <c r="AG52" i="1" s="1"/>
  <c r="V53" i="1"/>
  <c r="W53" i="1" s="1"/>
  <c r="P500" i="1"/>
  <c r="I501" i="1" s="1"/>
  <c r="O501" i="1" s="1"/>
  <c r="AA53" i="1" l="1"/>
  <c r="Z53" i="1"/>
  <c r="X53" i="1"/>
  <c r="AB53" i="1"/>
  <c r="AF53" i="1" s="1"/>
  <c r="Y53" i="1"/>
  <c r="J501" i="1"/>
  <c r="K501" i="1"/>
  <c r="M501" i="1"/>
  <c r="N501" i="1"/>
  <c r="L501" i="1"/>
  <c r="AC228" i="1"/>
  <c r="AD53" i="1" l="1"/>
  <c r="V54" i="1" s="1"/>
  <c r="P501" i="1"/>
  <c r="I502" i="1" s="1"/>
  <c r="J502" i="1" s="1"/>
  <c r="AC229" i="1"/>
  <c r="AG53" i="1" l="1"/>
  <c r="M502" i="1"/>
  <c r="K502" i="1"/>
  <c r="O502" i="1"/>
  <c r="L502" i="1"/>
  <c r="N502" i="1"/>
  <c r="X54" i="1"/>
  <c r="Y54" i="1"/>
  <c r="Z54" i="1"/>
  <c r="AA54" i="1"/>
  <c r="AB54" i="1"/>
  <c r="W54" i="1"/>
  <c r="P502" i="1" l="1"/>
  <c r="I503" i="1" s="1"/>
  <c r="K503" i="1" s="1"/>
  <c r="AD54" i="1"/>
  <c r="AG54" i="1" s="1"/>
  <c r="AF54" i="1"/>
  <c r="AC230" i="1"/>
  <c r="O503" i="1" l="1"/>
  <c r="N503" i="1"/>
  <c r="M503" i="1"/>
  <c r="J503" i="1"/>
  <c r="L503" i="1"/>
  <c r="V55" i="1"/>
  <c r="AB55" i="1" s="1"/>
  <c r="P503" i="1" l="1"/>
  <c r="I504" i="1" s="1"/>
  <c r="O504" i="1" s="1"/>
  <c r="W55" i="1"/>
  <c r="X55" i="1"/>
  <c r="AA55" i="1"/>
  <c r="Z55" i="1"/>
  <c r="Y55" i="1"/>
  <c r="AF55" i="1"/>
  <c r="AC231" i="1"/>
  <c r="M504" i="1" l="1"/>
  <c r="J504" i="1"/>
  <c r="K504" i="1"/>
  <c r="L504" i="1"/>
  <c r="N504" i="1"/>
  <c r="AD55" i="1"/>
  <c r="V56" i="1" s="1"/>
  <c r="Y56" i="1" s="1"/>
  <c r="P504" i="1" l="1"/>
  <c r="I505" i="1" s="1"/>
  <c r="J505" i="1" s="1"/>
  <c r="AG55" i="1"/>
  <c r="AB56" i="1"/>
  <c r="AF56" i="1" s="1"/>
  <c r="X56" i="1"/>
  <c r="W56" i="1"/>
  <c r="Z56" i="1"/>
  <c r="AA56" i="1"/>
  <c r="AC232" i="1"/>
  <c r="N505" i="1" l="1"/>
  <c r="L505" i="1"/>
  <c r="K505" i="1"/>
  <c r="M505" i="1"/>
  <c r="O505" i="1"/>
  <c r="AD56" i="1"/>
  <c r="V57" i="1" s="1"/>
  <c r="Z57" i="1" s="1"/>
  <c r="P505" i="1" l="1"/>
  <c r="I506" i="1" s="1"/>
  <c r="N506" i="1" s="1"/>
  <c r="W57" i="1"/>
  <c r="Y57" i="1"/>
  <c r="AB57" i="1"/>
  <c r="AF57" i="1" s="1"/>
  <c r="X57" i="1"/>
  <c r="AG56" i="1"/>
  <c r="AA57" i="1"/>
  <c r="L506" i="1" l="1"/>
  <c r="M506" i="1"/>
  <c r="O506" i="1"/>
  <c r="J506" i="1"/>
  <c r="K506" i="1"/>
  <c r="AD57" i="1"/>
  <c r="AG57" i="1" s="1"/>
  <c r="AC233" i="1"/>
  <c r="P506" i="1" l="1"/>
  <c r="I507" i="1" s="1"/>
  <c r="L507" i="1" s="1"/>
  <c r="K507" i="1"/>
  <c r="O507" i="1"/>
  <c r="J507" i="1"/>
  <c r="N507" i="1"/>
  <c r="M507" i="1"/>
  <c r="V58" i="1"/>
  <c r="W58" i="1" s="1"/>
  <c r="Z58" i="1"/>
  <c r="Y58" i="1"/>
  <c r="AA58" i="1" l="1"/>
  <c r="AB58" i="1"/>
  <c r="AF58" i="1" s="1"/>
  <c r="P507" i="1"/>
  <c r="I508" i="1" s="1"/>
  <c r="K508" i="1" s="1"/>
  <c r="X58" i="1"/>
  <c r="M508" i="1"/>
  <c r="L508" i="1"/>
  <c r="N508" i="1"/>
  <c r="O508" i="1"/>
  <c r="AD58" i="1" l="1"/>
  <c r="AG58" i="1" s="1"/>
  <c r="J508" i="1"/>
  <c r="P508" i="1"/>
  <c r="I509" i="1" s="1"/>
  <c r="K509" i="1" s="1"/>
  <c r="AC234" i="1"/>
  <c r="V59" i="1" l="1"/>
  <c r="Y59" i="1" s="1"/>
  <c r="L509" i="1"/>
  <c r="AB59" i="1"/>
  <c r="AF59" i="1" s="1"/>
  <c r="AA59" i="1"/>
  <c r="X59" i="1"/>
  <c r="O509" i="1"/>
  <c r="M509" i="1"/>
  <c r="N509" i="1"/>
  <c r="J509" i="1"/>
  <c r="Z59" i="1" l="1"/>
  <c r="W59" i="1"/>
  <c r="P509" i="1"/>
  <c r="I510" i="1" s="1"/>
  <c r="J510" i="1" s="1"/>
  <c r="AD59" i="1" l="1"/>
  <c r="N510" i="1"/>
  <c r="O510" i="1"/>
  <c r="M510" i="1"/>
  <c r="L510" i="1"/>
  <c r="K510" i="1"/>
  <c r="AG59" i="1"/>
  <c r="V60" i="1"/>
  <c r="AC235" i="1"/>
  <c r="P510" i="1" l="1"/>
  <c r="I511" i="1" s="1"/>
  <c r="L511" i="1" s="1"/>
  <c r="AB60" i="1"/>
  <c r="AF60" i="1" s="1"/>
  <c r="Y60" i="1"/>
  <c r="Z60" i="1"/>
  <c r="W60" i="1"/>
  <c r="X60" i="1"/>
  <c r="AA60" i="1"/>
  <c r="K511" i="1"/>
  <c r="J511" i="1"/>
  <c r="N511" i="1"/>
  <c r="M511" i="1" l="1"/>
  <c r="O511" i="1"/>
  <c r="AD60" i="1"/>
  <c r="AC236" i="1"/>
  <c r="P511" i="1" l="1"/>
  <c r="I512" i="1" s="1"/>
  <c r="N512" i="1" s="1"/>
  <c r="O512" i="1"/>
  <c r="AG60" i="1"/>
  <c r="V61" i="1"/>
  <c r="L512" i="1" l="1"/>
  <c r="M512" i="1"/>
  <c r="J512" i="1"/>
  <c r="K512" i="1"/>
  <c r="X61" i="1"/>
  <c r="AB61" i="1"/>
  <c r="AF61" i="1" s="1"/>
  <c r="Z61" i="1"/>
  <c r="AA61" i="1"/>
  <c r="Y61" i="1"/>
  <c r="W61" i="1"/>
  <c r="AC237" i="1"/>
  <c r="P512" i="1" l="1"/>
  <c r="I513" i="1" s="1"/>
  <c r="J513" i="1" s="1"/>
  <c r="AD61" i="1"/>
  <c r="V62" i="1" s="1"/>
  <c r="O513" i="1" l="1"/>
  <c r="N513" i="1"/>
  <c r="M513" i="1"/>
  <c r="L513" i="1"/>
  <c r="K513" i="1"/>
  <c r="AG61" i="1"/>
  <c r="X62" i="1"/>
  <c r="AA62" i="1"/>
  <c r="Y62" i="1"/>
  <c r="Z62" i="1"/>
  <c r="W62" i="1"/>
  <c r="AB62" i="1"/>
  <c r="AF62" i="1" s="1"/>
  <c r="P513" i="1" l="1"/>
  <c r="I514" i="1" s="1"/>
  <c r="J514" i="1"/>
  <c r="O514" i="1"/>
  <c r="L514" i="1"/>
  <c r="N514" i="1"/>
  <c r="K514" i="1"/>
  <c r="M514" i="1"/>
  <c r="AD62" i="1"/>
  <c r="P514" i="1" l="1"/>
  <c r="I515" i="1" s="1"/>
  <c r="O515" i="1" s="1"/>
  <c r="K515" i="1"/>
  <c r="J515" i="1"/>
  <c r="L515" i="1"/>
  <c r="N515" i="1"/>
  <c r="M515" i="1"/>
  <c r="AG62" i="1"/>
  <c r="V63" i="1"/>
  <c r="P515" i="1" l="1"/>
  <c r="I516" i="1" s="1"/>
  <c r="K516" i="1" s="1"/>
  <c r="N516" i="1"/>
  <c r="J516" i="1"/>
  <c r="L516" i="1"/>
  <c r="M516" i="1"/>
  <c r="O516" i="1"/>
  <c r="AA63" i="1"/>
  <c r="AB63" i="1"/>
  <c r="AF63" i="1" s="1"/>
  <c r="W63" i="1"/>
  <c r="X63" i="1"/>
  <c r="Y63" i="1"/>
  <c r="Z63" i="1"/>
  <c r="AC238" i="1"/>
  <c r="P516" i="1" l="1"/>
  <c r="I517" i="1" s="1"/>
  <c r="J517" i="1" s="1"/>
  <c r="AD63" i="1"/>
  <c r="M517" i="1"/>
  <c r="AC239" i="1"/>
  <c r="K517" i="1" l="1"/>
  <c r="O517" i="1"/>
  <c r="L517" i="1"/>
  <c r="N517" i="1"/>
  <c r="V64" i="1"/>
  <c r="AG63" i="1"/>
  <c r="P517" i="1" l="1"/>
  <c r="I518" i="1" s="1"/>
  <c r="K518" i="1" s="1"/>
  <c r="N518" i="1"/>
  <c r="AA64" i="1"/>
  <c r="AB64" i="1"/>
  <c r="W64" i="1"/>
  <c r="Z64" i="1"/>
  <c r="X64" i="1"/>
  <c r="Y64" i="1"/>
  <c r="J518" i="1"/>
  <c r="M518" i="1"/>
  <c r="L518" i="1"/>
  <c r="O518" i="1"/>
  <c r="AD64" i="1" l="1"/>
  <c r="AG64" i="1" s="1"/>
  <c r="AF64" i="1"/>
  <c r="P518" i="1"/>
  <c r="I519" i="1" s="1"/>
  <c r="M519" i="1" s="1"/>
  <c r="AC240" i="1"/>
  <c r="V65" i="1" l="1"/>
  <c r="Y65" i="1" s="1"/>
  <c r="L519" i="1"/>
  <c r="N519" i="1"/>
  <c r="O519" i="1"/>
  <c r="K519" i="1"/>
  <c r="J519" i="1"/>
  <c r="W65" i="1" l="1"/>
  <c r="X65" i="1"/>
  <c r="AB65" i="1"/>
  <c r="AF65" i="1" s="1"/>
  <c r="Z65" i="1"/>
  <c r="AA65" i="1"/>
  <c r="P519" i="1"/>
  <c r="I520" i="1" s="1"/>
  <c r="K520" i="1" s="1"/>
  <c r="AC241" i="1"/>
  <c r="AD65" i="1" l="1"/>
  <c r="AG65" i="1" s="1"/>
  <c r="M520" i="1"/>
  <c r="J520" i="1"/>
  <c r="N520" i="1"/>
  <c r="L520" i="1"/>
  <c r="O520" i="1"/>
  <c r="V66" i="1" l="1"/>
  <c r="W66" i="1" s="1"/>
  <c r="AB66" i="1"/>
  <c r="AF66" i="1" s="1"/>
  <c r="P520" i="1"/>
  <c r="I521" i="1" s="1"/>
  <c r="K521" i="1" s="1"/>
  <c r="X66" i="1"/>
  <c r="AA66" i="1"/>
  <c r="Y66" i="1"/>
  <c r="Z66" i="1"/>
  <c r="AC242" i="1"/>
  <c r="N521" i="1" l="1"/>
  <c r="O521" i="1"/>
  <c r="J521" i="1"/>
  <c r="L521" i="1"/>
  <c r="M521" i="1"/>
  <c r="AD66" i="1"/>
  <c r="AG66" i="1" s="1"/>
  <c r="P521" i="1" l="1"/>
  <c r="I522" i="1" s="1"/>
  <c r="K522" i="1" s="1"/>
  <c r="V67" i="1"/>
  <c r="W67" i="1" s="1"/>
  <c r="AC243" i="1"/>
  <c r="N522" i="1" l="1"/>
  <c r="L522" i="1"/>
  <c r="J522" i="1"/>
  <c r="O522" i="1"/>
  <c r="M522" i="1"/>
  <c r="AA67" i="1"/>
  <c r="Z67" i="1"/>
  <c r="Y67" i="1"/>
  <c r="X67" i="1"/>
  <c r="AB67" i="1"/>
  <c r="AF67" i="1" s="1"/>
  <c r="P522" i="1" l="1"/>
  <c r="I523" i="1" s="1"/>
  <c r="J523" i="1" s="1"/>
  <c r="K523" i="1"/>
  <c r="L523" i="1"/>
  <c r="AD67" i="1"/>
  <c r="AG67" i="1" s="1"/>
  <c r="AC244" i="1"/>
  <c r="M523" i="1" l="1"/>
  <c r="N523" i="1"/>
  <c r="O523" i="1"/>
  <c r="P523" i="1" s="1"/>
  <c r="I524" i="1" s="1"/>
  <c r="K524" i="1" s="1"/>
  <c r="V68" i="1"/>
  <c r="AB68" i="1" s="1"/>
  <c r="AF68" i="1" s="1"/>
  <c r="N524" i="1" l="1"/>
  <c r="L524" i="1"/>
  <c r="J524" i="1"/>
  <c r="O524" i="1"/>
  <c r="M524" i="1"/>
  <c r="Z68" i="1"/>
  <c r="Y68" i="1"/>
  <c r="AA68" i="1"/>
  <c r="W68" i="1"/>
  <c r="X68" i="1"/>
  <c r="P524" i="1" l="1"/>
  <c r="I525" i="1" s="1"/>
  <c r="J525" i="1" s="1"/>
  <c r="AD68" i="1"/>
  <c r="AG68" i="1" s="1"/>
  <c r="AC245" i="1"/>
  <c r="L525" i="1" l="1"/>
  <c r="M525" i="1"/>
  <c r="N525" i="1"/>
  <c r="K525" i="1"/>
  <c r="O525" i="1"/>
  <c r="V69" i="1"/>
  <c r="AA69" i="1" s="1"/>
  <c r="P525" i="1" l="1"/>
  <c r="I526" i="1" s="1"/>
  <c r="K526" i="1" s="1"/>
  <c r="N526" i="1"/>
  <c r="O526" i="1"/>
  <c r="M526" i="1"/>
  <c r="L526" i="1"/>
  <c r="W69" i="1"/>
  <c r="Y69" i="1"/>
  <c r="AB69" i="1"/>
  <c r="AF69" i="1" s="1"/>
  <c r="Z69" i="1"/>
  <c r="X69" i="1"/>
  <c r="J526" i="1" l="1"/>
  <c r="P526" i="1" s="1"/>
  <c r="I527" i="1" s="1"/>
  <c r="O527" i="1" s="1"/>
  <c r="AD69" i="1"/>
  <c r="V70" i="1" s="1"/>
  <c r="Z70" i="1" s="1"/>
  <c r="AC246" i="1"/>
  <c r="N527" i="1" l="1"/>
  <c r="L527" i="1"/>
  <c r="M527" i="1"/>
  <c r="K527" i="1"/>
  <c r="J527" i="1"/>
  <c r="AG69" i="1"/>
  <c r="W70" i="1"/>
  <c r="AB70" i="1"/>
  <c r="AF70" i="1" s="1"/>
  <c r="X70" i="1"/>
  <c r="AA70" i="1"/>
  <c r="Y70" i="1"/>
  <c r="P527" i="1" l="1"/>
  <c r="I528" i="1" s="1"/>
  <c r="O528" i="1" s="1"/>
  <c r="M528" i="1"/>
  <c r="L528" i="1"/>
  <c r="AD70" i="1"/>
  <c r="AC247" i="1"/>
  <c r="K528" i="1" l="1"/>
  <c r="N528" i="1"/>
  <c r="J528" i="1"/>
  <c r="V71" i="1"/>
  <c r="AG70" i="1"/>
  <c r="P528" i="1" l="1"/>
  <c r="I529" i="1" s="1"/>
  <c r="J529" i="1" s="1"/>
  <c r="L529" i="1"/>
  <c r="N529" i="1"/>
  <c r="M529" i="1"/>
  <c r="O529" i="1"/>
  <c r="AA71" i="1"/>
  <c r="Z71" i="1"/>
  <c r="AB71" i="1"/>
  <c r="AF71" i="1" s="1"/>
  <c r="X71" i="1"/>
  <c r="W71" i="1"/>
  <c r="Y71" i="1"/>
  <c r="AC248" i="1"/>
  <c r="K529" i="1" l="1"/>
  <c r="P529" i="1"/>
  <c r="I530" i="1" s="1"/>
  <c r="K530" i="1" s="1"/>
  <c r="M530" i="1"/>
  <c r="O530" i="1"/>
  <c r="L530" i="1"/>
  <c r="AD71" i="1"/>
  <c r="N530" i="1" l="1"/>
  <c r="J530" i="1"/>
  <c r="P530" i="1"/>
  <c r="I531" i="1" s="1"/>
  <c r="O531" i="1" s="1"/>
  <c r="V72" i="1"/>
  <c r="AG71" i="1"/>
  <c r="N531" i="1"/>
  <c r="M531" i="1"/>
  <c r="K531" i="1" l="1"/>
  <c r="J531" i="1"/>
  <c r="L531" i="1"/>
  <c r="W72" i="1"/>
  <c r="Z72" i="1"/>
  <c r="AB72" i="1"/>
  <c r="Y72" i="1"/>
  <c r="X72" i="1"/>
  <c r="AA72" i="1"/>
  <c r="AC249" i="1"/>
  <c r="P531" i="1" l="1"/>
  <c r="I532" i="1" s="1"/>
  <c r="O532" i="1" s="1"/>
  <c r="AF72" i="1"/>
  <c r="AD72" i="1"/>
  <c r="J532" i="1"/>
  <c r="N532" i="1"/>
  <c r="K532" i="1"/>
  <c r="L532" i="1"/>
  <c r="M532" i="1"/>
  <c r="AG72" i="1" l="1"/>
  <c r="V73" i="1"/>
  <c r="P532" i="1"/>
  <c r="I533" i="1" s="1"/>
  <c r="J533" i="1" s="1"/>
  <c r="X73" i="1" l="1"/>
  <c r="W73" i="1"/>
  <c r="AB73" i="1"/>
  <c r="AF73" i="1" s="1"/>
  <c r="AA73" i="1"/>
  <c r="Y73" i="1"/>
  <c r="Z73" i="1"/>
  <c r="O533" i="1"/>
  <c r="M533" i="1"/>
  <c r="N533" i="1"/>
  <c r="L533" i="1"/>
  <c r="K533" i="1"/>
  <c r="AD73" i="1" l="1"/>
  <c r="AG73" i="1" s="1"/>
  <c r="P533" i="1"/>
  <c r="I534" i="1" s="1"/>
  <c r="K534" i="1" s="1"/>
  <c r="V74" i="1" l="1"/>
  <c r="Y74" i="1" s="1"/>
  <c r="AB74" i="1"/>
  <c r="L534" i="1"/>
  <c r="M534" i="1"/>
  <c r="O534" i="1"/>
  <c r="N534" i="1"/>
  <c r="J534" i="1"/>
  <c r="AC250" i="1"/>
  <c r="Z74" i="1" l="1"/>
  <c r="X74" i="1"/>
  <c r="W74" i="1"/>
  <c r="AA74" i="1"/>
  <c r="AF74" i="1"/>
  <c r="P534" i="1"/>
  <c r="I535" i="1" s="1"/>
  <c r="N535" i="1" s="1"/>
  <c r="AD74" i="1" l="1"/>
  <c r="V75" i="1" s="1"/>
  <c r="Y75" i="1" s="1"/>
  <c r="Z75" i="1"/>
  <c r="AG74" i="1"/>
  <c r="O535" i="1"/>
  <c r="L535" i="1"/>
  <c r="K535" i="1"/>
  <c r="J535" i="1"/>
  <c r="M535" i="1"/>
  <c r="X75" i="1"/>
  <c r="W75" i="1"/>
  <c r="AB75" i="1"/>
  <c r="AF75" i="1" s="1"/>
  <c r="AA75" i="1"/>
  <c r="AC252" i="1"/>
  <c r="P535" i="1" l="1"/>
  <c r="I536" i="1" s="1"/>
  <c r="O536" i="1" s="1"/>
  <c r="AD75" i="1"/>
  <c r="V76" i="1" s="1"/>
  <c r="AA76" i="1" s="1"/>
  <c r="N536" i="1"/>
  <c r="K536" i="1"/>
  <c r="L536" i="1"/>
  <c r="AC251" i="1"/>
  <c r="AG75" i="1" l="1"/>
  <c r="Z76" i="1"/>
  <c r="Y76" i="1"/>
  <c r="J536" i="1"/>
  <c r="M536" i="1"/>
  <c r="W76" i="1"/>
  <c r="AB76" i="1"/>
  <c r="AF76" i="1" s="1"/>
  <c r="X76" i="1"/>
  <c r="P536" i="1" l="1"/>
  <c r="I537" i="1" s="1"/>
  <c r="L537" i="1"/>
  <c r="N537" i="1"/>
  <c r="O537" i="1"/>
  <c r="K537" i="1"/>
  <c r="M537" i="1"/>
  <c r="J537" i="1"/>
  <c r="AD76" i="1"/>
  <c r="P537" i="1" l="1"/>
  <c r="I538" i="1" s="1"/>
  <c r="J538" i="1" s="1"/>
  <c r="AG76" i="1"/>
  <c r="V77" i="1"/>
  <c r="O538" i="1"/>
  <c r="M538" i="1"/>
  <c r="L538" i="1"/>
  <c r="K538" i="1"/>
  <c r="N538" i="1"/>
  <c r="X77" i="1" l="1"/>
  <c r="Z77" i="1"/>
  <c r="W77" i="1"/>
  <c r="AB77" i="1"/>
  <c r="AF77" i="1" s="1"/>
  <c r="AA77" i="1"/>
  <c r="Y77" i="1"/>
  <c r="P538" i="1"/>
  <c r="I539" i="1" s="1"/>
  <c r="J539" i="1" s="1"/>
  <c r="AC253" i="1"/>
  <c r="AC254" i="1"/>
  <c r="AD77" i="1" l="1"/>
  <c r="L539" i="1"/>
  <c r="M539" i="1"/>
  <c r="O539" i="1"/>
  <c r="N539" i="1"/>
  <c r="K539" i="1"/>
  <c r="AG77" i="1" l="1"/>
  <c r="V78" i="1"/>
  <c r="P539" i="1"/>
  <c r="I540" i="1" s="1"/>
  <c r="L540" i="1" s="1"/>
  <c r="Z78" i="1" l="1"/>
  <c r="X78" i="1"/>
  <c r="AB78" i="1"/>
  <c r="AF78" i="1" s="1"/>
  <c r="W78" i="1"/>
  <c r="AA78" i="1"/>
  <c r="Y78" i="1"/>
  <c r="J540" i="1"/>
  <c r="M540" i="1"/>
  <c r="K540" i="1"/>
  <c r="N540" i="1"/>
  <c r="O540" i="1"/>
  <c r="AC255" i="1"/>
  <c r="AD78" i="1" l="1"/>
  <c r="AG78" i="1" s="1"/>
  <c r="P540" i="1"/>
  <c r="I541" i="1" s="1"/>
  <c r="J541" i="1" s="1"/>
  <c r="V79" i="1" l="1"/>
  <c r="Y79" i="1" s="1"/>
  <c r="N541" i="1"/>
  <c r="L541" i="1"/>
  <c r="O541" i="1"/>
  <c r="K541" i="1"/>
  <c r="M541" i="1"/>
  <c r="AB79" i="1" l="1"/>
  <c r="AF79" i="1" s="1"/>
  <c r="W79" i="1"/>
  <c r="X79" i="1"/>
  <c r="AA79" i="1"/>
  <c r="Z79" i="1"/>
  <c r="P541" i="1"/>
  <c r="I542" i="1" s="1"/>
  <c r="O542" i="1" s="1"/>
  <c r="AD79" i="1" l="1"/>
  <c r="AG79" i="1" s="1"/>
  <c r="K542" i="1"/>
  <c r="N542" i="1"/>
  <c r="J542" i="1"/>
  <c r="L542" i="1"/>
  <c r="M542" i="1"/>
  <c r="V80" i="1" l="1"/>
  <c r="AA80" i="1" s="1"/>
  <c r="P542" i="1"/>
  <c r="I543" i="1" s="1"/>
  <c r="N543" i="1" s="1"/>
  <c r="AC256" i="1"/>
  <c r="AC257" i="1"/>
  <c r="O543" i="1" l="1"/>
  <c r="Y80" i="1"/>
  <c r="W80" i="1"/>
  <c r="Z80" i="1"/>
  <c r="X80" i="1"/>
  <c r="AB80" i="1"/>
  <c r="AF80" i="1" s="1"/>
  <c r="M543" i="1"/>
  <c r="K543" i="1"/>
  <c r="L543" i="1"/>
  <c r="J543" i="1"/>
  <c r="AD80" i="1" l="1"/>
  <c r="P543" i="1"/>
  <c r="I544" i="1" s="1"/>
  <c r="N544" i="1" s="1"/>
  <c r="O544" i="1"/>
  <c r="M544" i="1"/>
  <c r="K544" i="1" l="1"/>
  <c r="J544" i="1"/>
  <c r="V81" i="1"/>
  <c r="AG80" i="1"/>
  <c r="L544" i="1"/>
  <c r="P544" i="1" l="1"/>
  <c r="I545" i="1" s="1"/>
  <c r="M545" i="1" s="1"/>
  <c r="AB81" i="1"/>
  <c r="AF81" i="1" s="1"/>
  <c r="X81" i="1"/>
  <c r="W81" i="1"/>
  <c r="Z81" i="1"/>
  <c r="Y81" i="1"/>
  <c r="AA81" i="1"/>
  <c r="O545" i="1"/>
  <c r="L545" i="1"/>
  <c r="J545" i="1"/>
  <c r="K545" i="1"/>
  <c r="N545" i="1"/>
  <c r="AD81" i="1" l="1"/>
  <c r="AG81" i="1" s="1"/>
  <c r="P545" i="1"/>
  <c r="I546" i="1" s="1"/>
  <c r="J546" i="1" s="1"/>
  <c r="O546" i="1"/>
  <c r="M546" i="1"/>
  <c r="L546" i="1"/>
  <c r="N546" i="1"/>
  <c r="AC258" i="1"/>
  <c r="V82" i="1" l="1"/>
  <c r="W82" i="1" s="1"/>
  <c r="AB82" i="1"/>
  <c r="AF82" i="1" s="1"/>
  <c r="AA82" i="1"/>
  <c r="K546" i="1"/>
  <c r="P546" i="1"/>
  <c r="I547" i="1" s="1"/>
  <c r="K547" i="1" s="1"/>
  <c r="X82" i="1" l="1"/>
  <c r="Y82" i="1"/>
  <c r="Z82" i="1"/>
  <c r="L547" i="1"/>
  <c r="O547" i="1"/>
  <c r="J547" i="1"/>
  <c r="N547" i="1"/>
  <c r="M547" i="1"/>
  <c r="AD82" i="1" l="1"/>
  <c r="V83" i="1" s="1"/>
  <c r="P547" i="1"/>
  <c r="I548" i="1" s="1"/>
  <c r="J548" i="1" s="1"/>
  <c r="AC259" i="1"/>
  <c r="AG82" i="1" l="1"/>
  <c r="X83" i="1"/>
  <c r="AB83" i="1"/>
  <c r="AF83" i="1" s="1"/>
  <c r="W83" i="1"/>
  <c r="Y83" i="1"/>
  <c r="AA83" i="1"/>
  <c r="Z83" i="1"/>
  <c r="M548" i="1"/>
  <c r="N548" i="1"/>
  <c r="O548" i="1"/>
  <c r="K548" i="1"/>
  <c r="L548" i="1"/>
  <c r="AD83" i="1" l="1"/>
  <c r="P548" i="1"/>
  <c r="I549" i="1" s="1"/>
  <c r="L549" i="1" s="1"/>
  <c r="AC260" i="1"/>
  <c r="V84" i="1" l="1"/>
  <c r="AG83" i="1"/>
  <c r="O549" i="1"/>
  <c r="K549" i="1"/>
  <c r="M549" i="1"/>
  <c r="N549" i="1"/>
  <c r="J549" i="1"/>
  <c r="Y84" i="1" l="1"/>
  <c r="Z84" i="1"/>
  <c r="W84" i="1"/>
  <c r="AB84" i="1"/>
  <c r="AF84" i="1" s="1"/>
  <c r="X84" i="1"/>
  <c r="AA84" i="1"/>
  <c r="P549" i="1"/>
  <c r="I550" i="1" s="1"/>
  <c r="L550" i="1" s="1"/>
  <c r="M550" i="1"/>
  <c r="N550" i="1"/>
  <c r="AD84" i="1" l="1"/>
  <c r="AG84" i="1" s="1"/>
  <c r="J550" i="1"/>
  <c r="O550" i="1"/>
  <c r="K550" i="1"/>
  <c r="AC261" i="1"/>
  <c r="V85" i="1" l="1"/>
  <c r="AA85" i="1" s="1"/>
  <c r="Y85" i="1"/>
  <c r="Z85" i="1"/>
  <c r="X85" i="1"/>
  <c r="W85" i="1"/>
  <c r="AB85" i="1"/>
  <c r="AF85" i="1" s="1"/>
  <c r="P550" i="1"/>
  <c r="I551" i="1" s="1"/>
  <c r="J551" i="1" s="1"/>
  <c r="M551" i="1"/>
  <c r="N551" i="1"/>
  <c r="L551" i="1"/>
  <c r="O551" i="1"/>
  <c r="AD85" i="1" l="1"/>
  <c r="K551" i="1"/>
  <c r="P551" i="1"/>
  <c r="I552" i="1" s="1"/>
  <c r="L552" i="1" s="1"/>
  <c r="M552" i="1"/>
  <c r="N552" i="1"/>
  <c r="AC263" i="1"/>
  <c r="V86" i="1" l="1"/>
  <c r="AG85" i="1"/>
  <c r="J552" i="1"/>
  <c r="K552" i="1"/>
  <c r="O552" i="1"/>
  <c r="P552" i="1" s="1"/>
  <c r="I553" i="1" s="1"/>
  <c r="N553" i="1" s="1"/>
  <c r="AC262" i="1"/>
  <c r="AA86" i="1" l="1"/>
  <c r="AB86" i="1"/>
  <c r="AF86" i="1" s="1"/>
  <c r="X86" i="1"/>
  <c r="W86" i="1"/>
  <c r="Z86" i="1"/>
  <c r="Y86" i="1"/>
  <c r="M553" i="1"/>
  <c r="L553" i="1"/>
  <c r="J553" i="1"/>
  <c r="O553" i="1"/>
  <c r="K553" i="1"/>
  <c r="AD86" i="1" l="1"/>
  <c r="AG86" i="1" s="1"/>
  <c r="P553" i="1"/>
  <c r="I554" i="1" s="1"/>
  <c r="J554" i="1" s="1"/>
  <c r="V87" i="1" l="1"/>
  <c r="Y87" i="1"/>
  <c r="X87" i="1"/>
  <c r="AB87" i="1"/>
  <c r="W87" i="1"/>
  <c r="AA87" i="1"/>
  <c r="Z87" i="1"/>
  <c r="N554" i="1"/>
  <c r="M554" i="1"/>
  <c r="K554" i="1"/>
  <c r="L554" i="1"/>
  <c r="O554" i="1"/>
  <c r="AD87" i="1" l="1"/>
  <c r="AF87" i="1"/>
  <c r="P554" i="1"/>
  <c r="I555" i="1" s="1"/>
  <c r="N555" i="1" s="1"/>
  <c r="AC264" i="1"/>
  <c r="V88" i="1" l="1"/>
  <c r="AG87" i="1"/>
  <c r="O555" i="1"/>
  <c r="J555" i="1"/>
  <c r="K555" i="1"/>
  <c r="M555" i="1"/>
  <c r="L555" i="1"/>
  <c r="AA88" i="1" l="1"/>
  <c r="X88" i="1"/>
  <c r="AB88" i="1"/>
  <c r="W88" i="1"/>
  <c r="Z88" i="1"/>
  <c r="Y88" i="1"/>
  <c r="P555" i="1"/>
  <c r="I556" i="1" s="1"/>
  <c r="L556" i="1" s="1"/>
  <c r="AC265" i="1"/>
  <c r="AD88" i="1" l="1"/>
  <c r="AG88" i="1" s="1"/>
  <c r="V89" i="1"/>
  <c r="AA89" i="1" s="1"/>
  <c r="AF88" i="1"/>
  <c r="O556" i="1"/>
  <c r="J556" i="1"/>
  <c r="K556" i="1"/>
  <c r="M556" i="1"/>
  <c r="N556" i="1"/>
  <c r="Y89" i="1" l="1"/>
  <c r="Z89" i="1"/>
  <c r="W89" i="1"/>
  <c r="X89" i="1"/>
  <c r="AB89" i="1"/>
  <c r="AF89" i="1" s="1"/>
  <c r="P556" i="1"/>
  <c r="I557" i="1" s="1"/>
  <c r="J557" i="1" s="1"/>
  <c r="O557" i="1" l="1"/>
  <c r="M557" i="1"/>
  <c r="AD89" i="1"/>
  <c r="AG89" i="1" s="1"/>
  <c r="V90" i="1"/>
  <c r="K557" i="1"/>
  <c r="N557" i="1"/>
  <c r="L557" i="1"/>
  <c r="AC266" i="1"/>
  <c r="AA90" i="1" l="1"/>
  <c r="AB90" i="1"/>
  <c r="AF90" i="1" s="1"/>
  <c r="W90" i="1"/>
  <c r="Y90" i="1"/>
  <c r="Z90" i="1"/>
  <c r="X90" i="1"/>
  <c r="P557" i="1"/>
  <c r="I558" i="1" s="1"/>
  <c r="O558" i="1" s="1"/>
  <c r="N558" i="1" l="1"/>
  <c r="M558" i="1"/>
  <c r="L558" i="1"/>
  <c r="AD90" i="1"/>
  <c r="J558" i="1"/>
  <c r="K558" i="1"/>
  <c r="P558" i="1" l="1"/>
  <c r="I559" i="1" s="1"/>
  <c r="N559" i="1" s="1"/>
  <c r="V91" i="1"/>
  <c r="AG90" i="1"/>
  <c r="L559" i="1"/>
  <c r="O559" i="1"/>
  <c r="M559" i="1"/>
  <c r="K559" i="1"/>
  <c r="J559" i="1"/>
  <c r="AC267" i="1"/>
  <c r="AC268" i="1"/>
  <c r="Z91" i="1" l="1"/>
  <c r="X91" i="1"/>
  <c r="W91" i="1"/>
  <c r="AB91" i="1"/>
  <c r="Y91" i="1"/>
  <c r="AA91" i="1"/>
  <c r="P559" i="1"/>
  <c r="I560" i="1" s="1"/>
  <c r="J560" i="1" s="1"/>
  <c r="M560" i="1" l="1"/>
  <c r="L560" i="1"/>
  <c r="N560" i="1"/>
  <c r="AD91" i="1"/>
  <c r="V92" i="1" s="1"/>
  <c r="Z92" i="1" s="1"/>
  <c r="AF91" i="1"/>
  <c r="K560" i="1"/>
  <c r="O560" i="1"/>
  <c r="P560" i="1" s="1"/>
  <c r="I561" i="1" s="1"/>
  <c r="J561" i="1" s="1"/>
  <c r="AG91" i="1" l="1"/>
  <c r="AA92" i="1"/>
  <c r="Y92" i="1"/>
  <c r="X92" i="1"/>
  <c r="W92" i="1"/>
  <c r="AB92" i="1"/>
  <c r="AF92" i="1" s="1"/>
  <c r="M561" i="1"/>
  <c r="N561" i="1"/>
  <c r="L561" i="1"/>
  <c r="O561" i="1"/>
  <c r="K561" i="1"/>
  <c r="AC269" i="1"/>
  <c r="AD92" i="1" l="1"/>
  <c r="V93" i="1" s="1"/>
  <c r="AG92" i="1"/>
  <c r="P561" i="1"/>
  <c r="I562" i="1" s="1"/>
  <c r="M562" i="1" s="1"/>
  <c r="AA93" i="1" l="1"/>
  <c r="Z93" i="1"/>
  <c r="AB93" i="1"/>
  <c r="AF93" i="1" s="1"/>
  <c r="W93" i="1"/>
  <c r="X93" i="1"/>
  <c r="Y93" i="1"/>
  <c r="O562" i="1"/>
  <c r="N562" i="1"/>
  <c r="J562" i="1"/>
  <c r="K562" i="1"/>
  <c r="L562" i="1"/>
  <c r="AC270" i="1"/>
  <c r="AD93" i="1" l="1"/>
  <c r="P562" i="1"/>
  <c r="I563" i="1" s="1"/>
  <c r="N563" i="1" s="1"/>
  <c r="M563" i="1"/>
  <c r="L563" i="1"/>
  <c r="K563" i="1"/>
  <c r="J563" i="1"/>
  <c r="O563" i="1" l="1"/>
  <c r="V94" i="1"/>
  <c r="AG93" i="1"/>
  <c r="P563" i="1"/>
  <c r="I564" i="1" s="1"/>
  <c r="N564" i="1" s="1"/>
  <c r="M564" i="1" l="1"/>
  <c r="L564" i="1"/>
  <c r="O564" i="1"/>
  <c r="J564" i="1"/>
  <c r="AA94" i="1"/>
  <c r="W94" i="1"/>
  <c r="X94" i="1"/>
  <c r="AB94" i="1"/>
  <c r="AF94" i="1" s="1"/>
  <c r="Z94" i="1"/>
  <c r="Y94" i="1"/>
  <c r="K564" i="1"/>
  <c r="P564" i="1" l="1"/>
  <c r="I565" i="1" s="1"/>
  <c r="M565" i="1" s="1"/>
  <c r="AD94" i="1"/>
  <c r="AG94" i="1" s="1"/>
  <c r="K565" i="1"/>
  <c r="O565" i="1"/>
  <c r="N565" i="1"/>
  <c r="L565" i="1"/>
  <c r="J565" i="1"/>
  <c r="V95" i="1" l="1"/>
  <c r="Y95" i="1" s="1"/>
  <c r="P565" i="1"/>
  <c r="I566" i="1" s="1"/>
  <c r="M566" i="1" s="1"/>
  <c r="N566" i="1"/>
  <c r="L566" i="1"/>
  <c r="AC271" i="1"/>
  <c r="X95" i="1" l="1"/>
  <c r="AB95" i="1"/>
  <c r="AF95" i="1" s="1"/>
  <c r="W95" i="1"/>
  <c r="Z95" i="1"/>
  <c r="AA95" i="1"/>
  <c r="O566" i="1"/>
  <c r="J566" i="1"/>
  <c r="K566" i="1"/>
  <c r="AD95" i="1" l="1"/>
  <c r="AG95" i="1" s="1"/>
  <c r="V96" i="1"/>
  <c r="P566" i="1"/>
  <c r="I567" i="1" s="1"/>
  <c r="K567" i="1" s="1"/>
  <c r="M567" i="1"/>
  <c r="N567" i="1"/>
  <c r="L567" i="1"/>
  <c r="Y96" i="1" l="1"/>
  <c r="AB96" i="1"/>
  <c r="AF96" i="1" s="1"/>
  <c r="Z96" i="1"/>
  <c r="AA96" i="1"/>
  <c r="X96" i="1"/>
  <c r="W96" i="1"/>
  <c r="O567" i="1"/>
  <c r="J567" i="1"/>
  <c r="AC272" i="1"/>
  <c r="AC273" i="1"/>
  <c r="AD96" i="1" l="1"/>
  <c r="P567" i="1"/>
  <c r="I568" i="1" s="1"/>
  <c r="J568" i="1" s="1"/>
  <c r="O568" i="1"/>
  <c r="M568" i="1"/>
  <c r="N568" i="1"/>
  <c r="L568" i="1" l="1"/>
  <c r="K568" i="1"/>
  <c r="AG96" i="1"/>
  <c r="V97" i="1"/>
  <c r="P568" i="1"/>
  <c r="I569" i="1" s="1"/>
  <c r="K569" i="1" s="1"/>
  <c r="L569" i="1"/>
  <c r="O569" i="1"/>
  <c r="M569" i="1"/>
  <c r="N569" i="1"/>
  <c r="X97" i="1" l="1"/>
  <c r="AA97" i="1"/>
  <c r="Z97" i="1"/>
  <c r="W97" i="1"/>
  <c r="Y97" i="1"/>
  <c r="AB97" i="1"/>
  <c r="AF97" i="1" s="1"/>
  <c r="J569" i="1"/>
  <c r="P569" i="1" s="1"/>
  <c r="I570" i="1" s="1"/>
  <c r="O570" i="1" l="1"/>
  <c r="M570" i="1"/>
  <c r="N570" i="1"/>
  <c r="L570" i="1"/>
  <c r="J570" i="1"/>
  <c r="AD97" i="1"/>
  <c r="K570" i="1"/>
  <c r="P570" i="1" l="1"/>
  <c r="I571" i="1" s="1"/>
  <c r="AG97" i="1"/>
  <c r="V98" i="1"/>
  <c r="L571" i="1"/>
  <c r="M571" i="1"/>
  <c r="N571" i="1"/>
  <c r="K571" i="1"/>
  <c r="O571" i="1"/>
  <c r="J571" i="1"/>
  <c r="AC274" i="1"/>
  <c r="AC275" i="1"/>
  <c r="P571" i="1" l="1"/>
  <c r="I572" i="1" s="1"/>
  <c r="M572" i="1" s="1"/>
  <c r="N572" i="1"/>
  <c r="W98" i="1"/>
  <c r="Z98" i="1"/>
  <c r="X98" i="1"/>
  <c r="Y98" i="1"/>
  <c r="AB98" i="1"/>
  <c r="AF98" i="1" s="1"/>
  <c r="AA98" i="1"/>
  <c r="J572" i="1"/>
  <c r="L572" i="1"/>
  <c r="K572" i="1"/>
  <c r="O572" i="1"/>
  <c r="P572" i="1" l="1"/>
  <c r="I573" i="1" s="1"/>
  <c r="K573" i="1" s="1"/>
  <c r="AD98" i="1"/>
  <c r="M573" i="1"/>
  <c r="N573" i="1"/>
  <c r="L573" i="1"/>
  <c r="O573" i="1"/>
  <c r="J573" i="1"/>
  <c r="AC276" i="1"/>
  <c r="AG98" i="1" l="1"/>
  <c r="V99" i="1"/>
  <c r="P573" i="1"/>
  <c r="I574" i="1" s="1"/>
  <c r="O574" i="1" s="1"/>
  <c r="X99" i="1" l="1"/>
  <c r="Y99" i="1"/>
  <c r="Z99" i="1"/>
  <c r="W99" i="1"/>
  <c r="AA99" i="1"/>
  <c r="AB99" i="1"/>
  <c r="K574" i="1"/>
  <c r="N574" i="1"/>
  <c r="L574" i="1"/>
  <c r="M574" i="1"/>
  <c r="J574" i="1"/>
  <c r="AD99" i="1" l="1"/>
  <c r="AG99" i="1" s="1"/>
  <c r="V100" i="1"/>
  <c r="Y100" i="1" s="1"/>
  <c r="AF99" i="1"/>
  <c r="P574" i="1"/>
  <c r="I575" i="1" s="1"/>
  <c r="N575" i="1" s="1"/>
  <c r="W100" i="1" l="1"/>
  <c r="AA100" i="1"/>
  <c r="AB100" i="1"/>
  <c r="AF100" i="1" s="1"/>
  <c r="Z100" i="1"/>
  <c r="X100" i="1"/>
  <c r="J575" i="1"/>
  <c r="K575" i="1"/>
  <c r="O575" i="1"/>
  <c r="M575" i="1"/>
  <c r="L575" i="1"/>
  <c r="AD100" i="1" l="1"/>
  <c r="AG100" i="1" s="1"/>
  <c r="V101" i="1"/>
  <c r="P575" i="1"/>
  <c r="I576" i="1" s="1"/>
  <c r="O576" i="1" s="1"/>
  <c r="AC277" i="1"/>
  <c r="W101" i="1" l="1"/>
  <c r="AB101" i="1"/>
  <c r="AF101" i="1" s="1"/>
  <c r="X101" i="1"/>
  <c r="Z101" i="1"/>
  <c r="Y101" i="1"/>
  <c r="AA101" i="1"/>
  <c r="K576" i="1"/>
  <c r="L576" i="1"/>
  <c r="J576" i="1"/>
  <c r="M576" i="1"/>
  <c r="N576" i="1"/>
  <c r="AD101" i="1" l="1"/>
  <c r="AG101" i="1" s="1"/>
  <c r="V102" i="1"/>
  <c r="Z102" i="1" s="1"/>
  <c r="Y102" i="1"/>
  <c r="P576" i="1"/>
  <c r="I577" i="1" s="1"/>
  <c r="K577" i="1" s="1"/>
  <c r="AC278" i="1"/>
  <c r="AC279" i="1"/>
  <c r="X102" i="1" l="1"/>
  <c r="W102" i="1"/>
  <c r="AB102" i="1"/>
  <c r="AF102" i="1" s="1"/>
  <c r="AA102" i="1"/>
  <c r="N577" i="1"/>
  <c r="L577" i="1"/>
  <c r="J577" i="1"/>
  <c r="O577" i="1"/>
  <c r="M577" i="1"/>
  <c r="AD102" i="1" l="1"/>
  <c r="AG102" i="1" s="1"/>
  <c r="P577" i="1"/>
  <c r="I578" i="1" s="1"/>
  <c r="J578" i="1" s="1"/>
  <c r="L578" i="1"/>
  <c r="O578" i="1"/>
  <c r="M578" i="1"/>
  <c r="N578" i="1"/>
  <c r="K578" i="1"/>
  <c r="AC280" i="1"/>
  <c r="V103" i="1" l="1"/>
  <c r="AA103" i="1" s="1"/>
  <c r="W103" i="1"/>
  <c r="Y103" i="1"/>
  <c r="AB103" i="1"/>
  <c r="AF103" i="1" s="1"/>
  <c r="Z103" i="1"/>
  <c r="X103" i="1"/>
  <c r="P578" i="1"/>
  <c r="I579" i="1" s="1"/>
  <c r="L579" i="1" s="1"/>
  <c r="AD103" i="1" l="1"/>
  <c r="AG103" i="1" s="1"/>
  <c r="J579" i="1"/>
  <c r="N579" i="1"/>
  <c r="M579" i="1"/>
  <c r="K579" i="1"/>
  <c r="O579" i="1"/>
  <c r="V104" i="1" l="1"/>
  <c r="P579" i="1"/>
  <c r="I580" i="1" s="1"/>
  <c r="O580" i="1" s="1"/>
  <c r="M580" i="1"/>
  <c r="AC281" i="1"/>
  <c r="Y104" i="1" l="1"/>
  <c r="X104" i="1"/>
  <c r="AA104" i="1"/>
  <c r="W104" i="1"/>
  <c r="AB104" i="1"/>
  <c r="AF104" i="1" s="1"/>
  <c r="Z104" i="1"/>
  <c r="K580" i="1"/>
  <c r="L580" i="1"/>
  <c r="J580" i="1"/>
  <c r="N580" i="1"/>
  <c r="AD104" i="1" l="1"/>
  <c r="P580" i="1"/>
  <c r="I581" i="1" s="1"/>
  <c r="K581" i="1" s="1"/>
  <c r="O581" i="1"/>
  <c r="AG104" i="1" l="1"/>
  <c r="V105" i="1"/>
  <c r="M581" i="1"/>
  <c r="L581" i="1"/>
  <c r="J581" i="1"/>
  <c r="N581" i="1"/>
  <c r="P581" i="1" s="1"/>
  <c r="I582" i="1" s="1"/>
  <c r="K582" i="1" s="1"/>
  <c r="M582" i="1" l="1"/>
  <c r="Z105" i="1"/>
  <c r="AB105" i="1"/>
  <c r="Y105" i="1"/>
  <c r="X105" i="1"/>
  <c r="AA105" i="1"/>
  <c r="W105" i="1"/>
  <c r="O582" i="1"/>
  <c r="N582" i="1"/>
  <c r="J582" i="1"/>
  <c r="L582" i="1"/>
  <c r="AD105" i="1" l="1"/>
  <c r="AG105" i="1"/>
  <c r="V106" i="1"/>
  <c r="AF105" i="1"/>
  <c r="Z106" i="1"/>
  <c r="P582" i="1"/>
  <c r="I583" i="1" s="1"/>
  <c r="K583" i="1" s="1"/>
  <c r="N583" i="1"/>
  <c r="AC283" i="1"/>
  <c r="L583" i="1" l="1"/>
  <c r="J583" i="1"/>
  <c r="M583" i="1"/>
  <c r="O583" i="1"/>
  <c r="W106" i="1"/>
  <c r="X106" i="1"/>
  <c r="AB106" i="1"/>
  <c r="AF106" i="1" s="1"/>
  <c r="AA106" i="1"/>
  <c r="Y106" i="1"/>
  <c r="P583" i="1"/>
  <c r="I584" i="1" s="1"/>
  <c r="K584" i="1" s="1"/>
  <c r="AD106" i="1" l="1"/>
  <c r="AG106" i="1" s="1"/>
  <c r="N584" i="1"/>
  <c r="J584" i="1"/>
  <c r="M584" i="1"/>
  <c r="L584" i="1"/>
  <c r="O584" i="1"/>
  <c r="V107" i="1" l="1"/>
  <c r="Y107" i="1"/>
  <c r="AB107" i="1"/>
  <c r="AF107" i="1" s="1"/>
  <c r="X107" i="1"/>
  <c r="AA107" i="1"/>
  <c r="W107" i="1"/>
  <c r="Z107" i="1"/>
  <c r="P584" i="1"/>
  <c r="I585" i="1" s="1"/>
  <c r="K585" i="1" s="1"/>
  <c r="AC284" i="1"/>
  <c r="AD107" i="1" l="1"/>
  <c r="N585" i="1"/>
  <c r="L585" i="1"/>
  <c r="M585" i="1"/>
  <c r="O585" i="1"/>
  <c r="J585" i="1"/>
  <c r="AG107" i="1" l="1"/>
  <c r="V108" i="1"/>
  <c r="P585" i="1"/>
  <c r="I586" i="1" s="1"/>
  <c r="L586" i="1" s="1"/>
  <c r="O586" i="1"/>
  <c r="M586" i="1"/>
  <c r="X108" i="1" l="1"/>
  <c r="Z108" i="1"/>
  <c r="AA108" i="1"/>
  <c r="Y108" i="1"/>
  <c r="AB108" i="1"/>
  <c r="AF108" i="1" s="1"/>
  <c r="W108" i="1"/>
  <c r="N586" i="1"/>
  <c r="J586" i="1"/>
  <c r="K586" i="1"/>
  <c r="P586" i="1" l="1"/>
  <c r="I587" i="1" s="1"/>
  <c r="M587" i="1" s="1"/>
  <c r="AD108" i="1"/>
  <c r="AG108" i="1" s="1"/>
  <c r="V109" i="1"/>
  <c r="Y109" i="1" s="1"/>
  <c r="L587" i="1"/>
  <c r="J587" i="1"/>
  <c r="K587" i="1"/>
  <c r="N587" i="1"/>
  <c r="O587" i="1"/>
  <c r="W109" i="1" l="1"/>
  <c r="Z109" i="1"/>
  <c r="X109" i="1"/>
  <c r="AA109" i="1"/>
  <c r="AB109" i="1"/>
  <c r="AF109" i="1" s="1"/>
  <c r="P587" i="1"/>
  <c r="I588" i="1" s="1"/>
  <c r="J588" i="1" s="1"/>
  <c r="AD109" i="1" l="1"/>
  <c r="AG109" i="1" s="1"/>
  <c r="V110" i="1"/>
  <c r="W110" i="1" s="1"/>
  <c r="O588" i="1"/>
  <c r="N588" i="1"/>
  <c r="L588" i="1"/>
  <c r="M588" i="1"/>
  <c r="K588" i="1"/>
  <c r="AC286" i="1"/>
  <c r="Z110" i="1" l="1"/>
  <c r="X110" i="1"/>
  <c r="AB110" i="1"/>
  <c r="AF110" i="1" s="1"/>
  <c r="AA110" i="1"/>
  <c r="Y110" i="1"/>
  <c r="P588" i="1"/>
  <c r="I589" i="1" s="1"/>
  <c r="N589" i="1" s="1"/>
  <c r="AD110" i="1" l="1"/>
  <c r="V111" i="1" s="1"/>
  <c r="AA111" i="1" s="1"/>
  <c r="J589" i="1"/>
  <c r="L589" i="1"/>
  <c r="M589" i="1"/>
  <c r="K589" i="1"/>
  <c r="O589" i="1"/>
  <c r="Y111" i="1" l="1"/>
  <c r="W111" i="1"/>
  <c r="Z111" i="1"/>
  <c r="AB111" i="1"/>
  <c r="AF111" i="1" s="1"/>
  <c r="AG110" i="1"/>
  <c r="X111" i="1"/>
  <c r="P589" i="1"/>
  <c r="I590" i="1" s="1"/>
  <c r="N590" i="1" s="1"/>
  <c r="AC287" i="1"/>
  <c r="J590" i="1" l="1"/>
  <c r="O590" i="1"/>
  <c r="AD111" i="1"/>
  <c r="AG111" i="1" s="1"/>
  <c r="M590" i="1"/>
  <c r="L590" i="1"/>
  <c r="K590" i="1"/>
  <c r="V112" i="1"/>
  <c r="W112" i="1" s="1"/>
  <c r="AB112" i="1" l="1"/>
  <c r="AF112" i="1" s="1"/>
  <c r="P590" i="1"/>
  <c r="I591" i="1" s="1"/>
  <c r="J591" i="1" s="1"/>
  <c r="L591" i="1"/>
  <c r="N591" i="1"/>
  <c r="AA112" i="1"/>
  <c r="X112" i="1"/>
  <c r="Z112" i="1"/>
  <c r="Y112" i="1"/>
  <c r="AC288" i="1"/>
  <c r="O591" i="1" l="1"/>
  <c r="K591" i="1"/>
  <c r="M591" i="1"/>
  <c r="P591" i="1"/>
  <c r="I592" i="1" s="1"/>
  <c r="N592" i="1" s="1"/>
  <c r="AD112" i="1"/>
  <c r="AG112" i="1" s="1"/>
  <c r="K592" i="1" l="1"/>
  <c r="L592" i="1"/>
  <c r="J592" i="1"/>
  <c r="V113" i="1"/>
  <c r="Z113" i="1" s="1"/>
  <c r="O592" i="1"/>
  <c r="M592" i="1"/>
  <c r="AB113" i="1"/>
  <c r="X113" i="1" l="1"/>
  <c r="Y113" i="1"/>
  <c r="AA113" i="1"/>
  <c r="W113" i="1"/>
  <c r="P592" i="1"/>
  <c r="I593" i="1" s="1"/>
  <c r="L593" i="1" s="1"/>
  <c r="M593" i="1"/>
  <c r="N593" i="1"/>
  <c r="O593" i="1"/>
  <c r="K593" i="1"/>
  <c r="AF113" i="1"/>
  <c r="AC289" i="1"/>
  <c r="J593" i="1" l="1"/>
  <c r="AD113" i="1"/>
  <c r="AG113" i="1" s="1"/>
  <c r="P593" i="1"/>
  <c r="I594" i="1" s="1"/>
  <c r="L594" i="1" s="1"/>
  <c r="V114" i="1"/>
  <c r="AA114" i="1" s="1"/>
  <c r="M594" i="1"/>
  <c r="N594" i="1"/>
  <c r="K594" i="1"/>
  <c r="J594" i="1"/>
  <c r="O594" i="1"/>
  <c r="Y114" i="1" l="1"/>
  <c r="X114" i="1"/>
  <c r="AB114" i="1"/>
  <c r="AF114" i="1" s="1"/>
  <c r="W114" i="1"/>
  <c r="Z114" i="1"/>
  <c r="P594" i="1"/>
  <c r="I595" i="1" s="1"/>
  <c r="L595" i="1" s="1"/>
  <c r="AC290" i="1"/>
  <c r="AD114" i="1" l="1"/>
  <c r="V115" i="1" s="1"/>
  <c r="Z115" i="1" s="1"/>
  <c r="M595" i="1"/>
  <c r="N595" i="1"/>
  <c r="J595" i="1"/>
  <c r="K595" i="1"/>
  <c r="O595" i="1"/>
  <c r="AG114" i="1" l="1"/>
  <c r="W115" i="1"/>
  <c r="X115" i="1"/>
  <c r="AB115" i="1"/>
  <c r="Y115" i="1"/>
  <c r="AA115" i="1"/>
  <c r="P595" i="1"/>
  <c r="I596" i="1" s="1"/>
  <c r="L596" i="1" s="1"/>
  <c r="AD115" i="1" l="1"/>
  <c r="AG115" i="1" s="1"/>
  <c r="AF115" i="1"/>
  <c r="N596" i="1"/>
  <c r="M596" i="1"/>
  <c r="K596" i="1"/>
  <c r="J596" i="1"/>
  <c r="O596" i="1"/>
  <c r="V116" i="1" l="1"/>
  <c r="X116" i="1" s="1"/>
  <c r="P596" i="1"/>
  <c r="I597" i="1" s="1"/>
  <c r="K597" i="1" s="1"/>
  <c r="Z116" i="1" l="1"/>
  <c r="Y116" i="1"/>
  <c r="W116" i="1"/>
  <c r="AA116" i="1"/>
  <c r="AB116" i="1"/>
  <c r="AF116" i="1" s="1"/>
  <c r="M597" i="1"/>
  <c r="J597" i="1"/>
  <c r="L597" i="1"/>
  <c r="O597" i="1"/>
  <c r="N597" i="1"/>
  <c r="AD116" i="1" l="1"/>
  <c r="AG116" i="1" s="1"/>
  <c r="P597" i="1"/>
  <c r="I598" i="1" s="1"/>
  <c r="N598" i="1" s="1"/>
  <c r="V117" i="1" l="1"/>
  <c r="Y117" i="1" s="1"/>
  <c r="M598" i="1"/>
  <c r="O598" i="1"/>
  <c r="K598" i="1"/>
  <c r="J598" i="1"/>
  <c r="L598" i="1"/>
  <c r="Z117" i="1" l="1"/>
  <c r="W117" i="1"/>
  <c r="AB117" i="1"/>
  <c r="AF117" i="1" s="1"/>
  <c r="X117" i="1"/>
  <c r="AA117" i="1"/>
  <c r="P598" i="1"/>
  <c r="I599" i="1" s="1"/>
  <c r="N599" i="1" s="1"/>
  <c r="AD117" i="1" l="1"/>
  <c r="AG117" i="1"/>
  <c r="V118" i="1"/>
  <c r="Y118" i="1" s="1"/>
  <c r="O599" i="1"/>
  <c r="K599" i="1"/>
  <c r="M599" i="1"/>
  <c r="L599" i="1"/>
  <c r="J599" i="1"/>
  <c r="AA118" i="1" l="1"/>
  <c r="W118" i="1"/>
  <c r="X118" i="1"/>
  <c r="Z118" i="1"/>
  <c r="AB118" i="1"/>
  <c r="AF118" i="1" s="1"/>
  <c r="P599" i="1"/>
  <c r="I600" i="1" s="1"/>
  <c r="K600" i="1" s="1"/>
  <c r="O600" i="1" l="1"/>
  <c r="AD118" i="1"/>
  <c r="V119" i="1" s="1"/>
  <c r="W119" i="1" s="1"/>
  <c r="J600" i="1"/>
  <c r="N600" i="1"/>
  <c r="M600" i="1"/>
  <c r="L600" i="1"/>
  <c r="Y119" i="1"/>
  <c r="AA119" i="1"/>
  <c r="Z119" i="1" l="1"/>
  <c r="X119" i="1"/>
  <c r="AB119" i="1"/>
  <c r="AF119" i="1" s="1"/>
  <c r="AG118" i="1"/>
  <c r="P600" i="1"/>
  <c r="I601" i="1" s="1"/>
  <c r="N601" i="1" s="1"/>
  <c r="AD119" i="1"/>
  <c r="O601" i="1" l="1"/>
  <c r="L601" i="1"/>
  <c r="M601" i="1"/>
  <c r="J601" i="1"/>
  <c r="K601" i="1"/>
  <c r="AG119" i="1"/>
  <c r="V120" i="1"/>
  <c r="P601" i="1" l="1"/>
  <c r="I602" i="1" s="1"/>
  <c r="J602" i="1" s="1"/>
  <c r="AB120" i="1"/>
  <c r="AA120" i="1"/>
  <c r="Y120" i="1"/>
  <c r="Z120" i="1"/>
  <c r="X120" i="1"/>
  <c r="W120" i="1"/>
  <c r="N602" i="1" l="1"/>
  <c r="L602" i="1"/>
  <c r="O602" i="1"/>
  <c r="K602" i="1"/>
  <c r="M602" i="1"/>
  <c r="AD120" i="1"/>
  <c r="AG120" i="1" s="1"/>
  <c r="AF120" i="1"/>
  <c r="AC297" i="1"/>
  <c r="P602" i="1" l="1"/>
  <c r="I603" i="1" s="1"/>
  <c r="N603" i="1" s="1"/>
  <c r="L603" i="1"/>
  <c r="M603" i="1"/>
  <c r="J603" i="1"/>
  <c r="O603" i="1"/>
  <c r="K603" i="1"/>
  <c r="V121" i="1"/>
  <c r="Y121" i="1" s="1"/>
  <c r="Z121" i="1" l="1"/>
  <c r="AB121" i="1"/>
  <c r="AF121" i="1" s="1"/>
  <c r="W121" i="1"/>
  <c r="P603" i="1"/>
  <c r="I604" i="1" s="1"/>
  <c r="L604" i="1" s="1"/>
  <c r="AA121" i="1"/>
  <c r="X121" i="1"/>
  <c r="AC298" i="1"/>
  <c r="N604" i="1" l="1"/>
  <c r="O604" i="1"/>
  <c r="M604" i="1"/>
  <c r="AD121" i="1"/>
  <c r="AG121" i="1" s="1"/>
  <c r="K604" i="1"/>
  <c r="J604" i="1"/>
  <c r="P604" i="1" l="1"/>
  <c r="I605" i="1" s="1"/>
  <c r="N605" i="1" s="1"/>
  <c r="V122" i="1"/>
  <c r="X122" i="1" s="1"/>
  <c r="L605" i="1"/>
  <c r="K605" i="1"/>
  <c r="AA122" i="1"/>
  <c r="Z122" i="1"/>
  <c r="W122" i="1"/>
  <c r="AB122" i="1"/>
  <c r="AF122" i="1" s="1"/>
  <c r="Y122" i="1"/>
  <c r="J605" i="1" l="1"/>
  <c r="O605" i="1"/>
  <c r="M605" i="1"/>
  <c r="P605" i="1" s="1"/>
  <c r="I606" i="1" s="1"/>
  <c r="AD122" i="1"/>
  <c r="AC299" i="1"/>
  <c r="M606" i="1" l="1"/>
  <c r="N606" i="1"/>
  <c r="K606" i="1"/>
  <c r="J606" i="1"/>
  <c r="O606" i="1"/>
  <c r="L606" i="1"/>
  <c r="V123" i="1"/>
  <c r="AG122" i="1"/>
  <c r="P606" i="1"/>
  <c r="I607" i="1" s="1"/>
  <c r="N607" i="1" s="1"/>
  <c r="AA123" i="1" l="1"/>
  <c r="W123" i="1"/>
  <c r="Y123" i="1"/>
  <c r="Z123" i="1"/>
  <c r="X123" i="1"/>
  <c r="AB123" i="1"/>
  <c r="L607" i="1"/>
  <c r="M607" i="1"/>
  <c r="K607" i="1"/>
  <c r="O607" i="1"/>
  <c r="J607" i="1"/>
  <c r="AC300" i="1"/>
  <c r="AD123" i="1" l="1"/>
  <c r="AF123" i="1"/>
  <c r="P607" i="1"/>
  <c r="I608" i="1" s="1"/>
  <c r="M608" i="1" s="1"/>
  <c r="O608" i="1" l="1"/>
  <c r="L608" i="1"/>
  <c r="N608" i="1"/>
  <c r="K608" i="1"/>
  <c r="AG123" i="1"/>
  <c r="V124" i="1"/>
  <c r="J608" i="1"/>
  <c r="P608" i="1" l="1"/>
  <c r="I609" i="1" s="1"/>
  <c r="J609" i="1" s="1"/>
  <c r="AB124" i="1"/>
  <c r="AF124" i="1" s="1"/>
  <c r="X124" i="1"/>
  <c r="W124" i="1"/>
  <c r="AA124" i="1"/>
  <c r="Z124" i="1"/>
  <c r="Y124" i="1"/>
  <c r="M609" i="1"/>
  <c r="L609" i="1"/>
  <c r="N609" i="1"/>
  <c r="O609" i="1"/>
  <c r="AC301" i="1"/>
  <c r="K609" i="1" l="1"/>
  <c r="P609" i="1" s="1"/>
  <c r="I610" i="1" s="1"/>
  <c r="N610" i="1" s="1"/>
  <c r="AD124" i="1"/>
  <c r="V125" i="1" s="1"/>
  <c r="O610" i="1" l="1"/>
  <c r="AG124" i="1"/>
  <c r="X125" i="1"/>
  <c r="W125" i="1"/>
  <c r="AB125" i="1"/>
  <c r="AA125" i="1"/>
  <c r="Z125" i="1"/>
  <c r="Y125" i="1"/>
  <c r="K610" i="1"/>
  <c r="J610" i="1"/>
  <c r="L610" i="1"/>
  <c r="M610" i="1"/>
  <c r="AC302" i="1"/>
  <c r="P610" i="1" l="1"/>
  <c r="I611" i="1" s="1"/>
  <c r="L611" i="1" s="1"/>
  <c r="AD125" i="1"/>
  <c r="AF125" i="1"/>
  <c r="M611" i="1"/>
  <c r="N611" i="1"/>
  <c r="O611" i="1"/>
  <c r="K611" i="1"/>
  <c r="J611" i="1" l="1"/>
  <c r="V126" i="1"/>
  <c r="AG125" i="1"/>
  <c r="P611" i="1"/>
  <c r="I612" i="1" s="1"/>
  <c r="M612" i="1" s="1"/>
  <c r="AC303" i="1"/>
  <c r="AB126" i="1" l="1"/>
  <c r="AF126" i="1" s="1"/>
  <c r="X126" i="1"/>
  <c r="W126" i="1"/>
  <c r="AA126" i="1"/>
  <c r="Z126" i="1"/>
  <c r="Y126" i="1"/>
  <c r="N612" i="1"/>
  <c r="L612" i="1"/>
  <c r="O612" i="1"/>
  <c r="K612" i="1"/>
  <c r="J612" i="1"/>
  <c r="AD126" i="1" l="1"/>
  <c r="AG126" i="1" s="1"/>
  <c r="P612" i="1"/>
  <c r="I613" i="1" s="1"/>
  <c r="M613" i="1" s="1"/>
  <c r="V127" i="1" l="1"/>
  <c r="Z127" i="1" s="1"/>
  <c r="N613" i="1"/>
  <c r="L613" i="1"/>
  <c r="K613" i="1"/>
  <c r="J613" i="1"/>
  <c r="O613" i="1"/>
  <c r="Y127" i="1" l="1"/>
  <c r="W127" i="1"/>
  <c r="AA127" i="1"/>
  <c r="AB127" i="1"/>
  <c r="AF127" i="1" s="1"/>
  <c r="X127" i="1"/>
  <c r="P613" i="1"/>
  <c r="I614" i="1" s="1"/>
  <c r="N614" i="1" s="1"/>
  <c r="M614" i="1" l="1"/>
  <c r="J614" i="1"/>
  <c r="L614" i="1"/>
  <c r="AD127" i="1"/>
  <c r="AG127" i="1" s="1"/>
  <c r="O614" i="1"/>
  <c r="K614" i="1"/>
  <c r="AC304" i="1"/>
  <c r="AC305" i="1"/>
  <c r="V128" i="1" l="1"/>
  <c r="Y128" i="1" s="1"/>
  <c r="P614" i="1"/>
  <c r="I615" i="1" s="1"/>
  <c r="K615" i="1" s="1"/>
  <c r="Z128" i="1" l="1"/>
  <c r="X128" i="1"/>
  <c r="AA128" i="1"/>
  <c r="W128" i="1"/>
  <c r="AB128" i="1"/>
  <c r="AF128" i="1" s="1"/>
  <c r="O615" i="1"/>
  <c r="N615" i="1"/>
  <c r="L615" i="1"/>
  <c r="M615" i="1"/>
  <c r="J615" i="1"/>
  <c r="AD128" i="1" l="1"/>
  <c r="P615" i="1"/>
  <c r="I616" i="1" s="1"/>
  <c r="M616" i="1" s="1"/>
  <c r="AC306" i="1"/>
  <c r="O616" i="1" l="1"/>
  <c r="L616" i="1"/>
  <c r="K616" i="1"/>
  <c r="V129" i="1"/>
  <c r="AG128" i="1"/>
  <c r="J616" i="1"/>
  <c r="N616" i="1"/>
  <c r="P616" i="1" l="1"/>
  <c r="I617" i="1" s="1"/>
  <c r="O617" i="1" s="1"/>
  <c r="L617" i="1"/>
  <c r="AA129" i="1"/>
  <c r="X129" i="1"/>
  <c r="AB129" i="1"/>
  <c r="W129" i="1"/>
  <c r="Y129" i="1"/>
  <c r="Z129" i="1"/>
  <c r="M617" i="1"/>
  <c r="J617" i="1" l="1"/>
  <c r="K617" i="1"/>
  <c r="N617" i="1"/>
  <c r="P617" i="1" s="1"/>
  <c r="I618" i="1" s="1"/>
  <c r="AD129" i="1"/>
  <c r="V130" i="1" s="1"/>
  <c r="AF129" i="1"/>
  <c r="N618" i="1" l="1"/>
  <c r="J618" i="1"/>
  <c r="L618" i="1"/>
  <c r="K618" i="1"/>
  <c r="M618" i="1"/>
  <c r="O618" i="1"/>
  <c r="P618" i="1" s="1"/>
  <c r="I619" i="1" s="1"/>
  <c r="K619" i="1" s="1"/>
  <c r="AG129" i="1"/>
  <c r="Y130" i="1"/>
  <c r="Z130" i="1"/>
  <c r="AA130" i="1"/>
  <c r="AB130" i="1"/>
  <c r="AF130" i="1" s="1"/>
  <c r="X130" i="1"/>
  <c r="W130" i="1"/>
  <c r="O619" i="1" l="1"/>
  <c r="N619" i="1"/>
  <c r="AD130" i="1"/>
  <c r="V131" i="1" s="1"/>
  <c r="M619" i="1"/>
  <c r="J619" i="1"/>
  <c r="L619" i="1"/>
  <c r="AG130" i="1" l="1"/>
  <c r="P619" i="1"/>
  <c r="I620" i="1" s="1"/>
  <c r="N620" i="1" s="1"/>
  <c r="AB131" i="1"/>
  <c r="AF131" i="1" s="1"/>
  <c r="AA131" i="1"/>
  <c r="X131" i="1"/>
  <c r="Y131" i="1"/>
  <c r="Z131" i="1"/>
  <c r="W131" i="1"/>
  <c r="O620" i="1" l="1"/>
  <c r="L620" i="1"/>
  <c r="J620" i="1"/>
  <c r="M620" i="1"/>
  <c r="K620" i="1"/>
  <c r="AD131" i="1"/>
  <c r="P620" i="1" l="1"/>
  <c r="I621" i="1" s="1"/>
  <c r="K621" i="1" s="1"/>
  <c r="AG131" i="1"/>
  <c r="V132" i="1"/>
  <c r="M621" i="1" l="1"/>
  <c r="J621" i="1"/>
  <c r="O621" i="1"/>
  <c r="N621" i="1"/>
  <c r="L621" i="1"/>
  <c r="Y132" i="1"/>
  <c r="W132" i="1"/>
  <c r="AA132" i="1"/>
  <c r="Z132" i="1"/>
  <c r="X132" i="1"/>
  <c r="AB132" i="1"/>
  <c r="AF132" i="1" s="1"/>
  <c r="P621" i="1" l="1"/>
  <c r="I622" i="1" s="1"/>
  <c r="K622" i="1" s="1"/>
  <c r="AD132" i="1"/>
  <c r="O622" i="1" l="1"/>
  <c r="J622" i="1"/>
  <c r="N622" i="1"/>
  <c r="M622" i="1"/>
  <c r="L622" i="1"/>
  <c r="AG132" i="1"/>
  <c r="V133" i="1"/>
  <c r="AC310" i="1"/>
  <c r="P622" i="1" l="1"/>
  <c r="I623" i="1" s="1"/>
  <c r="M623" i="1" s="1"/>
  <c r="AB133" i="1"/>
  <c r="AF133" i="1" s="1"/>
  <c r="Y133" i="1"/>
  <c r="AA133" i="1"/>
  <c r="Z133" i="1"/>
  <c r="X133" i="1"/>
  <c r="W133" i="1"/>
  <c r="O623" i="1" l="1"/>
  <c r="K623" i="1"/>
  <c r="L623" i="1"/>
  <c r="J623" i="1"/>
  <c r="N623" i="1"/>
  <c r="AD133" i="1"/>
  <c r="AG133" i="1" s="1"/>
  <c r="P623" i="1" l="1"/>
  <c r="I624" i="1" s="1"/>
  <c r="J624" i="1" s="1"/>
  <c r="O624" i="1"/>
  <c r="V134" i="1"/>
  <c r="AB134" i="1" s="1"/>
  <c r="AF134" i="1" s="1"/>
  <c r="M624" i="1" l="1"/>
  <c r="N624" i="1"/>
  <c r="K624" i="1"/>
  <c r="L624" i="1"/>
  <c r="Y134" i="1"/>
  <c r="Z134" i="1"/>
  <c r="W134" i="1"/>
  <c r="AA134" i="1"/>
  <c r="X134" i="1"/>
  <c r="P624" i="1" l="1"/>
  <c r="I625" i="1" s="1"/>
  <c r="AD134" i="1"/>
  <c r="V135" i="1" s="1"/>
  <c r="W135" i="1" s="1"/>
  <c r="O625" i="1" l="1"/>
  <c r="J625" i="1"/>
  <c r="K625" i="1"/>
  <c r="L625" i="1"/>
  <c r="N625" i="1"/>
  <c r="M625" i="1"/>
  <c r="Z135" i="1"/>
  <c r="AA135" i="1"/>
  <c r="AB135" i="1"/>
  <c r="AF135" i="1" s="1"/>
  <c r="X135" i="1"/>
  <c r="Y135" i="1"/>
  <c r="AG134" i="1"/>
  <c r="P625" i="1" l="1"/>
  <c r="I626" i="1" s="1"/>
  <c r="AD135" i="1"/>
  <c r="AG135" i="1" s="1"/>
  <c r="V136" i="1"/>
  <c r="X136" i="1" s="1"/>
  <c r="AC313" i="1"/>
  <c r="M626" i="1" l="1"/>
  <c r="K626" i="1"/>
  <c r="J626" i="1"/>
  <c r="O626" i="1"/>
  <c r="N626" i="1"/>
  <c r="L626" i="1"/>
  <c r="AB136" i="1"/>
  <c r="AF136" i="1" s="1"/>
  <c r="W136" i="1"/>
  <c r="AA136" i="1"/>
  <c r="Y136" i="1"/>
  <c r="Z136" i="1"/>
  <c r="P626" i="1" l="1"/>
  <c r="I627" i="1" s="1"/>
  <c r="M627" i="1" s="1"/>
  <c r="N627" i="1"/>
  <c r="L627" i="1"/>
  <c r="AD136" i="1"/>
  <c r="AG136" i="1" s="1"/>
  <c r="AC314" i="1"/>
  <c r="K627" i="1" l="1"/>
  <c r="O627" i="1"/>
  <c r="J627" i="1"/>
  <c r="V137" i="1"/>
  <c r="X137" i="1" s="1"/>
  <c r="P627" i="1" l="1"/>
  <c r="I628" i="1" s="1"/>
  <c r="M628" i="1"/>
  <c r="O628" i="1"/>
  <c r="K628" i="1"/>
  <c r="J628" i="1"/>
  <c r="N628" i="1"/>
  <c r="L628" i="1"/>
  <c r="P628" i="1" s="1"/>
  <c r="I629" i="1" s="1"/>
  <c r="AB137" i="1"/>
  <c r="AF137" i="1" s="1"/>
  <c r="Y137" i="1"/>
  <c r="W137" i="1"/>
  <c r="Z137" i="1"/>
  <c r="AA137" i="1"/>
  <c r="J629" i="1" l="1"/>
  <c r="O629" i="1"/>
  <c r="K629" i="1"/>
  <c r="M629" i="1"/>
  <c r="N629" i="1"/>
  <c r="L629" i="1"/>
  <c r="P629" i="1" s="1"/>
  <c r="I630" i="1" s="1"/>
  <c r="K630" i="1" s="1"/>
  <c r="O630" i="1"/>
  <c r="M630" i="1"/>
  <c r="AD137" i="1"/>
  <c r="V138" i="1" s="1"/>
  <c r="W138" i="1" s="1"/>
  <c r="J630" i="1" l="1"/>
  <c r="L630" i="1"/>
  <c r="N630" i="1"/>
  <c r="P630" i="1"/>
  <c r="I631" i="1" s="1"/>
  <c r="K631" i="1" s="1"/>
  <c r="AG137" i="1"/>
  <c r="O631" i="1"/>
  <c r="M631" i="1"/>
  <c r="AA138" i="1"/>
  <c r="Z138" i="1"/>
  <c r="Y138" i="1"/>
  <c r="AB138" i="1"/>
  <c r="AF138" i="1" s="1"/>
  <c r="X138" i="1"/>
  <c r="N631" i="1" l="1"/>
  <c r="J631" i="1"/>
  <c r="L631" i="1"/>
  <c r="AD138" i="1"/>
  <c r="AG138" i="1" s="1"/>
  <c r="AC316" i="1"/>
  <c r="P631" i="1" l="1"/>
  <c r="I632" i="1" s="1"/>
  <c r="K632" i="1" s="1"/>
  <c r="V139" i="1"/>
  <c r="Z139" i="1" s="1"/>
  <c r="L632" i="1"/>
  <c r="J632" i="1"/>
  <c r="M632" i="1"/>
  <c r="N632" i="1"/>
  <c r="AB139" i="1"/>
  <c r="AF139" i="1" s="1"/>
  <c r="Y139" i="1"/>
  <c r="O632" i="1" l="1"/>
  <c r="P632" i="1" s="1"/>
  <c r="I633" i="1" s="1"/>
  <c r="J633" i="1" s="1"/>
  <c r="W139" i="1"/>
  <c r="X139" i="1"/>
  <c r="AA139" i="1"/>
  <c r="AD139" i="1" l="1"/>
  <c r="V140" i="1" s="1"/>
  <c r="AB140" i="1" s="1"/>
  <c r="L633" i="1"/>
  <c r="M633" i="1"/>
  <c r="N633" i="1"/>
  <c r="O633" i="1"/>
  <c r="K633" i="1"/>
  <c r="AA140" i="1" l="1"/>
  <c r="Z140" i="1"/>
  <c r="Y140" i="1"/>
  <c r="W140" i="1"/>
  <c r="X140" i="1"/>
  <c r="AG139" i="1"/>
  <c r="P633" i="1"/>
  <c r="I634" i="1" s="1"/>
  <c r="J634" i="1" s="1"/>
  <c r="AF140" i="1"/>
  <c r="AD140" i="1" l="1"/>
  <c r="AG140" i="1" s="1"/>
  <c r="K634" i="1"/>
  <c r="O634" i="1"/>
  <c r="N634" i="1"/>
  <c r="L634" i="1"/>
  <c r="M634" i="1"/>
  <c r="V141" i="1" l="1"/>
  <c r="W141" i="1" s="1"/>
  <c r="P634" i="1"/>
  <c r="I635" i="1" s="1"/>
  <c r="M635" i="1" s="1"/>
  <c r="Y141" i="1" l="1"/>
  <c r="Z141" i="1"/>
  <c r="AA141" i="1"/>
  <c r="X141" i="1"/>
  <c r="AB141" i="1"/>
  <c r="K635" i="1"/>
  <c r="J635" i="1"/>
  <c r="O635" i="1"/>
  <c r="N635" i="1"/>
  <c r="L635" i="1"/>
  <c r="AF141" i="1"/>
  <c r="AC319" i="1"/>
  <c r="AD141" i="1" l="1"/>
  <c r="AG141" i="1" s="1"/>
  <c r="P635" i="1"/>
  <c r="I636" i="1" s="1"/>
  <c r="N636" i="1" s="1"/>
  <c r="M636" i="1"/>
  <c r="V142" i="1"/>
  <c r="W142" i="1" s="1"/>
  <c r="O636" i="1" l="1"/>
  <c r="L636" i="1"/>
  <c r="J636" i="1"/>
  <c r="K636" i="1"/>
  <c r="AB142" i="1"/>
  <c r="AF142" i="1" s="1"/>
  <c r="X142" i="1"/>
  <c r="AA142" i="1"/>
  <c r="Z142" i="1"/>
  <c r="Y142" i="1"/>
  <c r="AC320" i="1"/>
  <c r="P636" i="1" l="1"/>
  <c r="I637" i="1" s="1"/>
  <c r="N637" i="1" s="1"/>
  <c r="O637" i="1"/>
  <c r="AD142" i="1"/>
  <c r="AG142" i="1" s="1"/>
  <c r="AC321" i="1"/>
  <c r="J637" i="1" l="1"/>
  <c r="M637" i="1"/>
  <c r="K637" i="1"/>
  <c r="L637" i="1"/>
  <c r="V143" i="1"/>
  <c r="Z143" i="1" s="1"/>
  <c r="P637" i="1" l="1"/>
  <c r="I638" i="1" s="1"/>
  <c r="M638" i="1"/>
  <c r="O638" i="1"/>
  <c r="N638" i="1"/>
  <c r="K638" i="1"/>
  <c r="L638" i="1"/>
  <c r="J638" i="1"/>
  <c r="AB143" i="1"/>
  <c r="AF143" i="1" s="1"/>
  <c r="X143" i="1"/>
  <c r="Y143" i="1"/>
  <c r="AA143" i="1"/>
  <c r="W143" i="1"/>
  <c r="AC322" i="1"/>
  <c r="P638" i="1" l="1"/>
  <c r="I639" i="1" s="1"/>
  <c r="L639" i="1" s="1"/>
  <c r="AD143" i="1"/>
  <c r="AG143" i="1" s="1"/>
  <c r="O639" i="1" l="1"/>
  <c r="J639" i="1"/>
  <c r="N639" i="1"/>
  <c r="K639" i="1"/>
  <c r="M639" i="1"/>
  <c r="V144" i="1"/>
  <c r="AA144" i="1" s="1"/>
  <c r="AB144" i="1" l="1"/>
  <c r="AF144" i="1" s="1"/>
  <c r="Z144" i="1"/>
  <c r="W144" i="1"/>
  <c r="P639" i="1"/>
  <c r="I640" i="1" s="1"/>
  <c r="J640" i="1" s="1"/>
  <c r="X144" i="1"/>
  <c r="Y144" i="1"/>
  <c r="L640" i="1" l="1"/>
  <c r="O640" i="1"/>
  <c r="N640" i="1"/>
  <c r="M640" i="1"/>
  <c r="AD144" i="1"/>
  <c r="AG144" i="1" s="1"/>
  <c r="K640" i="1"/>
  <c r="V145" i="1" l="1"/>
  <c r="P640" i="1"/>
  <c r="I641" i="1" s="1"/>
  <c r="J641" i="1" s="1"/>
  <c r="M641" i="1"/>
  <c r="Y145" i="1"/>
  <c r="AB145" i="1"/>
  <c r="AF145" i="1" s="1"/>
  <c r="X145" i="1"/>
  <c r="W145" i="1"/>
  <c r="Z145" i="1"/>
  <c r="AA145" i="1"/>
  <c r="AC323" i="1"/>
  <c r="K641" i="1" l="1"/>
  <c r="O641" i="1"/>
  <c r="L641" i="1"/>
  <c r="N641" i="1"/>
  <c r="P641" i="1" s="1"/>
  <c r="I642" i="1" s="1"/>
  <c r="N642" i="1" s="1"/>
  <c r="AD145" i="1"/>
  <c r="V146" i="1" s="1"/>
  <c r="Y146" i="1" s="1"/>
  <c r="J642" i="1" l="1"/>
  <c r="L642" i="1"/>
  <c r="K642" i="1"/>
  <c r="O642" i="1"/>
  <c r="M642" i="1"/>
  <c r="AG145" i="1"/>
  <c r="X146" i="1"/>
  <c r="W146" i="1"/>
  <c r="AB146" i="1"/>
  <c r="AA146" i="1"/>
  <c r="Z146" i="1"/>
  <c r="AC324" i="1"/>
  <c r="AC325" i="1"/>
  <c r="P642" i="1" l="1"/>
  <c r="I643" i="1" s="1"/>
  <c r="K643" i="1" s="1"/>
  <c r="L643" i="1"/>
  <c r="AD146" i="1"/>
  <c r="AF146" i="1"/>
  <c r="N643" i="1" l="1"/>
  <c r="M643" i="1"/>
  <c r="O643" i="1"/>
  <c r="J643" i="1"/>
  <c r="AG146" i="1"/>
  <c r="V147" i="1"/>
  <c r="P643" i="1" l="1"/>
  <c r="I644" i="1" s="1"/>
  <c r="J644" i="1" s="1"/>
  <c r="O644" i="1"/>
  <c r="Z147" i="1"/>
  <c r="W147" i="1"/>
  <c r="AB147" i="1"/>
  <c r="X147" i="1"/>
  <c r="Y147" i="1"/>
  <c r="AA147" i="1"/>
  <c r="AC326" i="1"/>
  <c r="K644" i="1" l="1"/>
  <c r="M644" i="1"/>
  <c r="N644" i="1"/>
  <c r="L644" i="1"/>
  <c r="AD147" i="1"/>
  <c r="AG147" i="1" s="1"/>
  <c r="AF147" i="1"/>
  <c r="P644" i="1" l="1"/>
  <c r="I645" i="1" s="1"/>
  <c r="L645" i="1" s="1"/>
  <c r="K645" i="1"/>
  <c r="J645" i="1"/>
  <c r="O645" i="1"/>
  <c r="N645" i="1"/>
  <c r="M645" i="1"/>
  <c r="P645" i="1" s="1"/>
  <c r="I646" i="1" s="1"/>
  <c r="V148" i="1"/>
  <c r="W148" i="1" s="1"/>
  <c r="K646" i="1" l="1"/>
  <c r="N646" i="1"/>
  <c r="L646" i="1"/>
  <c r="M646" i="1"/>
  <c r="O646" i="1"/>
  <c r="J646" i="1"/>
  <c r="AB148" i="1"/>
  <c r="AF148" i="1" s="1"/>
  <c r="AA148" i="1"/>
  <c r="X148" i="1"/>
  <c r="Y148" i="1"/>
  <c r="Z148" i="1"/>
  <c r="P646" i="1" l="1"/>
  <c r="I647" i="1" s="1"/>
  <c r="K647" i="1" s="1"/>
  <c r="O647" i="1"/>
  <c r="N647" i="1"/>
  <c r="J647" i="1"/>
  <c r="M647" i="1"/>
  <c r="L647" i="1"/>
  <c r="AD148" i="1"/>
  <c r="AG148" i="1" s="1"/>
  <c r="P647" i="1" l="1"/>
  <c r="I648" i="1" s="1"/>
  <c r="J648" i="1" s="1"/>
  <c r="V149" i="1"/>
  <c r="X149" i="1" s="1"/>
  <c r="Z149" i="1"/>
  <c r="AB149" i="1"/>
  <c r="AF149" i="1" s="1"/>
  <c r="W149" i="1"/>
  <c r="AC327" i="1"/>
  <c r="M648" i="1" l="1"/>
  <c r="L648" i="1"/>
  <c r="K648" i="1"/>
  <c r="N648" i="1"/>
  <c r="O648" i="1"/>
  <c r="AA149" i="1"/>
  <c r="Y149" i="1"/>
  <c r="AD149" i="1" s="1"/>
  <c r="AG149" i="1" s="1"/>
  <c r="P648" i="1"/>
  <c r="I649" i="1" s="1"/>
  <c r="L649" i="1" s="1"/>
  <c r="N649" i="1"/>
  <c r="M649" i="1" l="1"/>
  <c r="O649" i="1"/>
  <c r="K649" i="1"/>
  <c r="J649" i="1"/>
  <c r="V150" i="1"/>
  <c r="Y150" i="1" s="1"/>
  <c r="AC329" i="1"/>
  <c r="P649" i="1" l="1"/>
  <c r="I650" i="1" s="1"/>
  <c r="L650" i="1" s="1"/>
  <c r="AB150" i="1"/>
  <c r="AF150" i="1" s="1"/>
  <c r="Z150" i="1"/>
  <c r="X150" i="1"/>
  <c r="W150" i="1"/>
  <c r="AA150" i="1"/>
  <c r="M650" i="1"/>
  <c r="O650" i="1"/>
  <c r="J650" i="1"/>
  <c r="K650" i="1"/>
  <c r="N650" i="1"/>
  <c r="AC328" i="1"/>
  <c r="AD150" i="1" l="1"/>
  <c r="AG150" i="1" s="1"/>
  <c r="P650" i="1"/>
  <c r="I651" i="1" s="1"/>
  <c r="V151" i="1" l="1"/>
  <c r="W151" i="1" s="1"/>
  <c r="N651" i="1"/>
  <c r="O651" i="1"/>
  <c r="L651" i="1"/>
  <c r="K651" i="1"/>
  <c r="J651" i="1"/>
  <c r="M651" i="1"/>
  <c r="Y151" i="1" l="1"/>
  <c r="AB151" i="1"/>
  <c r="AF151" i="1" s="1"/>
  <c r="Z151" i="1"/>
  <c r="X151" i="1"/>
  <c r="AA151" i="1"/>
  <c r="P651" i="1"/>
  <c r="I652" i="1" s="1"/>
  <c r="AD151" i="1" l="1"/>
  <c r="AG151" i="1" s="1"/>
  <c r="K652" i="1"/>
  <c r="O652" i="1"/>
  <c r="J652" i="1"/>
  <c r="L652" i="1"/>
  <c r="M652" i="1"/>
  <c r="N652" i="1"/>
  <c r="AC330" i="1"/>
  <c r="AC331" i="1"/>
  <c r="V152" i="1" l="1"/>
  <c r="W152" i="1" s="1"/>
  <c r="AB152" i="1"/>
  <c r="AF152" i="1" s="1"/>
  <c r="AA152" i="1"/>
  <c r="Z152" i="1"/>
  <c r="P652" i="1"/>
  <c r="I653" i="1" s="1"/>
  <c r="J653" i="1" s="1"/>
  <c r="Y152" i="1" l="1"/>
  <c r="X152" i="1"/>
  <c r="AD152" i="1"/>
  <c r="AG152" i="1" s="1"/>
  <c r="O653" i="1"/>
  <c r="M653" i="1"/>
  <c r="L653" i="1"/>
  <c r="N653" i="1"/>
  <c r="K653" i="1"/>
  <c r="V153" i="1" l="1"/>
  <c r="Z153" i="1" s="1"/>
  <c r="P653" i="1"/>
  <c r="I654" i="1" s="1"/>
  <c r="K654" i="1" s="1"/>
  <c r="AB153" i="1" l="1"/>
  <c r="AF153" i="1" s="1"/>
  <c r="AA153" i="1"/>
  <c r="W153" i="1"/>
  <c r="X153" i="1"/>
  <c r="Y153" i="1"/>
  <c r="O654" i="1"/>
  <c r="J654" i="1"/>
  <c r="L654" i="1"/>
  <c r="N654" i="1"/>
  <c r="M654" i="1"/>
  <c r="AC333" i="1"/>
  <c r="AD153" i="1" l="1"/>
  <c r="AG153" i="1"/>
  <c r="V154" i="1"/>
  <c r="P654" i="1"/>
  <c r="I655" i="1" s="1"/>
  <c r="K655" i="1" s="1"/>
  <c r="O655" i="1"/>
  <c r="J655" i="1" l="1"/>
  <c r="M655" i="1"/>
  <c r="Z154" i="1"/>
  <c r="AB154" i="1"/>
  <c r="AF154" i="1" s="1"/>
  <c r="AA154" i="1"/>
  <c r="Y154" i="1"/>
  <c r="W154" i="1"/>
  <c r="X154" i="1"/>
  <c r="L655" i="1"/>
  <c r="N655" i="1"/>
  <c r="AC332" i="1"/>
  <c r="AD154" i="1" l="1"/>
  <c r="AG154" i="1" s="1"/>
  <c r="V155" i="1"/>
  <c r="Y155" i="1" s="1"/>
  <c r="P655" i="1"/>
  <c r="I656" i="1" s="1"/>
  <c r="N656" i="1" s="1"/>
  <c r="O656" i="1"/>
  <c r="L656" i="1"/>
  <c r="M656" i="1"/>
  <c r="J656" i="1" l="1"/>
  <c r="K656" i="1"/>
  <c r="AA155" i="1"/>
  <c r="Z155" i="1"/>
  <c r="AB155" i="1"/>
  <c r="AF155" i="1" s="1"/>
  <c r="X155" i="1"/>
  <c r="W155" i="1"/>
  <c r="P656" i="1"/>
  <c r="I657" i="1" s="1"/>
  <c r="M657" i="1" s="1"/>
  <c r="O657" i="1" l="1"/>
  <c r="L657" i="1"/>
  <c r="J657" i="1"/>
  <c r="AD155" i="1"/>
  <c r="K657" i="1"/>
  <c r="N657" i="1"/>
  <c r="P657" i="1" l="1"/>
  <c r="I658" i="1" s="1"/>
  <c r="J658" i="1" s="1"/>
  <c r="AG155" i="1"/>
  <c r="V156" i="1"/>
  <c r="M658" i="1"/>
  <c r="AC334" i="1"/>
  <c r="O658" i="1" l="1"/>
  <c r="L658" i="1"/>
  <c r="K658" i="1"/>
  <c r="N658" i="1"/>
  <c r="W156" i="1"/>
  <c r="AB156" i="1"/>
  <c r="AA156" i="1"/>
  <c r="Z156" i="1"/>
  <c r="Y156" i="1"/>
  <c r="X156" i="1"/>
  <c r="P658" i="1"/>
  <c r="I659" i="1" s="1"/>
  <c r="K659" i="1" s="1"/>
  <c r="AC336" i="1"/>
  <c r="AD156" i="1" l="1"/>
  <c r="V157" i="1" s="1"/>
  <c r="Y157" i="1" s="1"/>
  <c r="AF156" i="1"/>
  <c r="M659" i="1"/>
  <c r="J659" i="1"/>
  <c r="O659" i="1"/>
  <c r="N659" i="1"/>
  <c r="L659" i="1"/>
  <c r="AC335" i="1"/>
  <c r="AG156" i="1" l="1"/>
  <c r="Z157" i="1"/>
  <c r="AA157" i="1"/>
  <c r="X157" i="1"/>
  <c r="W157" i="1"/>
  <c r="AB157" i="1"/>
  <c r="P659" i="1"/>
  <c r="I660" i="1" s="1"/>
  <c r="AC337" i="1"/>
  <c r="AD157" i="1" l="1"/>
  <c r="V158" i="1"/>
  <c r="AA158" i="1" s="1"/>
  <c r="AG157" i="1"/>
  <c r="AF157" i="1"/>
  <c r="Y158" i="1"/>
  <c r="Z158" i="1"/>
  <c r="K660" i="1"/>
  <c r="O660" i="1"/>
  <c r="J660" i="1"/>
  <c r="L660" i="1"/>
  <c r="N660" i="1"/>
  <c r="M660" i="1"/>
  <c r="AB158" i="1" l="1"/>
  <c r="W158" i="1"/>
  <c r="X158" i="1"/>
  <c r="P660" i="1"/>
  <c r="I661" i="1" s="1"/>
  <c r="K661" i="1" s="1"/>
  <c r="N661" i="1" l="1"/>
  <c r="L661" i="1"/>
  <c r="O661" i="1"/>
  <c r="AD158" i="1"/>
  <c r="V159" i="1" s="1"/>
  <c r="AA159" i="1" s="1"/>
  <c r="AF158" i="1"/>
  <c r="M661" i="1"/>
  <c r="J661" i="1"/>
  <c r="AC338" i="1"/>
  <c r="AG158" i="1" l="1"/>
  <c r="Y159" i="1"/>
  <c r="Z159" i="1"/>
  <c r="W159" i="1"/>
  <c r="AB159" i="1"/>
  <c r="AF159" i="1" s="1"/>
  <c r="X159" i="1"/>
  <c r="P661" i="1"/>
  <c r="I662" i="1" s="1"/>
  <c r="N662" i="1" s="1"/>
  <c r="O662" i="1" l="1"/>
  <c r="L662" i="1"/>
  <c r="M662" i="1"/>
  <c r="AD159" i="1"/>
  <c r="J662" i="1"/>
  <c r="K662" i="1"/>
  <c r="P662" i="1" l="1"/>
  <c r="I663" i="1" s="1"/>
  <c r="J663" i="1" s="1"/>
  <c r="AG159" i="1"/>
  <c r="V160" i="1"/>
  <c r="O663" i="1"/>
  <c r="K663" i="1"/>
  <c r="N663" i="1" l="1"/>
  <c r="L663" i="1"/>
  <c r="M663" i="1"/>
  <c r="W160" i="1"/>
  <c r="X160" i="1"/>
  <c r="AB160" i="1"/>
  <c r="AF160" i="1" s="1"/>
  <c r="AA160" i="1"/>
  <c r="Y160" i="1"/>
  <c r="Z160" i="1"/>
  <c r="AC340" i="1"/>
  <c r="P663" i="1" l="1"/>
  <c r="I664" i="1" s="1"/>
  <c r="N664" i="1" s="1"/>
  <c r="M664" i="1"/>
  <c r="AD160" i="1"/>
  <c r="V161" i="1" s="1"/>
  <c r="L664" i="1"/>
  <c r="J664" i="1"/>
  <c r="O664" i="1"/>
  <c r="AC339" i="1"/>
  <c r="K664" i="1" l="1"/>
  <c r="AG160" i="1"/>
  <c r="W161" i="1"/>
  <c r="X161" i="1"/>
  <c r="Y161" i="1"/>
  <c r="AA161" i="1"/>
  <c r="Z161" i="1"/>
  <c r="AB161" i="1"/>
  <c r="AF161" i="1" s="1"/>
  <c r="P664" i="1"/>
  <c r="I665" i="1" s="1"/>
  <c r="N665" i="1" s="1"/>
  <c r="AC341" i="1"/>
  <c r="AD161" i="1" l="1"/>
  <c r="L665" i="1"/>
  <c r="M665" i="1"/>
  <c r="O665" i="1"/>
  <c r="K665" i="1"/>
  <c r="J665" i="1"/>
  <c r="P665" i="1" l="1"/>
  <c r="I666" i="1" s="1"/>
  <c r="N666" i="1" s="1"/>
  <c r="AG161" i="1"/>
  <c r="V162" i="1"/>
  <c r="AC342" i="1"/>
  <c r="K666" i="1" l="1"/>
  <c r="J666" i="1"/>
  <c r="M666" i="1"/>
  <c r="O666" i="1"/>
  <c r="L666" i="1"/>
  <c r="W162" i="1"/>
  <c r="Y162" i="1"/>
  <c r="X162" i="1"/>
  <c r="AB162" i="1"/>
  <c r="AF162" i="1" s="1"/>
  <c r="Z162" i="1"/>
  <c r="AA162" i="1"/>
  <c r="P666" i="1"/>
  <c r="I667" i="1" s="1"/>
  <c r="N667" i="1" s="1"/>
  <c r="AD162" i="1" l="1"/>
  <c r="M667" i="1"/>
  <c r="L667" i="1"/>
  <c r="O667" i="1"/>
  <c r="K667" i="1"/>
  <c r="J667" i="1"/>
  <c r="AG162" i="1" l="1"/>
  <c r="V163" i="1"/>
  <c r="P667" i="1"/>
  <c r="I668" i="1" s="1"/>
  <c r="L668" i="1" s="1"/>
  <c r="N668" i="1"/>
  <c r="O668" i="1"/>
  <c r="K668" i="1"/>
  <c r="M668" i="1"/>
  <c r="J668" i="1" l="1"/>
  <c r="W163" i="1"/>
  <c r="AB163" i="1"/>
  <c r="AF163" i="1" s="1"/>
  <c r="Z163" i="1"/>
  <c r="AA163" i="1"/>
  <c r="X163" i="1"/>
  <c r="Y163" i="1"/>
  <c r="P668" i="1"/>
  <c r="I669" i="1" s="1"/>
  <c r="K669" i="1" s="1"/>
  <c r="AC344" i="1"/>
  <c r="O669" i="1" l="1"/>
  <c r="L669" i="1"/>
  <c r="N669" i="1"/>
  <c r="AD163" i="1"/>
  <c r="M669" i="1"/>
  <c r="J669" i="1"/>
  <c r="AC343" i="1"/>
  <c r="AG163" i="1" l="1"/>
  <c r="V164" i="1"/>
  <c r="P669" i="1"/>
  <c r="I670" i="1" s="1"/>
  <c r="K670" i="1" s="1"/>
  <c r="O670" i="1"/>
  <c r="AC345" i="1"/>
  <c r="J670" i="1" l="1"/>
  <c r="AA164" i="1"/>
  <c r="Z164" i="1"/>
  <c r="Y164" i="1"/>
  <c r="AB164" i="1"/>
  <c r="AF164" i="1" s="1"/>
  <c r="X164" i="1"/>
  <c r="W164" i="1"/>
  <c r="M670" i="1"/>
  <c r="N670" i="1"/>
  <c r="L670" i="1"/>
  <c r="AC346" i="1"/>
  <c r="P670" i="1" l="1"/>
  <c r="I671" i="1" s="1"/>
  <c r="AD164" i="1"/>
  <c r="N671" i="1"/>
  <c r="L671" i="1"/>
  <c r="M671" i="1"/>
  <c r="K671" i="1"/>
  <c r="O671" i="1"/>
  <c r="J671" i="1"/>
  <c r="P671" i="1" l="1"/>
  <c r="I672" i="1" s="1"/>
  <c r="K672" i="1" s="1"/>
  <c r="AG164" i="1"/>
  <c r="V165" i="1"/>
  <c r="L672" i="1" l="1"/>
  <c r="O672" i="1"/>
  <c r="M672" i="1"/>
  <c r="J672" i="1"/>
  <c r="N672" i="1"/>
  <c r="Y165" i="1"/>
  <c r="X165" i="1"/>
  <c r="W165" i="1"/>
  <c r="AB165" i="1"/>
  <c r="AF165" i="1" s="1"/>
  <c r="Z165" i="1"/>
  <c r="AA165" i="1"/>
  <c r="P672" i="1"/>
  <c r="I673" i="1" s="1"/>
  <c r="N673" i="1" s="1"/>
  <c r="AD165" i="1" l="1"/>
  <c r="M673" i="1"/>
  <c r="L673" i="1"/>
  <c r="K673" i="1"/>
  <c r="O673" i="1"/>
  <c r="J673" i="1"/>
  <c r="P673" i="1" l="1"/>
  <c r="I674" i="1" s="1"/>
  <c r="AG165" i="1"/>
  <c r="V166" i="1"/>
  <c r="K674" i="1"/>
  <c r="J674" i="1"/>
  <c r="O674" i="1"/>
  <c r="N674" i="1"/>
  <c r="M674" i="1"/>
  <c r="L674" i="1"/>
  <c r="AC348" i="1"/>
  <c r="W166" i="1" l="1"/>
  <c r="Y166" i="1"/>
  <c r="Z166" i="1"/>
  <c r="X166" i="1"/>
  <c r="AA166" i="1"/>
  <c r="AB166" i="1"/>
  <c r="AF166" i="1" s="1"/>
  <c r="P674" i="1"/>
  <c r="I675" i="1" s="1"/>
  <c r="L675" i="1" s="1"/>
  <c r="AD166" i="1" l="1"/>
  <c r="M675" i="1"/>
  <c r="N675" i="1"/>
  <c r="J675" i="1"/>
  <c r="O675" i="1"/>
  <c r="K675" i="1"/>
  <c r="AC347" i="1"/>
  <c r="AG166" i="1" l="1"/>
  <c r="V167" i="1"/>
  <c r="P675" i="1"/>
  <c r="I676" i="1" s="1"/>
  <c r="M676" i="1" s="1"/>
  <c r="AC349" i="1"/>
  <c r="AA167" i="1" l="1"/>
  <c r="AB167" i="1"/>
  <c r="AF167" i="1" s="1"/>
  <c r="Y167" i="1"/>
  <c r="Z167" i="1"/>
  <c r="W167" i="1"/>
  <c r="X167" i="1"/>
  <c r="L676" i="1"/>
  <c r="N676" i="1"/>
  <c r="K676" i="1"/>
  <c r="O676" i="1"/>
  <c r="J676" i="1"/>
  <c r="P676" i="1" l="1"/>
  <c r="I677" i="1" s="1"/>
  <c r="K677" i="1" s="1"/>
  <c r="AD167" i="1"/>
  <c r="AC350" i="1"/>
  <c r="M677" i="1" l="1"/>
  <c r="L677" i="1"/>
  <c r="N677" i="1"/>
  <c r="O677" i="1"/>
  <c r="J677" i="1"/>
  <c r="V168" i="1"/>
  <c r="AG167" i="1"/>
  <c r="P677" i="1"/>
  <c r="I678" i="1" s="1"/>
  <c r="Z168" i="1" l="1"/>
  <c r="W168" i="1"/>
  <c r="Y168" i="1"/>
  <c r="AB168" i="1"/>
  <c r="AF168" i="1" s="1"/>
  <c r="AA168" i="1"/>
  <c r="X168" i="1"/>
  <c r="L678" i="1"/>
  <c r="M678" i="1"/>
  <c r="N678" i="1"/>
  <c r="J678" i="1"/>
  <c r="O678" i="1"/>
  <c r="K678" i="1"/>
  <c r="AD168" i="1" l="1"/>
  <c r="P678" i="1"/>
  <c r="I679" i="1" s="1"/>
  <c r="M679" i="1" s="1"/>
  <c r="AG168" i="1" l="1"/>
  <c r="V169" i="1"/>
  <c r="N679" i="1"/>
  <c r="L679" i="1"/>
  <c r="J679" i="1"/>
  <c r="O679" i="1"/>
  <c r="K679" i="1"/>
  <c r="P679" i="1" l="1"/>
  <c r="I680" i="1" s="1"/>
  <c r="AB169" i="1"/>
  <c r="X169" i="1"/>
  <c r="Y169" i="1"/>
  <c r="W169" i="1"/>
  <c r="Z169" i="1"/>
  <c r="AA169" i="1"/>
  <c r="M680" i="1"/>
  <c r="N680" i="1"/>
  <c r="O680" i="1"/>
  <c r="J680" i="1"/>
  <c r="K680" i="1"/>
  <c r="L680" i="1"/>
  <c r="AC352" i="1"/>
  <c r="AD169" i="1" l="1"/>
  <c r="V170" i="1"/>
  <c r="Y170" i="1" s="1"/>
  <c r="AG169" i="1"/>
  <c r="AF169" i="1"/>
  <c r="P680" i="1"/>
  <c r="I681" i="1" s="1"/>
  <c r="L681" i="1" s="1"/>
  <c r="AC351" i="1"/>
  <c r="AA170" i="1" l="1"/>
  <c r="Z170" i="1"/>
  <c r="AB170" i="1"/>
  <c r="W170" i="1"/>
  <c r="X170" i="1"/>
  <c r="M681" i="1"/>
  <c r="N681" i="1"/>
  <c r="O681" i="1"/>
  <c r="K681" i="1"/>
  <c r="J681" i="1"/>
  <c r="AC353" i="1"/>
  <c r="P681" i="1" l="1"/>
  <c r="I682" i="1" s="1"/>
  <c r="M682" i="1" s="1"/>
  <c r="AD170" i="1"/>
  <c r="AG170" i="1"/>
  <c r="V171" i="1"/>
  <c r="AA171" i="1" s="1"/>
  <c r="AF170" i="1"/>
  <c r="N682" i="1" l="1"/>
  <c r="O682" i="1"/>
  <c r="L682" i="1"/>
  <c r="J682" i="1"/>
  <c r="K682" i="1"/>
  <c r="Z171" i="1"/>
  <c r="Y171" i="1"/>
  <c r="AB171" i="1"/>
  <c r="X171" i="1"/>
  <c r="W171" i="1"/>
  <c r="P682" i="1"/>
  <c r="I683" i="1" s="1"/>
  <c r="M683" i="1" s="1"/>
  <c r="N683" i="1" l="1"/>
  <c r="AD171" i="1"/>
  <c r="AG171" i="1"/>
  <c r="V172" i="1"/>
  <c r="AA172" i="1" s="1"/>
  <c r="AF171" i="1"/>
  <c r="L683" i="1"/>
  <c r="O683" i="1"/>
  <c r="J683" i="1"/>
  <c r="K683" i="1"/>
  <c r="Y172" i="1" l="1"/>
  <c r="Z172" i="1"/>
  <c r="W172" i="1"/>
  <c r="AB172" i="1"/>
  <c r="X172" i="1"/>
  <c r="P683" i="1"/>
  <c r="I684" i="1" s="1"/>
  <c r="L684" i="1" s="1"/>
  <c r="AD172" i="1" l="1"/>
  <c r="AG172" i="1" s="1"/>
  <c r="V173" i="1"/>
  <c r="Y173" i="1" s="1"/>
  <c r="AF172" i="1"/>
  <c r="M684" i="1"/>
  <c r="N684" i="1"/>
  <c r="J684" i="1"/>
  <c r="K684" i="1"/>
  <c r="O684" i="1"/>
  <c r="AC354" i="1"/>
  <c r="Z173" i="1" l="1"/>
  <c r="AB173" i="1"/>
  <c r="AF173" i="1" s="1"/>
  <c r="X173" i="1"/>
  <c r="W173" i="1"/>
  <c r="AA173" i="1"/>
  <c r="P684" i="1"/>
  <c r="I685" i="1" s="1"/>
  <c r="N685" i="1" s="1"/>
  <c r="AD173" i="1" l="1"/>
  <c r="V174" i="1" s="1"/>
  <c r="AG173" i="1"/>
  <c r="L685" i="1"/>
  <c r="M685" i="1"/>
  <c r="J685" i="1"/>
  <c r="O685" i="1"/>
  <c r="K685" i="1"/>
  <c r="Y174" i="1" l="1"/>
  <c r="X174" i="1"/>
  <c r="Z174" i="1"/>
  <c r="AB174" i="1"/>
  <c r="AF174" i="1" s="1"/>
  <c r="W174" i="1"/>
  <c r="AA174" i="1"/>
  <c r="P685" i="1"/>
  <c r="I686" i="1" s="1"/>
  <c r="N686" i="1" s="1"/>
  <c r="AC355" i="1"/>
  <c r="O686" i="1" l="1"/>
  <c r="M686" i="1"/>
  <c r="L686" i="1"/>
  <c r="K686" i="1"/>
  <c r="J686" i="1"/>
  <c r="AD174" i="1"/>
  <c r="P686" i="1" l="1"/>
  <c r="I687" i="1" s="1"/>
  <c r="N687" i="1" s="1"/>
  <c r="AG174" i="1"/>
  <c r="V175" i="1"/>
  <c r="M687" i="1"/>
  <c r="L687" i="1"/>
  <c r="J687" i="1"/>
  <c r="K687" i="1"/>
  <c r="O687" i="1"/>
  <c r="P687" i="1" l="1"/>
  <c r="I688" i="1" s="1"/>
  <c r="M688" i="1" s="1"/>
  <c r="AB175" i="1"/>
  <c r="AF175" i="1" s="1"/>
  <c r="Y175" i="1"/>
  <c r="Z175" i="1"/>
  <c r="AA175" i="1"/>
  <c r="W175" i="1"/>
  <c r="X175" i="1"/>
  <c r="O688" i="1"/>
  <c r="AC356" i="1"/>
  <c r="J688" i="1" l="1"/>
  <c r="K688" i="1"/>
  <c r="L688" i="1"/>
  <c r="N688" i="1"/>
  <c r="AD175" i="1"/>
  <c r="P688" i="1"/>
  <c r="I689" i="1" s="1"/>
  <c r="N689" i="1" s="1"/>
  <c r="M689" i="1"/>
  <c r="L689" i="1"/>
  <c r="O689" i="1"/>
  <c r="J689" i="1"/>
  <c r="K689" i="1"/>
  <c r="AC357" i="1"/>
  <c r="V176" i="1" l="1"/>
  <c r="AG175" i="1"/>
  <c r="P689" i="1"/>
  <c r="I690" i="1" s="1"/>
  <c r="M690" i="1" s="1"/>
  <c r="N690" i="1"/>
  <c r="J690" i="1"/>
  <c r="O690" i="1"/>
  <c r="L690" i="1" l="1"/>
  <c r="K690" i="1"/>
  <c r="AA176" i="1"/>
  <c r="X176" i="1"/>
  <c r="Y176" i="1"/>
  <c r="AB176" i="1"/>
  <c r="AF176" i="1" s="1"/>
  <c r="Z176" i="1"/>
  <c r="W176" i="1"/>
  <c r="P690" i="1"/>
  <c r="I691" i="1" s="1"/>
  <c r="N691" i="1" s="1"/>
  <c r="AC358" i="1"/>
  <c r="AD176" i="1" l="1"/>
  <c r="M691" i="1"/>
  <c r="L691" i="1"/>
  <c r="O691" i="1"/>
  <c r="K691" i="1"/>
  <c r="J691" i="1"/>
  <c r="P691" i="1" l="1"/>
  <c r="I692" i="1" s="1"/>
  <c r="V177" i="1"/>
  <c r="AG176" i="1"/>
  <c r="M692" i="1"/>
  <c r="O692" i="1"/>
  <c r="J692" i="1"/>
  <c r="K692" i="1"/>
  <c r="N692" i="1"/>
  <c r="L692" i="1"/>
  <c r="AC359" i="1"/>
  <c r="W177" i="1" l="1"/>
  <c r="Y177" i="1"/>
  <c r="Z177" i="1"/>
  <c r="AB177" i="1"/>
  <c r="AF177" i="1" s="1"/>
  <c r="AA177" i="1"/>
  <c r="X177" i="1"/>
  <c r="P692" i="1"/>
  <c r="I693" i="1" s="1"/>
  <c r="AD177" i="1" l="1"/>
  <c r="M693" i="1"/>
  <c r="N693" i="1"/>
  <c r="L693" i="1"/>
  <c r="J693" i="1"/>
  <c r="K693" i="1"/>
  <c r="O693" i="1"/>
  <c r="AC360" i="1"/>
  <c r="AG177" i="1" l="1"/>
  <c r="V178" i="1"/>
  <c r="P693" i="1"/>
  <c r="I694" i="1" s="1"/>
  <c r="L694" i="1" s="1"/>
  <c r="Z178" i="1" l="1"/>
  <c r="Y178" i="1"/>
  <c r="X178" i="1"/>
  <c r="W178" i="1"/>
  <c r="AB178" i="1"/>
  <c r="AF178" i="1" s="1"/>
  <c r="AA178" i="1"/>
  <c r="N694" i="1"/>
  <c r="M694" i="1"/>
  <c r="J694" i="1"/>
  <c r="K694" i="1"/>
  <c r="O694" i="1"/>
  <c r="P694" i="1" l="1"/>
  <c r="I695" i="1" s="1"/>
  <c r="N695" i="1" s="1"/>
  <c r="AD178" i="1"/>
  <c r="AG178" i="1" s="1"/>
  <c r="V179" i="1"/>
  <c r="L695" i="1"/>
  <c r="M695" i="1"/>
  <c r="O695" i="1"/>
  <c r="J695" i="1"/>
  <c r="K695" i="1"/>
  <c r="Z179" i="1" l="1"/>
  <c r="Y179" i="1"/>
  <c r="AA179" i="1"/>
  <c r="X179" i="1"/>
  <c r="W179" i="1"/>
  <c r="AB179" i="1"/>
  <c r="AF179" i="1" s="1"/>
  <c r="P695" i="1"/>
  <c r="I696" i="1" s="1"/>
  <c r="N696" i="1" s="1"/>
  <c r="L696" i="1" l="1"/>
  <c r="AD179" i="1"/>
  <c r="V180" i="1" s="1"/>
  <c r="M696" i="1"/>
  <c r="O696" i="1"/>
  <c r="K696" i="1"/>
  <c r="J696" i="1"/>
  <c r="AC361" i="1"/>
  <c r="AC362" i="1"/>
  <c r="Y180" i="1" l="1"/>
  <c r="Z180" i="1"/>
  <c r="AA180" i="1"/>
  <c r="AG179" i="1"/>
  <c r="P696" i="1"/>
  <c r="I697" i="1" s="1"/>
  <c r="K697" i="1" s="1"/>
  <c r="W180" i="1"/>
  <c r="AB180" i="1"/>
  <c r="X180" i="1"/>
  <c r="J697" i="1"/>
  <c r="O697" i="1"/>
  <c r="N697" i="1"/>
  <c r="L697" i="1"/>
  <c r="M697" i="1" l="1"/>
  <c r="P697" i="1" s="1"/>
  <c r="I698" i="1" s="1"/>
  <c r="AD180" i="1"/>
  <c r="V181" i="1" s="1"/>
  <c r="AF180" i="1"/>
  <c r="AC363" i="1"/>
  <c r="AG180" i="1" l="1"/>
  <c r="AA181" i="1"/>
  <c r="AB181" i="1"/>
  <c r="AF181" i="1" s="1"/>
  <c r="X181" i="1"/>
  <c r="W181" i="1"/>
  <c r="Y181" i="1"/>
  <c r="Z181" i="1"/>
  <c r="M698" i="1"/>
  <c r="N698" i="1"/>
  <c r="L698" i="1"/>
  <c r="J698" i="1"/>
  <c r="K698" i="1"/>
  <c r="O698" i="1"/>
  <c r="AD181" i="1" l="1"/>
  <c r="AG181" i="1" s="1"/>
  <c r="P698" i="1"/>
  <c r="I699" i="1" s="1"/>
  <c r="L699" i="1" s="1"/>
  <c r="V182" i="1" l="1"/>
  <c r="W182" i="1" s="1"/>
  <c r="M699" i="1"/>
  <c r="N699" i="1"/>
  <c r="O699" i="1"/>
  <c r="K699" i="1"/>
  <c r="J699" i="1"/>
  <c r="Z182" i="1" l="1"/>
  <c r="X182" i="1"/>
  <c r="Y182" i="1"/>
  <c r="AB182" i="1"/>
  <c r="AF182" i="1" s="1"/>
  <c r="AA182" i="1"/>
  <c r="P699" i="1"/>
  <c r="I700" i="1" s="1"/>
  <c r="J700" i="1" s="1"/>
  <c r="M700" i="1"/>
  <c r="K700" i="1"/>
  <c r="O700" i="1"/>
  <c r="N700" i="1"/>
  <c r="L700" i="1"/>
  <c r="AD182" i="1" l="1"/>
  <c r="AG182" i="1"/>
  <c r="V183" i="1"/>
  <c r="P700" i="1"/>
  <c r="I701" i="1" s="1"/>
  <c r="M701" i="1" s="1"/>
  <c r="AC364" i="1"/>
  <c r="AC365" i="1"/>
  <c r="AA183" i="1" l="1"/>
  <c r="X183" i="1"/>
  <c r="AB183" i="1"/>
  <c r="AF183" i="1" s="1"/>
  <c r="W183" i="1"/>
  <c r="Z183" i="1"/>
  <c r="Y183" i="1"/>
  <c r="L701" i="1"/>
  <c r="N701" i="1"/>
  <c r="K701" i="1"/>
  <c r="J701" i="1"/>
  <c r="O701" i="1"/>
  <c r="AD183" i="1" l="1"/>
  <c r="AG183" i="1" s="1"/>
  <c r="P701" i="1"/>
  <c r="I702" i="1" s="1"/>
  <c r="M702" i="1" s="1"/>
  <c r="AC366" i="1"/>
  <c r="V184" i="1" l="1"/>
  <c r="Y184" i="1" s="1"/>
  <c r="N702" i="1"/>
  <c r="L702" i="1"/>
  <c r="O702" i="1"/>
  <c r="K702" i="1"/>
  <c r="J702" i="1"/>
  <c r="AB184" i="1" l="1"/>
  <c r="AF184" i="1" s="1"/>
  <c r="X184" i="1"/>
  <c r="W184" i="1"/>
  <c r="AA184" i="1"/>
  <c r="Z184" i="1"/>
  <c r="P702" i="1"/>
  <c r="I703" i="1" s="1"/>
  <c r="J703" i="1" s="1"/>
  <c r="O703" i="1"/>
  <c r="K703" i="1"/>
  <c r="N703" i="1"/>
  <c r="L703" i="1"/>
  <c r="M703" i="1"/>
  <c r="AD184" i="1" l="1"/>
  <c r="AG184" i="1" s="1"/>
  <c r="V185" i="1"/>
  <c r="P703" i="1"/>
  <c r="I704" i="1" s="1"/>
  <c r="N704" i="1" s="1"/>
  <c r="AC367" i="1"/>
  <c r="L704" i="1" l="1"/>
  <c r="M704" i="1"/>
  <c r="W185" i="1"/>
  <c r="AB185" i="1"/>
  <c r="AF185" i="1" s="1"/>
  <c r="X185" i="1"/>
  <c r="AA185" i="1"/>
  <c r="Z185" i="1"/>
  <c r="Y185" i="1"/>
  <c r="K704" i="1"/>
  <c r="O704" i="1"/>
  <c r="J704" i="1"/>
  <c r="P704" i="1" l="1"/>
  <c r="I705" i="1" s="1"/>
  <c r="N705" i="1" s="1"/>
  <c r="L705" i="1"/>
  <c r="M705" i="1"/>
  <c r="AD185" i="1"/>
  <c r="V186" i="1" s="1"/>
  <c r="O705" i="1"/>
  <c r="J705" i="1"/>
  <c r="K705" i="1"/>
  <c r="AG185" i="1" l="1"/>
  <c r="Y186" i="1"/>
  <c r="W186" i="1"/>
  <c r="AB186" i="1"/>
  <c r="X186" i="1"/>
  <c r="Z186" i="1"/>
  <c r="AA186" i="1"/>
  <c r="P705" i="1"/>
  <c r="I706" i="1" s="1"/>
  <c r="L706" i="1" s="1"/>
  <c r="AC368" i="1"/>
  <c r="M706" i="1" l="1"/>
  <c r="N706" i="1"/>
  <c r="AD186" i="1"/>
  <c r="AG186" i="1" s="1"/>
  <c r="V187" i="1"/>
  <c r="AF186" i="1"/>
  <c r="Y187" i="1"/>
  <c r="AA187" i="1"/>
  <c r="O706" i="1"/>
  <c r="K706" i="1"/>
  <c r="J706" i="1"/>
  <c r="P706" i="1" l="1"/>
  <c r="I707" i="1" s="1"/>
  <c r="N707" i="1" s="1"/>
  <c r="AB187" i="1"/>
  <c r="AF187" i="1" s="1"/>
  <c r="W187" i="1"/>
  <c r="X187" i="1"/>
  <c r="Z187" i="1"/>
  <c r="K707" i="1"/>
  <c r="O707" i="1"/>
  <c r="J707" i="1"/>
  <c r="L707" i="1" l="1"/>
  <c r="M707" i="1"/>
  <c r="P707" i="1" s="1"/>
  <c r="I708" i="1" s="1"/>
  <c r="AD187" i="1"/>
  <c r="V188" i="1" s="1"/>
  <c r="AC369" i="1"/>
  <c r="N708" i="1" l="1"/>
  <c r="M708" i="1"/>
  <c r="K708" i="1"/>
  <c r="L708" i="1"/>
  <c r="O708" i="1"/>
  <c r="J708" i="1"/>
  <c r="AG187" i="1"/>
  <c r="Y188" i="1"/>
  <c r="AB188" i="1"/>
  <c r="AF188" i="1" s="1"/>
  <c r="Z188" i="1"/>
  <c r="W188" i="1"/>
  <c r="X188" i="1"/>
  <c r="AA188" i="1"/>
  <c r="P708" i="1" l="1"/>
  <c r="I709" i="1" s="1"/>
  <c r="O709" i="1"/>
  <c r="K709" i="1"/>
  <c r="N709" i="1"/>
  <c r="M709" i="1"/>
  <c r="J709" i="1"/>
  <c r="L709" i="1"/>
  <c r="AD188" i="1"/>
  <c r="AG188" i="1" s="1"/>
  <c r="V189" i="1"/>
  <c r="W189" i="1" s="1"/>
  <c r="AC370" i="1"/>
  <c r="P709" i="1" l="1"/>
  <c r="I710" i="1" s="1"/>
  <c r="L710" i="1" s="1"/>
  <c r="AA189" i="1"/>
  <c r="X189" i="1"/>
  <c r="Z189" i="1"/>
  <c r="Y189" i="1"/>
  <c r="AB189" i="1"/>
  <c r="AF189" i="1" s="1"/>
  <c r="O710" i="1" l="1"/>
  <c r="K710" i="1"/>
  <c r="N710" i="1"/>
  <c r="J710" i="1"/>
  <c r="M710" i="1"/>
  <c r="AD189" i="1"/>
  <c r="P710" i="1" l="1"/>
  <c r="I711" i="1" s="1"/>
  <c r="K711" i="1"/>
  <c r="L711" i="1"/>
  <c r="M711" i="1"/>
  <c r="N711" i="1"/>
  <c r="AG189" i="1"/>
  <c r="V190" i="1"/>
  <c r="AC371" i="1"/>
  <c r="J711" i="1" l="1"/>
  <c r="O711" i="1"/>
  <c r="Z190" i="1"/>
  <c r="AB190" i="1"/>
  <c r="AF190" i="1" s="1"/>
  <c r="Y190" i="1"/>
  <c r="AA190" i="1"/>
  <c r="W190" i="1"/>
  <c r="X190" i="1"/>
  <c r="P711" i="1" l="1"/>
  <c r="I712" i="1" s="1"/>
  <c r="K712" i="1"/>
  <c r="L712" i="1"/>
  <c r="O712" i="1"/>
  <c r="J712" i="1"/>
  <c r="M712" i="1"/>
  <c r="N712" i="1"/>
  <c r="AD190" i="1"/>
  <c r="AG190" i="1" s="1"/>
  <c r="V191" i="1"/>
  <c r="Z191" i="1" s="1"/>
  <c r="AC372" i="1"/>
  <c r="P712" i="1" l="1"/>
  <c r="I713" i="1" s="1"/>
  <c r="Y191" i="1"/>
  <c r="X191" i="1"/>
  <c r="AB191" i="1"/>
  <c r="AF191" i="1" s="1"/>
  <c r="W191" i="1"/>
  <c r="AA191" i="1"/>
  <c r="L713" i="1" l="1"/>
  <c r="O713" i="1"/>
  <c r="M713" i="1"/>
  <c r="N713" i="1"/>
  <c r="K713" i="1"/>
  <c r="J713" i="1"/>
  <c r="AD191" i="1"/>
  <c r="P713" i="1" l="1"/>
  <c r="I714" i="1" s="1"/>
  <c r="V192" i="1"/>
  <c r="AG191" i="1"/>
  <c r="AC373" i="1"/>
  <c r="K714" i="1" l="1"/>
  <c r="J714" i="1"/>
  <c r="O714" i="1"/>
  <c r="M714" i="1"/>
  <c r="N714" i="1"/>
  <c r="L714" i="1"/>
  <c r="P714" i="1" s="1"/>
  <c r="I715" i="1" s="1"/>
  <c r="W192" i="1"/>
  <c r="X192" i="1"/>
  <c r="Y192" i="1"/>
  <c r="Z192" i="1"/>
  <c r="AA192" i="1"/>
  <c r="AB192" i="1"/>
  <c r="AF192" i="1" s="1"/>
  <c r="K715" i="1" l="1"/>
  <c r="O715" i="1"/>
  <c r="J715" i="1"/>
  <c r="N715" i="1"/>
  <c r="M715" i="1"/>
  <c r="L715" i="1"/>
  <c r="P715" i="1" s="1"/>
  <c r="I716" i="1" s="1"/>
  <c r="AD192" i="1"/>
  <c r="M716" i="1" l="1"/>
  <c r="K716" i="1"/>
  <c r="N716" i="1"/>
  <c r="L716" i="1"/>
  <c r="O716" i="1"/>
  <c r="J716" i="1"/>
  <c r="P716" i="1"/>
  <c r="I717" i="1" s="1"/>
  <c r="J717" i="1" s="1"/>
  <c r="AG192" i="1"/>
  <c r="V193" i="1"/>
  <c r="N717" i="1"/>
  <c r="O717" i="1"/>
  <c r="K717" i="1"/>
  <c r="AC374" i="1"/>
  <c r="L717" i="1" l="1"/>
  <c r="M717" i="1"/>
  <c r="AA193" i="1"/>
  <c r="X193" i="1"/>
  <c r="AB193" i="1"/>
  <c r="Z193" i="1"/>
  <c r="Y193" i="1"/>
  <c r="W193" i="1"/>
  <c r="P717" i="1"/>
  <c r="I718" i="1" s="1"/>
  <c r="L718" i="1" s="1"/>
  <c r="M718" i="1" l="1"/>
  <c r="N718" i="1"/>
  <c r="AD193" i="1"/>
  <c r="V194" i="1" s="1"/>
  <c r="AF193" i="1"/>
  <c r="K718" i="1"/>
  <c r="J718" i="1"/>
  <c r="O718" i="1"/>
  <c r="Y194" i="1" l="1"/>
  <c r="AA194" i="1"/>
  <c r="Z194" i="1"/>
  <c r="AG193" i="1"/>
  <c r="X194" i="1"/>
  <c r="W194" i="1"/>
  <c r="AB194" i="1"/>
  <c r="AF194" i="1" s="1"/>
  <c r="P718" i="1"/>
  <c r="I719" i="1" s="1"/>
  <c r="N719" i="1" s="1"/>
  <c r="AC375" i="1"/>
  <c r="L719" i="1" l="1"/>
  <c r="M719" i="1"/>
  <c r="AD194" i="1"/>
  <c r="AG194" i="1"/>
  <c r="V195" i="1"/>
  <c r="O719" i="1"/>
  <c r="J719" i="1"/>
  <c r="K719" i="1"/>
  <c r="AA195" i="1" l="1"/>
  <c r="AB195" i="1"/>
  <c r="AF195" i="1" s="1"/>
  <c r="Y195" i="1"/>
  <c r="X195" i="1"/>
  <c r="W195" i="1"/>
  <c r="Z195" i="1"/>
  <c r="P719" i="1"/>
  <c r="I720" i="1" s="1"/>
  <c r="N720" i="1" s="1"/>
  <c r="L720" i="1"/>
  <c r="M720" i="1"/>
  <c r="AC376" i="1"/>
  <c r="AD195" i="1" l="1"/>
  <c r="K720" i="1"/>
  <c r="O720" i="1"/>
  <c r="J720" i="1"/>
  <c r="P720" i="1" l="1"/>
  <c r="I721" i="1" s="1"/>
  <c r="AG195" i="1"/>
  <c r="V196" i="1"/>
  <c r="K721" i="1"/>
  <c r="J721" i="1"/>
  <c r="O721" i="1"/>
  <c r="N721" i="1" l="1"/>
  <c r="L721" i="1"/>
  <c r="M721" i="1"/>
  <c r="W196" i="1"/>
  <c r="X196" i="1"/>
  <c r="AB196" i="1"/>
  <c r="AF196" i="1" s="1"/>
  <c r="Y196" i="1"/>
  <c r="AA196" i="1"/>
  <c r="Z196" i="1"/>
  <c r="AC377" i="1"/>
  <c r="P721" i="1" l="1"/>
  <c r="I722" i="1" s="1"/>
  <c r="AD196" i="1"/>
  <c r="AG196" i="1" s="1"/>
  <c r="V197" i="1"/>
  <c r="J722" i="1" l="1"/>
  <c r="M722" i="1"/>
  <c r="N722" i="1"/>
  <c r="K722" i="1"/>
  <c r="L722" i="1"/>
  <c r="O722" i="1"/>
  <c r="X197" i="1"/>
  <c r="AB197" i="1"/>
  <c r="AF197" i="1" s="1"/>
  <c r="Z197" i="1"/>
  <c r="W197" i="1"/>
  <c r="AA197" i="1"/>
  <c r="Y197" i="1"/>
  <c r="P722" i="1" l="1"/>
  <c r="I723" i="1" s="1"/>
  <c r="AD197" i="1"/>
  <c r="AC378" i="1"/>
  <c r="K723" i="1" l="1"/>
  <c r="J723" i="1"/>
  <c r="O723" i="1"/>
  <c r="N723" i="1"/>
  <c r="L723" i="1"/>
  <c r="M723" i="1"/>
  <c r="AG197" i="1"/>
  <c r="V198" i="1"/>
  <c r="P723" i="1" l="1"/>
  <c r="I724" i="1" s="1"/>
  <c r="Y198" i="1"/>
  <c r="W198" i="1"/>
  <c r="AB198" i="1"/>
  <c r="AF198" i="1" s="1"/>
  <c r="AA198" i="1"/>
  <c r="Z198" i="1"/>
  <c r="X198" i="1"/>
  <c r="AC379" i="1"/>
  <c r="M724" i="1" l="1"/>
  <c r="O724" i="1"/>
  <c r="K724" i="1"/>
  <c r="J724" i="1"/>
  <c r="N724" i="1"/>
  <c r="L724" i="1"/>
  <c r="AD198" i="1"/>
  <c r="AG198" i="1" s="1"/>
  <c r="V199" i="1"/>
  <c r="Y199" i="1" s="1"/>
  <c r="AC282" i="1"/>
  <c r="P724" i="1" l="1"/>
  <c r="I725" i="1" s="1"/>
  <c r="M725" i="1"/>
  <c r="L725" i="1"/>
  <c r="AA199" i="1"/>
  <c r="AB199" i="1"/>
  <c r="AF199" i="1" s="1"/>
  <c r="Z199" i="1"/>
  <c r="X199" i="1"/>
  <c r="W199" i="1"/>
  <c r="AC380" i="1"/>
  <c r="N725" i="1" l="1"/>
  <c r="O725" i="1"/>
  <c r="J725" i="1"/>
  <c r="K725" i="1"/>
  <c r="AD199" i="1"/>
  <c r="AG199" i="1" s="1"/>
  <c r="V200" i="1"/>
  <c r="P725" i="1" l="1"/>
  <c r="I726" i="1" s="1"/>
  <c r="M726" i="1"/>
  <c r="L726" i="1"/>
  <c r="N726" i="1"/>
  <c r="X200" i="1"/>
  <c r="AB200" i="1"/>
  <c r="AF200" i="1" s="1"/>
  <c r="AA200" i="1"/>
  <c r="W200" i="1"/>
  <c r="Y200" i="1"/>
  <c r="Z200" i="1"/>
  <c r="AC381" i="1"/>
  <c r="J726" i="1" l="1"/>
  <c r="O726" i="1"/>
  <c r="K726" i="1"/>
  <c r="AD200" i="1"/>
  <c r="P726" i="1" l="1"/>
  <c r="I727" i="1" s="1"/>
  <c r="K727" i="1" s="1"/>
  <c r="N727" i="1"/>
  <c r="O727" i="1"/>
  <c r="M727" i="1"/>
  <c r="L727" i="1"/>
  <c r="V201" i="1"/>
  <c r="AG200" i="1"/>
  <c r="AC382" i="1"/>
  <c r="J727" i="1" l="1"/>
  <c r="P727" i="1"/>
  <c r="I728" i="1" s="1"/>
  <c r="J728" i="1" s="1"/>
  <c r="K728" i="1"/>
  <c r="O728" i="1"/>
  <c r="L728" i="1"/>
  <c r="M728" i="1"/>
  <c r="N728" i="1"/>
  <c r="X201" i="1"/>
  <c r="Z201" i="1"/>
  <c r="AA201" i="1"/>
  <c r="W201" i="1"/>
  <c r="Y201" i="1"/>
  <c r="AB201" i="1"/>
  <c r="AF201" i="1" s="1"/>
  <c r="AC285" i="1"/>
  <c r="P728" i="1" l="1"/>
  <c r="I729" i="1" s="1"/>
  <c r="K729" i="1" s="1"/>
  <c r="AD201" i="1"/>
  <c r="V202" i="1" s="1"/>
  <c r="L729" i="1" l="1"/>
  <c r="N729" i="1"/>
  <c r="M729" i="1"/>
  <c r="J729" i="1"/>
  <c r="O729" i="1"/>
  <c r="P729" i="1" s="1"/>
  <c r="I730" i="1" s="1"/>
  <c r="Z202" i="1"/>
  <c r="AA202" i="1"/>
  <c r="Y202" i="1"/>
  <c r="AG201" i="1"/>
  <c r="X202" i="1"/>
  <c r="W202" i="1"/>
  <c r="AB202" i="1"/>
  <c r="AF202" i="1" s="1"/>
  <c r="AC383" i="1"/>
  <c r="J730" i="1" l="1"/>
  <c r="O730" i="1"/>
  <c r="K730" i="1"/>
  <c r="L730" i="1"/>
  <c r="M730" i="1"/>
  <c r="N730" i="1"/>
  <c r="AD202" i="1"/>
  <c r="P730" i="1" l="1"/>
  <c r="I731" i="1" s="1"/>
  <c r="K731" i="1"/>
  <c r="J731" i="1"/>
  <c r="L731" i="1"/>
  <c r="N731" i="1"/>
  <c r="M731" i="1"/>
  <c r="O731" i="1"/>
  <c r="V203" i="1"/>
  <c r="AG202" i="1"/>
  <c r="P731" i="1" l="1"/>
  <c r="I732" i="1" s="1"/>
  <c r="N732" i="1"/>
  <c r="K732" i="1"/>
  <c r="M732" i="1"/>
  <c r="O732" i="1"/>
  <c r="L732" i="1"/>
  <c r="J732" i="1"/>
  <c r="P732" i="1" s="1"/>
  <c r="I733" i="1" s="1"/>
  <c r="M733" i="1"/>
  <c r="X203" i="1"/>
  <c r="W203" i="1"/>
  <c r="Y203" i="1"/>
  <c r="Z203" i="1"/>
  <c r="AA203" i="1"/>
  <c r="AB203" i="1"/>
  <c r="AC384" i="1"/>
  <c r="N733" i="1" l="1"/>
  <c r="O733" i="1"/>
  <c r="L733" i="1"/>
  <c r="K733" i="1"/>
  <c r="J733" i="1"/>
  <c r="P733" i="1" s="1"/>
  <c r="I734" i="1" s="1"/>
  <c r="AD203" i="1"/>
  <c r="V204" i="1" s="1"/>
  <c r="AF203" i="1"/>
  <c r="O734" i="1" l="1"/>
  <c r="J734" i="1"/>
  <c r="M734" i="1"/>
  <c r="L734" i="1"/>
  <c r="K734" i="1"/>
  <c r="N734" i="1"/>
  <c r="AA204" i="1"/>
  <c r="Z204" i="1"/>
  <c r="Y204" i="1"/>
  <c r="AG203" i="1"/>
  <c r="W204" i="1"/>
  <c r="AB204" i="1"/>
  <c r="AF204" i="1" s="1"/>
  <c r="X204" i="1"/>
  <c r="P734" i="1" l="1"/>
  <c r="I735" i="1" s="1"/>
  <c r="M735" i="1" s="1"/>
  <c r="AD204" i="1"/>
  <c r="AG204" i="1"/>
  <c r="V205" i="1"/>
  <c r="Z205" i="1" s="1"/>
  <c r="AC385" i="1"/>
  <c r="L735" i="1" l="1"/>
  <c r="J735" i="1"/>
  <c r="K735" i="1"/>
  <c r="O735" i="1"/>
  <c r="N735" i="1"/>
  <c r="W205" i="1"/>
  <c r="AB205" i="1"/>
  <c r="AF205" i="1" s="1"/>
  <c r="Y205" i="1"/>
  <c r="X205" i="1"/>
  <c r="AA205" i="1"/>
  <c r="P735" i="1" l="1"/>
  <c r="I736" i="1" s="1"/>
  <c r="AD205" i="1"/>
  <c r="O736" i="1" l="1"/>
  <c r="L736" i="1"/>
  <c r="K736" i="1"/>
  <c r="J736" i="1"/>
  <c r="M736" i="1"/>
  <c r="N736" i="1"/>
  <c r="AG205" i="1"/>
  <c r="V206" i="1"/>
  <c r="AC386" i="1"/>
  <c r="P736" i="1" l="1"/>
  <c r="I737" i="1" s="1"/>
  <c r="M737" i="1"/>
  <c r="N737" i="1"/>
  <c r="X206" i="1"/>
  <c r="AB206" i="1"/>
  <c r="AF206" i="1" s="1"/>
  <c r="AA206" i="1"/>
  <c r="Y206" i="1"/>
  <c r="Z206" i="1"/>
  <c r="W206" i="1"/>
  <c r="AC291" i="1"/>
  <c r="J737" i="1" l="1"/>
  <c r="O737" i="1"/>
  <c r="K737" i="1"/>
  <c r="L737" i="1"/>
  <c r="AD206" i="1"/>
  <c r="P737" i="1" l="1"/>
  <c r="I738" i="1" s="1"/>
  <c r="K738" i="1"/>
  <c r="J738" i="1"/>
  <c r="O738" i="1"/>
  <c r="M738" i="1"/>
  <c r="N738" i="1"/>
  <c r="L738" i="1"/>
  <c r="AG206" i="1"/>
  <c r="V207" i="1"/>
  <c r="AC292" i="1"/>
  <c r="AC387" i="1"/>
  <c r="P738" i="1" l="1"/>
  <c r="I739" i="1" s="1"/>
  <c r="K739" i="1" s="1"/>
  <c r="M739" i="1"/>
  <c r="N739" i="1"/>
  <c r="L739" i="1"/>
  <c r="AB207" i="1"/>
  <c r="AF207" i="1" s="1"/>
  <c r="Y207" i="1"/>
  <c r="W207" i="1"/>
  <c r="AA207" i="1"/>
  <c r="Z207" i="1"/>
  <c r="X207" i="1"/>
  <c r="J739" i="1" l="1"/>
  <c r="O739" i="1"/>
  <c r="P739" i="1"/>
  <c r="I740" i="1" s="1"/>
  <c r="J740" i="1"/>
  <c r="O740" i="1"/>
  <c r="K740" i="1"/>
  <c r="N740" i="1"/>
  <c r="L740" i="1"/>
  <c r="M740" i="1"/>
  <c r="P740" i="1" s="1"/>
  <c r="I741" i="1" s="1"/>
  <c r="N741" i="1" s="1"/>
  <c r="AD207" i="1"/>
  <c r="AC293" i="1"/>
  <c r="AC388" i="1"/>
  <c r="M741" i="1" l="1"/>
  <c r="L741" i="1"/>
  <c r="V208" i="1"/>
  <c r="AG207" i="1"/>
  <c r="K741" i="1"/>
  <c r="O741" i="1"/>
  <c r="J741" i="1"/>
  <c r="P741" i="1" l="1"/>
  <c r="I742" i="1" s="1"/>
  <c r="M742" i="1" s="1"/>
  <c r="Y208" i="1"/>
  <c r="Z208" i="1"/>
  <c r="AA208" i="1"/>
  <c r="X208" i="1"/>
  <c r="AB208" i="1"/>
  <c r="AF208" i="1" s="1"/>
  <c r="W208" i="1"/>
  <c r="N742" i="1"/>
  <c r="J742" i="1"/>
  <c r="K742" i="1"/>
  <c r="AC294" i="1"/>
  <c r="AD208" i="1" l="1"/>
  <c r="L742" i="1"/>
  <c r="O742" i="1"/>
  <c r="P742" i="1" s="1"/>
  <c r="I743" i="1" s="1"/>
  <c r="AG208" i="1"/>
  <c r="V209" i="1"/>
  <c r="AA209" i="1" s="1"/>
  <c r="Z209" i="1"/>
  <c r="AC389" i="1"/>
  <c r="M743" i="1" l="1"/>
  <c r="L743" i="1"/>
  <c r="N743" i="1"/>
  <c r="Y209" i="1"/>
  <c r="W209" i="1"/>
  <c r="X209" i="1"/>
  <c r="AB209" i="1"/>
  <c r="K743" i="1"/>
  <c r="J743" i="1"/>
  <c r="O743" i="1"/>
  <c r="AC295" i="1"/>
  <c r="P743" i="1" l="1"/>
  <c r="I744" i="1" s="1"/>
  <c r="M744" i="1" s="1"/>
  <c r="AD209" i="1"/>
  <c r="V210" i="1"/>
  <c r="AA210" i="1" s="1"/>
  <c r="AG209" i="1"/>
  <c r="AF209" i="1"/>
  <c r="Z210" i="1"/>
  <c r="J744" i="1"/>
  <c r="O744" i="1"/>
  <c r="K744" i="1"/>
  <c r="AC390" i="1"/>
  <c r="Y210" i="1" l="1"/>
  <c r="N744" i="1"/>
  <c r="L744" i="1"/>
  <c r="P744" i="1" s="1"/>
  <c r="I745" i="1" s="1"/>
  <c r="X210" i="1"/>
  <c r="AB210" i="1"/>
  <c r="W210" i="1"/>
  <c r="AD210" i="1" s="1"/>
  <c r="AC296" i="1"/>
  <c r="L745" i="1" l="1"/>
  <c r="K745" i="1"/>
  <c r="N745" i="1"/>
  <c r="M745" i="1"/>
  <c r="J745" i="1"/>
  <c r="O745" i="1"/>
  <c r="P745" i="1" s="1"/>
  <c r="I746" i="1" s="1"/>
  <c r="AG210" i="1"/>
  <c r="V211" i="1"/>
  <c r="Z211" i="1" s="1"/>
  <c r="AF210" i="1"/>
  <c r="AC391" i="1"/>
  <c r="AA211" i="1" l="1"/>
  <c r="L746" i="1"/>
  <c r="N746" i="1"/>
  <c r="Y211" i="1"/>
  <c r="W211" i="1"/>
  <c r="X211" i="1"/>
  <c r="AB211" i="1"/>
  <c r="AF211" i="1" s="1"/>
  <c r="M746" i="1"/>
  <c r="J746" i="1"/>
  <c r="O746" i="1"/>
  <c r="K746" i="1"/>
  <c r="AD211" i="1" l="1"/>
  <c r="P746" i="1"/>
  <c r="I747" i="1" s="1"/>
  <c r="N747" i="1" s="1"/>
  <c r="M747" i="1" l="1"/>
  <c r="V212" i="1"/>
  <c r="AG211" i="1"/>
  <c r="L747" i="1"/>
  <c r="K747" i="1"/>
  <c r="J747" i="1"/>
  <c r="O747" i="1"/>
  <c r="AC392" i="1"/>
  <c r="Z212" i="1" l="1"/>
  <c r="Y212" i="1"/>
  <c r="AA212" i="1"/>
  <c r="AB212" i="1"/>
  <c r="AF212" i="1" s="1"/>
  <c r="W212" i="1"/>
  <c r="X212" i="1"/>
  <c r="P747" i="1"/>
  <c r="I748" i="1" s="1"/>
  <c r="M748" i="1"/>
  <c r="L748" i="1"/>
  <c r="N748" i="1"/>
  <c r="AD212" i="1" l="1"/>
  <c r="AG212" i="1" s="1"/>
  <c r="O748" i="1"/>
  <c r="J748" i="1"/>
  <c r="K748" i="1"/>
  <c r="V213" i="1" l="1"/>
  <c r="P748" i="1"/>
  <c r="I749" i="1" s="1"/>
  <c r="K749" i="1" s="1"/>
  <c r="L749" i="1"/>
  <c r="M749" i="1"/>
  <c r="Z213" i="1"/>
  <c r="Y213" i="1"/>
  <c r="AA213" i="1"/>
  <c r="X213" i="1"/>
  <c r="W213" i="1"/>
  <c r="AB213" i="1"/>
  <c r="AF213" i="1" s="1"/>
  <c r="N749" i="1"/>
  <c r="O749" i="1"/>
  <c r="AC393" i="1"/>
  <c r="J749" i="1" l="1"/>
  <c r="P749" i="1"/>
  <c r="I750" i="1" s="1"/>
  <c r="AD213" i="1"/>
  <c r="V214" i="1" s="1"/>
  <c r="Z214" i="1" s="1"/>
  <c r="AG213" i="1"/>
  <c r="O750" i="1"/>
  <c r="K750" i="1"/>
  <c r="J750" i="1"/>
  <c r="M750" i="1"/>
  <c r="N750" i="1"/>
  <c r="L750" i="1"/>
  <c r="AA214" i="1" l="1"/>
  <c r="W214" i="1"/>
  <c r="X214" i="1"/>
  <c r="Y214" i="1"/>
  <c r="AB214" i="1"/>
  <c r="AF214" i="1" s="1"/>
  <c r="P750" i="1"/>
  <c r="I751" i="1" s="1"/>
  <c r="M751" i="1"/>
  <c r="N751" i="1"/>
  <c r="L751" i="1"/>
  <c r="AC394" i="1"/>
  <c r="AD214" i="1" l="1"/>
  <c r="K751" i="1"/>
  <c r="O751" i="1"/>
  <c r="J751" i="1"/>
  <c r="P751" i="1" l="1"/>
  <c r="I752" i="1" s="1"/>
  <c r="M752" i="1" s="1"/>
  <c r="N752" i="1"/>
  <c r="L752" i="1"/>
  <c r="AG214" i="1"/>
  <c r="V215" i="1"/>
  <c r="K752" i="1"/>
  <c r="O752" i="1"/>
  <c r="J752" i="1"/>
  <c r="AC395" i="1"/>
  <c r="P752" i="1" l="1"/>
  <c r="I753" i="1" s="1"/>
  <c r="Y215" i="1"/>
  <c r="AA215" i="1"/>
  <c r="Z215" i="1"/>
  <c r="W215" i="1"/>
  <c r="AB215" i="1"/>
  <c r="X215" i="1"/>
  <c r="M753" i="1"/>
  <c r="O753" i="1"/>
  <c r="J753" i="1"/>
  <c r="K753" i="1"/>
  <c r="L753" i="1"/>
  <c r="N753" i="1"/>
  <c r="AF215" i="1" l="1"/>
  <c r="AD215" i="1"/>
  <c r="P753" i="1"/>
  <c r="I754" i="1" s="1"/>
  <c r="N754" i="1" s="1"/>
  <c r="AC396" i="1"/>
  <c r="L754" i="1" l="1"/>
  <c r="V216" i="1"/>
  <c r="AG215" i="1"/>
  <c r="M754" i="1"/>
  <c r="J754" i="1"/>
  <c r="O754" i="1"/>
  <c r="K754" i="1"/>
  <c r="AA216" i="1" l="1"/>
  <c r="Z216" i="1"/>
  <c r="Y216" i="1"/>
  <c r="W216" i="1"/>
  <c r="AB216" i="1"/>
  <c r="AF216" i="1" s="1"/>
  <c r="X216" i="1"/>
  <c r="P754" i="1"/>
  <c r="I755" i="1" s="1"/>
  <c r="L755" i="1" s="1"/>
  <c r="AD216" i="1" l="1"/>
  <c r="M755" i="1"/>
  <c r="V217" i="1"/>
  <c r="AG216" i="1"/>
  <c r="N755" i="1"/>
  <c r="O755" i="1"/>
  <c r="K755" i="1"/>
  <c r="J755" i="1"/>
  <c r="AC397" i="1"/>
  <c r="P755" i="1" l="1"/>
  <c r="I756" i="1" s="1"/>
  <c r="AA217" i="1"/>
  <c r="Z217" i="1"/>
  <c r="Y217" i="1"/>
  <c r="AB217" i="1"/>
  <c r="X217" i="1"/>
  <c r="W217" i="1"/>
  <c r="J756" i="1"/>
  <c r="O756" i="1"/>
  <c r="K756" i="1"/>
  <c r="L756" i="1"/>
  <c r="N756" i="1"/>
  <c r="M756" i="1"/>
  <c r="AD217" i="1" l="1"/>
  <c r="AG217" i="1" s="1"/>
  <c r="AF217" i="1"/>
  <c r="P756" i="1"/>
  <c r="I757" i="1" s="1"/>
  <c r="N757" i="1" s="1"/>
  <c r="V218" i="1" l="1"/>
  <c r="M757" i="1"/>
  <c r="Y218" i="1"/>
  <c r="AB218" i="1"/>
  <c r="AF218" i="1" s="1"/>
  <c r="W218" i="1"/>
  <c r="X218" i="1"/>
  <c r="L757" i="1"/>
  <c r="O757" i="1"/>
  <c r="K757" i="1"/>
  <c r="J757" i="1"/>
  <c r="AC398" i="1"/>
  <c r="Z218" i="1" l="1"/>
  <c r="AA218" i="1"/>
  <c r="AD218" i="1"/>
  <c r="AG218" i="1" s="1"/>
  <c r="P757" i="1"/>
  <c r="I758" i="1" s="1"/>
  <c r="V219" i="1" l="1"/>
  <c r="AA219" i="1" s="1"/>
  <c r="Z219" i="1"/>
  <c r="M758" i="1"/>
  <c r="O758" i="1"/>
  <c r="J758" i="1"/>
  <c r="K758" i="1"/>
  <c r="N758" i="1"/>
  <c r="L758" i="1"/>
  <c r="Y219" i="1"/>
  <c r="X219" i="1"/>
  <c r="W219" i="1"/>
  <c r="AB219" i="1"/>
  <c r="AF219" i="1" s="1"/>
  <c r="P758" i="1" l="1"/>
  <c r="I759" i="1" s="1"/>
  <c r="J759" i="1" s="1"/>
  <c r="N759" i="1"/>
  <c r="K759" i="1"/>
  <c r="O759" i="1"/>
  <c r="L759" i="1"/>
  <c r="M759" i="1"/>
  <c r="AD219" i="1"/>
  <c r="AC307" i="1"/>
  <c r="AC399" i="1"/>
  <c r="P759" i="1" l="1"/>
  <c r="I760" i="1" s="1"/>
  <c r="M760" i="1" s="1"/>
  <c r="AG219" i="1"/>
  <c r="V220" i="1"/>
  <c r="L760" i="1" l="1"/>
  <c r="N760" i="1"/>
  <c r="O760" i="1"/>
  <c r="K760" i="1"/>
  <c r="J760" i="1"/>
  <c r="Z220" i="1"/>
  <c r="Y220" i="1"/>
  <c r="AA220" i="1"/>
  <c r="W220" i="1"/>
  <c r="AB220" i="1"/>
  <c r="AF220" i="1" s="1"/>
  <c r="X220" i="1"/>
  <c r="AC308" i="1"/>
  <c r="AC400" i="1"/>
  <c r="P760" i="1" l="1"/>
  <c r="I761" i="1" s="1"/>
  <c r="N761" i="1" s="1"/>
  <c r="AD220" i="1"/>
  <c r="AG220" i="1" s="1"/>
  <c r="V221" i="1"/>
  <c r="Y221" i="1" s="1"/>
  <c r="J761" i="1" l="1"/>
  <c r="K761" i="1"/>
  <c r="O761" i="1"/>
  <c r="M761" i="1"/>
  <c r="L761" i="1"/>
  <c r="P761" i="1" s="1"/>
  <c r="I762" i="1" s="1"/>
  <c r="AA221" i="1"/>
  <c r="Z221" i="1"/>
  <c r="W221" i="1"/>
  <c r="AB221" i="1"/>
  <c r="AF221" i="1" s="1"/>
  <c r="X221" i="1"/>
  <c r="AC401" i="1"/>
  <c r="K762" i="1" l="1"/>
  <c r="M762" i="1"/>
  <c r="J762" i="1"/>
  <c r="O762" i="1"/>
  <c r="N762" i="1"/>
  <c r="L762" i="1"/>
  <c r="AD221" i="1"/>
  <c r="AC309" i="1"/>
  <c r="P762" i="1" l="1"/>
  <c r="I763" i="1" s="1"/>
  <c r="J763" i="1"/>
  <c r="M763" i="1"/>
  <c r="O763" i="1"/>
  <c r="K763" i="1"/>
  <c r="N763" i="1"/>
  <c r="L763" i="1"/>
  <c r="P763" i="1"/>
  <c r="I764" i="1" s="1"/>
  <c r="J764" i="1" s="1"/>
  <c r="O764" i="1"/>
  <c r="V222" i="1"/>
  <c r="AG221" i="1"/>
  <c r="M764" i="1"/>
  <c r="AC402" i="1"/>
  <c r="N764" i="1" l="1"/>
  <c r="K764" i="1"/>
  <c r="L764" i="1"/>
  <c r="Y222" i="1"/>
  <c r="Z222" i="1"/>
  <c r="AA222" i="1"/>
  <c r="X222" i="1"/>
  <c r="W222" i="1"/>
  <c r="AB222" i="1"/>
  <c r="AF222" i="1" s="1"/>
  <c r="P764" i="1" l="1"/>
  <c r="I765" i="1" s="1"/>
  <c r="K765" i="1"/>
  <c r="O765" i="1"/>
  <c r="J765" i="1"/>
  <c r="M765" i="1"/>
  <c r="L765" i="1"/>
  <c r="N765" i="1"/>
  <c r="AD222" i="1"/>
  <c r="AC403" i="1"/>
  <c r="P765" i="1" l="1"/>
  <c r="I766" i="1" s="1"/>
  <c r="N766" i="1" s="1"/>
  <c r="O766" i="1"/>
  <c r="M766" i="1"/>
  <c r="L766" i="1"/>
  <c r="V223" i="1"/>
  <c r="AG222" i="1"/>
  <c r="K766" i="1"/>
  <c r="J766" i="1"/>
  <c r="P766" i="1" l="1"/>
  <c r="I767" i="1" s="1"/>
  <c r="AA223" i="1"/>
  <c r="Z223" i="1"/>
  <c r="Y223" i="1"/>
  <c r="W223" i="1"/>
  <c r="X223" i="1"/>
  <c r="AB223" i="1"/>
  <c r="K767" i="1"/>
  <c r="O767" i="1"/>
  <c r="J767" i="1"/>
  <c r="AC311" i="1"/>
  <c r="AC404" i="1"/>
  <c r="AD223" i="1" l="1"/>
  <c r="V224" i="1" s="1"/>
  <c r="L767" i="1"/>
  <c r="N767" i="1"/>
  <c r="M767" i="1"/>
  <c r="AF223" i="1"/>
  <c r="Z224" i="1" l="1"/>
  <c r="Y224" i="1"/>
  <c r="AA224" i="1"/>
  <c r="AG223" i="1"/>
  <c r="P767" i="1"/>
  <c r="I768" i="1" s="1"/>
  <c r="N768" i="1"/>
  <c r="L768" i="1"/>
  <c r="O768" i="1"/>
  <c r="M768" i="1"/>
  <c r="J768" i="1"/>
  <c r="K768" i="1"/>
  <c r="X224" i="1"/>
  <c r="AB224" i="1"/>
  <c r="AF224" i="1" s="1"/>
  <c r="W224" i="1"/>
  <c r="AC312" i="1"/>
  <c r="AC405" i="1"/>
  <c r="AD224" i="1" l="1"/>
  <c r="P768" i="1"/>
  <c r="I769" i="1" s="1"/>
  <c r="L769" i="1" s="1"/>
  <c r="V225" i="1"/>
  <c r="AG224" i="1"/>
  <c r="O769" i="1"/>
  <c r="J769" i="1"/>
  <c r="N769" i="1"/>
  <c r="K769" i="1"/>
  <c r="M769" i="1"/>
  <c r="Y225" i="1" l="1"/>
  <c r="AA225" i="1"/>
  <c r="Z225" i="1"/>
  <c r="W225" i="1"/>
  <c r="X225" i="1"/>
  <c r="AB225" i="1"/>
  <c r="AF225" i="1" s="1"/>
  <c r="P769" i="1"/>
  <c r="I770" i="1" s="1"/>
  <c r="J770" i="1" s="1"/>
  <c r="AC406" i="1"/>
  <c r="AD225" i="1" l="1"/>
  <c r="O770" i="1"/>
  <c r="L770" i="1"/>
  <c r="N770" i="1"/>
  <c r="M770" i="1"/>
  <c r="K770" i="1"/>
  <c r="V226" i="1" l="1"/>
  <c r="AG225" i="1"/>
  <c r="P770" i="1"/>
  <c r="I771" i="1" s="1"/>
  <c r="J771" i="1" s="1"/>
  <c r="AC407" i="1"/>
  <c r="AA226" i="1" l="1"/>
  <c r="Y226" i="1"/>
  <c r="Z226" i="1"/>
  <c r="X226" i="1"/>
  <c r="AB226" i="1"/>
  <c r="AF226" i="1" s="1"/>
  <c r="W226" i="1"/>
  <c r="N771" i="1"/>
  <c r="M771" i="1"/>
  <c r="K771" i="1"/>
  <c r="L771" i="1"/>
  <c r="O771" i="1"/>
  <c r="AD226" i="1" l="1"/>
  <c r="P771" i="1"/>
  <c r="I772" i="1" s="1"/>
  <c r="AG226" i="1"/>
  <c r="V227" i="1"/>
  <c r="Z227" i="1" s="1"/>
  <c r="O772" i="1"/>
  <c r="N772" i="1"/>
  <c r="M772" i="1"/>
  <c r="L772" i="1"/>
  <c r="K772" i="1"/>
  <c r="J772" i="1"/>
  <c r="AC315" i="1"/>
  <c r="AC408" i="1"/>
  <c r="Y227" i="1" l="1"/>
  <c r="AA227" i="1"/>
  <c r="AB227" i="1"/>
  <c r="AF227" i="1" s="1"/>
  <c r="W227" i="1"/>
  <c r="X227" i="1"/>
  <c r="P772" i="1"/>
  <c r="I773" i="1" s="1"/>
  <c r="J773" i="1" s="1"/>
  <c r="AD227" i="1" l="1"/>
  <c r="O773" i="1"/>
  <c r="N773" i="1"/>
  <c r="M773" i="1"/>
  <c r="K773" i="1"/>
  <c r="L773" i="1"/>
  <c r="V228" i="1" l="1"/>
  <c r="AG227" i="1"/>
  <c r="P773" i="1"/>
  <c r="I774" i="1" s="1"/>
  <c r="J774" i="1" s="1"/>
  <c r="O774" i="1"/>
  <c r="AC409" i="1"/>
  <c r="Z228" i="1" l="1"/>
  <c r="Y228" i="1"/>
  <c r="AA228" i="1"/>
  <c r="AB228" i="1"/>
  <c r="AF228" i="1" s="1"/>
  <c r="W228" i="1"/>
  <c r="X228" i="1"/>
  <c r="M774" i="1"/>
  <c r="N774" i="1"/>
  <c r="K774" i="1"/>
  <c r="L774" i="1"/>
  <c r="P774" i="1" l="1"/>
  <c r="I775" i="1" s="1"/>
  <c r="K775" i="1" s="1"/>
  <c r="AD228" i="1"/>
  <c r="N775" i="1"/>
  <c r="M775" i="1"/>
  <c r="O775" i="1"/>
  <c r="L775" i="1"/>
  <c r="AC317" i="1"/>
  <c r="AC410" i="1"/>
  <c r="J775" i="1" l="1"/>
  <c r="AG228" i="1"/>
  <c r="V229" i="1"/>
  <c r="P775" i="1"/>
  <c r="I776" i="1" s="1"/>
  <c r="M776" i="1" s="1"/>
  <c r="Y229" i="1" l="1"/>
  <c r="Z229" i="1"/>
  <c r="AA229" i="1"/>
  <c r="W229" i="1"/>
  <c r="X229" i="1"/>
  <c r="AB229" i="1"/>
  <c r="AF229" i="1" s="1"/>
  <c r="J776" i="1"/>
  <c r="K776" i="1"/>
  <c r="O776" i="1"/>
  <c r="L776" i="1"/>
  <c r="N776" i="1"/>
  <c r="AC318" i="1"/>
  <c r="AC411" i="1"/>
  <c r="AD229" i="1" l="1"/>
  <c r="P776" i="1"/>
  <c r="I777" i="1" s="1"/>
  <c r="J777" i="1" s="1"/>
  <c r="O777" i="1"/>
  <c r="M777" i="1"/>
  <c r="L777" i="1"/>
  <c r="AG229" i="1" l="1"/>
  <c r="V230" i="1"/>
  <c r="N777" i="1"/>
  <c r="K777" i="1"/>
  <c r="AC412" i="1"/>
  <c r="P777" i="1" l="1"/>
  <c r="I778" i="1" s="1"/>
  <c r="Y230" i="1"/>
  <c r="AA230" i="1"/>
  <c r="Z230" i="1"/>
  <c r="W230" i="1"/>
  <c r="X230" i="1"/>
  <c r="AB230" i="1"/>
  <c r="AF230" i="1" s="1"/>
  <c r="J778" i="1"/>
  <c r="K778" i="1"/>
  <c r="L778" i="1"/>
  <c r="O778" i="1"/>
  <c r="N778" i="1"/>
  <c r="M778" i="1"/>
  <c r="AD230" i="1" l="1"/>
  <c r="P778" i="1"/>
  <c r="I779" i="1" s="1"/>
  <c r="K779" i="1" s="1"/>
  <c r="O779" i="1"/>
  <c r="AC413" i="1"/>
  <c r="M779" i="1" l="1"/>
  <c r="J779" i="1"/>
  <c r="L779" i="1"/>
  <c r="N779" i="1"/>
  <c r="AG230" i="1"/>
  <c r="V231" i="1"/>
  <c r="P779" i="1"/>
  <c r="I780" i="1" s="1"/>
  <c r="N780" i="1" s="1"/>
  <c r="J780" i="1"/>
  <c r="O780" i="1"/>
  <c r="M780" i="1"/>
  <c r="K780" i="1"/>
  <c r="L780" i="1"/>
  <c r="AA231" i="1" l="1"/>
  <c r="Z231" i="1"/>
  <c r="Y231" i="1"/>
  <c r="W231" i="1"/>
  <c r="X231" i="1"/>
  <c r="AB231" i="1"/>
  <c r="AF231" i="1" s="1"/>
  <c r="P780" i="1"/>
  <c r="I781" i="1" s="1"/>
  <c r="J781" i="1" s="1"/>
  <c r="AC414" i="1"/>
  <c r="N781" i="1" l="1"/>
  <c r="L781" i="1"/>
  <c r="M781" i="1"/>
  <c r="O781" i="1"/>
  <c r="AD231" i="1"/>
  <c r="K781" i="1"/>
  <c r="P781" i="1" l="1"/>
  <c r="I782" i="1" s="1"/>
  <c r="L782" i="1" s="1"/>
  <c r="AG231" i="1"/>
  <c r="V232" i="1"/>
  <c r="O782" i="1"/>
  <c r="M782" i="1"/>
  <c r="AC415" i="1"/>
  <c r="J782" i="1" l="1"/>
  <c r="N782" i="1"/>
  <c r="K782" i="1"/>
  <c r="Y232" i="1"/>
  <c r="Z232" i="1"/>
  <c r="AA232" i="1"/>
  <c r="AB232" i="1"/>
  <c r="AF232" i="1" s="1"/>
  <c r="W232" i="1"/>
  <c r="X232" i="1"/>
  <c r="P782" i="1"/>
  <c r="I783" i="1" s="1"/>
  <c r="N783" i="1" s="1"/>
  <c r="AD232" i="1" l="1"/>
  <c r="J783" i="1"/>
  <c r="O783" i="1"/>
  <c r="K783" i="1"/>
  <c r="M783" i="1"/>
  <c r="L783" i="1"/>
  <c r="AC416" i="1"/>
  <c r="AG232" i="1" l="1"/>
  <c r="V233" i="1"/>
  <c r="P783" i="1"/>
  <c r="I784" i="1" s="1"/>
  <c r="AA233" i="1" l="1"/>
  <c r="Z233" i="1"/>
  <c r="Y233" i="1"/>
  <c r="AB233" i="1"/>
  <c r="AF233" i="1" s="1"/>
  <c r="W233" i="1"/>
  <c r="X233" i="1"/>
  <c r="J784" i="1"/>
  <c r="O784" i="1"/>
  <c r="K784" i="1"/>
  <c r="N784" i="1"/>
  <c r="M784" i="1"/>
  <c r="L784" i="1"/>
  <c r="AC417" i="1"/>
  <c r="AD233" i="1" l="1"/>
  <c r="AI12" i="1"/>
  <c r="AI11" i="1"/>
  <c r="AI15" i="1"/>
  <c r="AI14" i="1"/>
  <c r="AI17" i="1"/>
  <c r="AI16" i="1"/>
  <c r="P784" i="1"/>
  <c r="C34" i="1" s="1"/>
  <c r="AI7" i="1"/>
  <c r="AI9" i="1" s="1"/>
  <c r="AI3" i="1"/>
  <c r="AI4" i="1"/>
  <c r="AG233" i="1" l="1"/>
  <c r="V234" i="1"/>
  <c r="AI8" i="1"/>
  <c r="AI18" i="1"/>
  <c r="AI13" i="1"/>
  <c r="AI19" i="1"/>
  <c r="AI20" i="1" s="1"/>
  <c r="AC418" i="1"/>
  <c r="AA234" i="1" l="1"/>
  <c r="Z234" i="1"/>
  <c r="Y234" i="1"/>
  <c r="X234" i="1"/>
  <c r="W234" i="1"/>
  <c r="AB234" i="1"/>
  <c r="AF234" i="1" l="1"/>
  <c r="AD234" i="1"/>
  <c r="AC419" i="1"/>
  <c r="V235" i="1" l="1"/>
  <c r="AG234" i="1"/>
  <c r="Z235" i="1" l="1"/>
  <c r="AA235" i="1"/>
  <c r="Y235" i="1"/>
  <c r="X235" i="1"/>
  <c r="AB235" i="1"/>
  <c r="W235" i="1"/>
  <c r="AC420" i="1"/>
  <c r="AD235" i="1" l="1"/>
  <c r="V236" i="1" s="1"/>
  <c r="AF235" i="1"/>
  <c r="Y236" i="1" l="1"/>
  <c r="Z236" i="1"/>
  <c r="AA236" i="1"/>
  <c r="AG235" i="1"/>
  <c r="W236" i="1"/>
  <c r="AB236" i="1"/>
  <c r="AF236" i="1" s="1"/>
  <c r="X236" i="1"/>
  <c r="AD236" i="1" l="1"/>
  <c r="AG236" i="1" s="1"/>
  <c r="V237" i="1"/>
  <c r="AC421" i="1"/>
  <c r="AA237" i="1" l="1"/>
  <c r="Z237" i="1"/>
  <c r="Y237" i="1"/>
  <c r="W237" i="1"/>
  <c r="AB237" i="1"/>
  <c r="AF237" i="1" s="1"/>
  <c r="X237" i="1"/>
  <c r="AD237" i="1" l="1"/>
  <c r="AC422" i="1"/>
  <c r="AG237" i="1" l="1"/>
  <c r="V238" i="1"/>
  <c r="Y238" i="1" l="1"/>
  <c r="Z238" i="1"/>
  <c r="AA238" i="1"/>
  <c r="W238" i="1"/>
  <c r="X238" i="1"/>
  <c r="AB238" i="1"/>
  <c r="AC423" i="1"/>
  <c r="AD238" i="1" l="1"/>
  <c r="AG238" i="1" s="1"/>
  <c r="AF238" i="1"/>
  <c r="V239" i="1" l="1"/>
  <c r="AA239" i="1" s="1"/>
  <c r="Y239" i="1"/>
  <c r="Z239" i="1"/>
  <c r="W239" i="1"/>
  <c r="AB239" i="1"/>
  <c r="AF239" i="1" s="1"/>
  <c r="X239" i="1"/>
  <c r="AC424" i="1"/>
  <c r="AD239" i="1" l="1"/>
  <c r="AG239" i="1" s="1"/>
  <c r="V240" i="1"/>
  <c r="Z240" i="1" l="1"/>
  <c r="AA240" i="1"/>
  <c r="Y240" i="1"/>
  <c r="X240" i="1"/>
  <c r="AB240" i="1"/>
  <c r="AF240" i="1" s="1"/>
  <c r="W240" i="1"/>
  <c r="AC425" i="1"/>
  <c r="AD240" i="1" l="1"/>
  <c r="V241" i="1" l="1"/>
  <c r="AG240" i="1"/>
  <c r="AC426" i="1"/>
  <c r="AA241" i="1" l="1"/>
  <c r="X241" i="1"/>
  <c r="AB241" i="1"/>
  <c r="AF241" i="1" s="1"/>
  <c r="Y241" i="1"/>
  <c r="W241" i="1"/>
  <c r="Z241" i="1"/>
  <c r="AD241" i="1" s="1"/>
  <c r="AG241" i="1" l="1"/>
  <c r="V242" i="1"/>
  <c r="AC427" i="1"/>
  <c r="AA242" i="1" l="1"/>
  <c r="AB242" i="1"/>
  <c r="AF242" i="1" s="1"/>
  <c r="Y242" i="1"/>
  <c r="X242" i="1"/>
  <c r="W242" i="1"/>
  <c r="Z242" i="1"/>
  <c r="AD242" i="1" l="1"/>
  <c r="AC428" i="1"/>
  <c r="AG242" i="1" l="1"/>
  <c r="V243" i="1"/>
  <c r="W243" i="1" l="1"/>
  <c r="X243" i="1"/>
  <c r="AA243" i="1"/>
  <c r="Z243" i="1"/>
  <c r="AB243" i="1"/>
  <c r="AF243" i="1" s="1"/>
  <c r="Y243" i="1"/>
  <c r="AC429" i="1"/>
  <c r="AD243" i="1" l="1"/>
  <c r="AG243" i="1" s="1"/>
  <c r="V244" i="1" l="1"/>
  <c r="AA244" i="1" s="1"/>
  <c r="Z244" i="1"/>
  <c r="AB244" i="1"/>
  <c r="Y244" i="1"/>
  <c r="W244" i="1"/>
  <c r="AC430" i="1"/>
  <c r="X244" i="1" l="1"/>
  <c r="AD244" i="1" s="1"/>
  <c r="AF244" i="1"/>
  <c r="AG244" i="1" l="1"/>
  <c r="V245" i="1"/>
  <c r="Z245" i="1" s="1"/>
  <c r="AA245" i="1"/>
  <c r="AB245" i="1"/>
  <c r="W245" i="1"/>
  <c r="X245" i="1"/>
  <c r="Y245" i="1" l="1"/>
  <c r="AD245" i="1"/>
  <c r="AG245" i="1" s="1"/>
  <c r="V246" i="1"/>
  <c r="Z246" i="1" s="1"/>
  <c r="AF245" i="1"/>
  <c r="Y246" i="1"/>
  <c r="AA246" i="1"/>
  <c r="AC431" i="1"/>
  <c r="AB246" i="1" l="1"/>
  <c r="W246" i="1"/>
  <c r="X246" i="1"/>
  <c r="AD246" i="1" l="1"/>
  <c r="AG246" i="1" s="1"/>
  <c r="AF246" i="1"/>
  <c r="AC432" i="1"/>
  <c r="V247" i="1" l="1"/>
  <c r="Z247" i="1"/>
  <c r="W247" i="1"/>
  <c r="AB247" i="1"/>
  <c r="X247" i="1"/>
  <c r="Y247" i="1" l="1"/>
  <c r="AA247" i="1"/>
  <c r="AF247" i="1"/>
  <c r="AD247" i="1" l="1"/>
  <c r="V248" i="1" s="1"/>
  <c r="Y248" i="1"/>
  <c r="AA248" i="1"/>
  <c r="Z248" i="1"/>
  <c r="AG247" i="1"/>
  <c r="W248" i="1"/>
  <c r="X248" i="1"/>
  <c r="AB248" i="1"/>
  <c r="AD248" i="1" s="1"/>
  <c r="AC433" i="1"/>
  <c r="V249" i="1" l="1"/>
  <c r="AG248" i="1"/>
  <c r="AF248" i="1"/>
  <c r="Y249" i="1"/>
  <c r="AA249" i="1"/>
  <c r="Z249" i="1"/>
  <c r="X249" i="1" l="1"/>
  <c r="W249" i="1"/>
  <c r="AB249" i="1"/>
  <c r="AF249" i="1" s="1"/>
  <c r="AD249" i="1" l="1"/>
  <c r="AG249" i="1"/>
  <c r="V250" i="1"/>
  <c r="AC434" i="1"/>
  <c r="Z250" i="1" l="1"/>
  <c r="W250" i="1"/>
  <c r="X250" i="1"/>
  <c r="AB250" i="1"/>
  <c r="AF250" i="1" s="1"/>
  <c r="AA250" i="1"/>
  <c r="Y250" i="1"/>
  <c r="AD250" i="1" l="1"/>
  <c r="AG250" i="1" l="1"/>
  <c r="V251" i="1"/>
  <c r="AC435" i="1"/>
  <c r="AA251" i="1" l="1"/>
  <c r="AB251" i="1"/>
  <c r="Y251" i="1"/>
  <c r="W251" i="1"/>
  <c r="X251" i="1"/>
  <c r="Z251" i="1"/>
  <c r="AD251" i="1" l="1"/>
  <c r="AF251" i="1"/>
  <c r="AC436" i="1"/>
  <c r="AG251" i="1" l="1"/>
  <c r="V252" i="1"/>
  <c r="Z252" i="1" l="1"/>
  <c r="X252" i="1"/>
  <c r="AB252" i="1"/>
  <c r="W252" i="1"/>
  <c r="AA252" i="1"/>
  <c r="Y252" i="1"/>
  <c r="AD252" i="1" l="1"/>
  <c r="AG252" i="1" s="1"/>
  <c r="V253" i="1"/>
  <c r="AF252" i="1"/>
  <c r="AA253" i="1"/>
  <c r="Y253" i="1"/>
  <c r="AC437" i="1"/>
  <c r="Z253" i="1" l="1"/>
  <c r="W253" i="1"/>
  <c r="AB253" i="1"/>
  <c r="X253" i="1"/>
  <c r="AD253" i="1" l="1"/>
  <c r="AG253" i="1" s="1"/>
  <c r="AF253" i="1"/>
  <c r="V254" i="1" l="1"/>
  <c r="Y254" i="1"/>
  <c r="AB254" i="1"/>
  <c r="X254" i="1"/>
  <c r="W254" i="1"/>
  <c r="AC438" i="1"/>
  <c r="AA254" i="1" l="1"/>
  <c r="Z254" i="1"/>
  <c r="AD254" i="1"/>
  <c r="AG254" i="1"/>
  <c r="V255" i="1"/>
  <c r="AF254" i="1"/>
  <c r="AA255" i="1"/>
  <c r="Z255" i="1"/>
  <c r="Y255" i="1"/>
  <c r="X255" i="1" l="1"/>
  <c r="AB255" i="1"/>
  <c r="AF255" i="1" s="1"/>
  <c r="W255" i="1"/>
  <c r="AD255" i="1" l="1"/>
  <c r="AG255" i="1"/>
  <c r="V256" i="1"/>
  <c r="AC439" i="1"/>
  <c r="Z256" i="1" l="1"/>
  <c r="AB256" i="1"/>
  <c r="AF256" i="1" s="1"/>
  <c r="X256" i="1"/>
  <c r="AA256" i="1"/>
  <c r="Y256" i="1"/>
  <c r="W256" i="1"/>
  <c r="AD256" i="1" l="1"/>
  <c r="AG256" i="1"/>
  <c r="V257" i="1"/>
  <c r="Y257" i="1" l="1"/>
  <c r="X257" i="1"/>
  <c r="W257" i="1"/>
  <c r="AB257" i="1"/>
  <c r="AF257" i="1" s="1"/>
  <c r="AA257" i="1"/>
  <c r="Z257" i="1"/>
  <c r="AC440" i="1"/>
  <c r="AD257" i="1" l="1"/>
  <c r="V258" i="1" l="1"/>
  <c r="AG257" i="1"/>
  <c r="W258" i="1" l="1"/>
  <c r="Y258" i="1"/>
  <c r="Z258" i="1"/>
  <c r="AA258" i="1"/>
  <c r="X258" i="1"/>
  <c r="AB258" i="1"/>
  <c r="AD258" i="1" s="1"/>
  <c r="AC441" i="1"/>
  <c r="AG258" i="1" l="1"/>
  <c r="V259" i="1"/>
  <c r="AF258" i="1"/>
  <c r="Z259" i="1"/>
  <c r="Y259" i="1" l="1"/>
  <c r="AA259" i="1"/>
  <c r="W259" i="1"/>
  <c r="X259" i="1"/>
  <c r="AB259" i="1"/>
  <c r="AF259" i="1" s="1"/>
  <c r="AC442" i="1"/>
  <c r="AD259" i="1" l="1"/>
  <c r="V260" i="1"/>
  <c r="AG259" i="1"/>
  <c r="Z260" i="1"/>
  <c r="Y260" i="1"/>
  <c r="AA260" i="1" l="1"/>
  <c r="X260" i="1"/>
  <c r="AB260" i="1"/>
  <c r="AF260" i="1" s="1"/>
  <c r="W260" i="1"/>
  <c r="AD260" i="1" l="1"/>
  <c r="AG260" i="1" s="1"/>
  <c r="V261" i="1"/>
  <c r="AC443" i="1"/>
  <c r="W261" i="1" l="1"/>
  <c r="X261" i="1"/>
  <c r="AB261" i="1"/>
  <c r="AF261" i="1" s="1"/>
  <c r="Z261" i="1"/>
  <c r="AA261" i="1"/>
  <c r="Y261" i="1"/>
  <c r="AD261" i="1" l="1"/>
  <c r="AG261" i="1" l="1"/>
  <c r="V262" i="1"/>
  <c r="AC444" i="1"/>
  <c r="Y262" i="1" l="1"/>
  <c r="X262" i="1"/>
  <c r="AB262" i="1"/>
  <c r="AF262" i="1" s="1"/>
  <c r="W262" i="1"/>
  <c r="AA262" i="1"/>
  <c r="Z262" i="1"/>
  <c r="AD262" i="1" s="1"/>
  <c r="AG262" i="1" l="1"/>
  <c r="V263" i="1"/>
  <c r="AC445" i="1"/>
  <c r="Y263" i="1" l="1"/>
  <c r="W263" i="1"/>
  <c r="AB263" i="1"/>
  <c r="AF263" i="1" s="1"/>
  <c r="X263" i="1"/>
  <c r="AA263" i="1"/>
  <c r="Z263" i="1"/>
  <c r="AD263" i="1" s="1"/>
  <c r="AG263" i="1" l="1"/>
  <c r="V264" i="1"/>
  <c r="W264" i="1" l="1"/>
  <c r="AA264" i="1"/>
  <c r="Z264" i="1"/>
  <c r="Y264" i="1"/>
  <c r="AB264" i="1"/>
  <c r="X264" i="1"/>
  <c r="AC446" i="1"/>
  <c r="AF264" i="1" l="1"/>
  <c r="AD264" i="1"/>
  <c r="AG264" i="1" l="1"/>
  <c r="V265" i="1"/>
  <c r="AA265" i="1" l="1"/>
  <c r="AB265" i="1"/>
  <c r="W265" i="1"/>
  <c r="X265" i="1"/>
  <c r="Z265" i="1"/>
  <c r="Y265" i="1"/>
  <c r="AD265" i="1" s="1"/>
  <c r="AC447" i="1"/>
  <c r="AG265" i="1" l="1"/>
  <c r="V266" i="1"/>
  <c r="Y266" i="1" s="1"/>
  <c r="AF265" i="1"/>
  <c r="Z266" i="1" l="1"/>
  <c r="AA266" i="1"/>
  <c r="X266" i="1"/>
  <c r="W266" i="1"/>
  <c r="AB266" i="1"/>
  <c r="AD266" i="1" s="1"/>
  <c r="AC448" i="1"/>
  <c r="AG266" i="1" l="1"/>
  <c r="V267" i="1"/>
  <c r="AA267" i="1" s="1"/>
  <c r="AF266" i="1"/>
  <c r="Y267" i="1" l="1"/>
  <c r="X267" i="1"/>
  <c r="AB267" i="1"/>
  <c r="AF267" i="1" s="1"/>
  <c r="W267" i="1"/>
  <c r="Z267" i="1"/>
  <c r="AC449" i="1"/>
  <c r="AD267" i="1" l="1"/>
  <c r="AG267" i="1"/>
  <c r="V268" i="1"/>
  <c r="Z268" i="1"/>
  <c r="Y268" i="1"/>
  <c r="AA268" i="1"/>
  <c r="W268" i="1" l="1"/>
  <c r="X268" i="1"/>
  <c r="AB268" i="1"/>
  <c r="AF268" i="1" s="1"/>
  <c r="AC450" i="1"/>
  <c r="AD268" i="1" l="1"/>
  <c r="AG268" i="1" l="1"/>
  <c r="V269" i="1"/>
  <c r="AC451" i="1"/>
  <c r="Z269" i="1" l="1"/>
  <c r="AA269" i="1"/>
  <c r="Y269" i="1"/>
  <c r="X269" i="1"/>
  <c r="AB269" i="1"/>
  <c r="W269" i="1"/>
  <c r="AD269" i="1" l="1"/>
  <c r="AG269" i="1"/>
  <c r="V270" i="1"/>
  <c r="AF269" i="1"/>
  <c r="AA270" i="1"/>
  <c r="Z270" i="1"/>
  <c r="Y270" i="1" l="1"/>
  <c r="X270" i="1"/>
  <c r="AB270" i="1"/>
  <c r="W270" i="1"/>
  <c r="AC452" i="1"/>
  <c r="AD270" i="1" l="1"/>
  <c r="AG270" i="1"/>
  <c r="V271" i="1"/>
  <c r="AF270" i="1"/>
  <c r="Z271" i="1"/>
  <c r="AA271" i="1"/>
  <c r="Y271" i="1" l="1"/>
  <c r="X271" i="1"/>
  <c r="W271" i="1"/>
  <c r="AB271" i="1"/>
  <c r="AD271" i="1" s="1"/>
  <c r="AC453" i="1"/>
  <c r="AG271" i="1" l="1"/>
  <c r="V272" i="1"/>
  <c r="Y272" i="1" s="1"/>
  <c r="AF271" i="1"/>
  <c r="Z272" i="1"/>
  <c r="AA272" i="1" l="1"/>
  <c r="X272" i="1"/>
  <c r="AB272" i="1"/>
  <c r="W272" i="1"/>
  <c r="AC454" i="1"/>
  <c r="AD272" i="1" l="1"/>
  <c r="AG272" i="1" s="1"/>
  <c r="V273" i="1"/>
  <c r="AF272" i="1"/>
  <c r="AA273" i="1"/>
  <c r="Y273" i="1"/>
  <c r="Z273" i="1" l="1"/>
  <c r="X273" i="1"/>
  <c r="AB273" i="1"/>
  <c r="AF273" i="1" s="1"/>
  <c r="W273" i="1"/>
  <c r="AC455" i="1"/>
  <c r="AD273" i="1" l="1"/>
  <c r="AG273" i="1" s="1"/>
  <c r="V274" i="1"/>
  <c r="Z274" i="1" l="1"/>
  <c r="AA274" i="1"/>
  <c r="Y274" i="1"/>
  <c r="X274" i="1"/>
  <c r="AB274" i="1"/>
  <c r="AF274" i="1" s="1"/>
  <c r="W274" i="1"/>
  <c r="AD274" i="1" l="1"/>
  <c r="AG274" i="1" s="1"/>
  <c r="V275" i="1"/>
  <c r="AB275" i="1"/>
  <c r="AF275" i="1" s="1"/>
  <c r="X275" i="1"/>
  <c r="W275" i="1"/>
  <c r="Y275" i="1"/>
  <c r="AC456" i="1"/>
  <c r="AA275" i="1" l="1"/>
  <c r="Z275" i="1"/>
  <c r="AD275" i="1" s="1"/>
  <c r="AG275" i="1" s="1"/>
  <c r="V276" i="1" l="1"/>
  <c r="AA276" i="1" s="1"/>
  <c r="Y276" i="1"/>
  <c r="Z276" i="1" l="1"/>
  <c r="W276" i="1"/>
  <c r="X276" i="1"/>
  <c r="AB276" i="1"/>
  <c r="AF276" i="1" s="1"/>
  <c r="AC457" i="1"/>
  <c r="AD276" i="1" l="1"/>
  <c r="AG276" i="1" s="1"/>
  <c r="V277" i="1" l="1"/>
  <c r="AC458" i="1"/>
  <c r="AA277" i="1" l="1"/>
  <c r="Y277" i="1"/>
  <c r="Z277" i="1"/>
  <c r="W277" i="1"/>
  <c r="X277" i="1"/>
  <c r="AB277" i="1"/>
  <c r="AF277" i="1" s="1"/>
  <c r="AD277" i="1" l="1"/>
  <c r="AG277" i="1" l="1"/>
  <c r="V278" i="1"/>
  <c r="AC459" i="1"/>
  <c r="Y278" i="1" l="1"/>
  <c r="Z278" i="1"/>
  <c r="AA278" i="1"/>
  <c r="AB278" i="1"/>
  <c r="AF278" i="1" s="1"/>
  <c r="X278" i="1"/>
  <c r="W278" i="1"/>
  <c r="AD278" i="1" l="1"/>
  <c r="V279" i="1" s="1"/>
  <c r="Y279" i="1" s="1"/>
  <c r="AG278" i="1"/>
  <c r="AC460" i="1"/>
  <c r="Z279" i="1" l="1"/>
  <c r="AA279" i="1"/>
  <c r="X279" i="1"/>
  <c r="W279" i="1"/>
  <c r="AB279" i="1"/>
  <c r="AF279" i="1" s="1"/>
  <c r="AD279" i="1" l="1"/>
  <c r="AC461" i="1"/>
  <c r="V280" i="1" l="1"/>
  <c r="AG279" i="1"/>
  <c r="Z280" i="1" l="1"/>
  <c r="AA280" i="1"/>
  <c r="Y280" i="1"/>
  <c r="AB280" i="1"/>
  <c r="X280" i="1"/>
  <c r="W280" i="1"/>
  <c r="AD280" i="1" l="1"/>
  <c r="AG280" i="1"/>
  <c r="V281" i="1"/>
  <c r="AA281" i="1" s="1"/>
  <c r="AF280" i="1"/>
  <c r="Z281" i="1"/>
  <c r="AC462" i="1"/>
  <c r="Y281" i="1" l="1"/>
  <c r="W281" i="1"/>
  <c r="AB281" i="1"/>
  <c r="AF281" i="1" s="1"/>
  <c r="X281" i="1"/>
  <c r="AD281" i="1" l="1"/>
  <c r="AG281" i="1" s="1"/>
  <c r="AC463" i="1"/>
  <c r="V282" i="1" l="1"/>
  <c r="Y282" i="1" s="1"/>
  <c r="Z282" i="1"/>
  <c r="AA282" i="1"/>
  <c r="W282" i="1"/>
  <c r="AB282" i="1" l="1"/>
  <c r="AF282" i="1" s="1"/>
  <c r="X282" i="1"/>
  <c r="AD282" i="1" l="1"/>
  <c r="AG282" i="1"/>
  <c r="V283" i="1"/>
  <c r="AC464" i="1"/>
  <c r="Z283" i="1" l="1"/>
  <c r="AA283" i="1"/>
  <c r="Y283" i="1"/>
  <c r="X283" i="1"/>
  <c r="AB283" i="1"/>
  <c r="W283" i="1"/>
  <c r="AD283" i="1" l="1"/>
  <c r="V284" i="1" s="1"/>
  <c r="AG283" i="1"/>
  <c r="AF283" i="1"/>
  <c r="AC465" i="1"/>
  <c r="AA284" i="1" l="1"/>
  <c r="Y284" i="1"/>
  <c r="Z284" i="1"/>
  <c r="W284" i="1"/>
  <c r="X284" i="1"/>
  <c r="AB284" i="1"/>
  <c r="AD284" i="1" l="1"/>
  <c r="V285" i="1" s="1"/>
  <c r="AA285" i="1" s="1"/>
  <c r="AF284" i="1"/>
  <c r="Z285" i="1"/>
  <c r="Y285" i="1"/>
  <c r="AC466" i="1"/>
  <c r="AG284" i="1" l="1"/>
  <c r="W285" i="1"/>
  <c r="X285" i="1"/>
  <c r="AB285" i="1"/>
  <c r="AF285" i="1" s="1"/>
  <c r="AD285" i="1" l="1"/>
  <c r="V286" i="1" s="1"/>
  <c r="Z286" i="1" s="1"/>
  <c r="AA286" i="1"/>
  <c r="AC467" i="1"/>
  <c r="Y286" i="1" l="1"/>
  <c r="AG285" i="1"/>
  <c r="X286" i="1"/>
  <c r="W286" i="1"/>
  <c r="AB286" i="1"/>
  <c r="AF286" i="1" l="1"/>
  <c r="AD286" i="1"/>
  <c r="AC468" i="1"/>
  <c r="V287" i="1" l="1"/>
  <c r="AG286" i="1"/>
  <c r="Z287" i="1" l="1"/>
  <c r="AA287" i="1"/>
  <c r="Y287" i="1"/>
  <c r="W287" i="1"/>
  <c r="AB287" i="1"/>
  <c r="AF287" i="1" s="1"/>
  <c r="X287" i="1"/>
  <c r="AC469" i="1"/>
  <c r="AD287" i="1" l="1"/>
  <c r="AG287" i="1" s="1"/>
  <c r="V288" i="1"/>
  <c r="Z288" i="1" s="1"/>
  <c r="Y288" i="1" l="1"/>
  <c r="AA288" i="1"/>
  <c r="W288" i="1"/>
  <c r="X288" i="1"/>
  <c r="AB288" i="1"/>
  <c r="AF288" i="1" s="1"/>
  <c r="AC470" i="1"/>
  <c r="AD288" i="1" l="1"/>
  <c r="AG288" i="1" l="1"/>
  <c r="V289" i="1"/>
  <c r="AC471" i="1"/>
  <c r="AA289" i="1" l="1"/>
  <c r="Z289" i="1"/>
  <c r="Y289" i="1"/>
  <c r="W289" i="1"/>
  <c r="X289" i="1"/>
  <c r="AB289" i="1"/>
  <c r="AF289" i="1" s="1"/>
  <c r="AD289" i="1" l="1"/>
  <c r="V290" i="1"/>
  <c r="AG289" i="1"/>
  <c r="AC472" i="1"/>
  <c r="AA290" i="1" l="1"/>
  <c r="Y290" i="1"/>
  <c r="Z290" i="1"/>
  <c r="W290" i="1"/>
  <c r="AB290" i="1"/>
  <c r="AF290" i="1" s="1"/>
  <c r="X290" i="1"/>
  <c r="AD290" i="1" l="1"/>
  <c r="AC473" i="1"/>
  <c r="V291" i="1" l="1"/>
  <c r="AG290" i="1"/>
  <c r="AC474" i="1"/>
  <c r="Y291" i="1" l="1"/>
  <c r="AA291" i="1"/>
  <c r="Z291" i="1"/>
  <c r="W291" i="1"/>
  <c r="AB291" i="1"/>
  <c r="X291" i="1"/>
  <c r="AD291" i="1" l="1"/>
  <c r="AG291" i="1" s="1"/>
  <c r="V292" i="1"/>
  <c r="AF291" i="1"/>
  <c r="Y292" i="1"/>
  <c r="Z292" i="1"/>
  <c r="AA292" i="1" l="1"/>
  <c r="AB292" i="1"/>
  <c r="W292" i="1"/>
  <c r="X292" i="1"/>
  <c r="AC475" i="1"/>
  <c r="AD292" i="1" l="1"/>
  <c r="V293" i="1" s="1"/>
  <c r="AG292" i="1"/>
  <c r="AF292" i="1"/>
  <c r="Y293" i="1" l="1"/>
  <c r="Z293" i="1"/>
  <c r="AA293" i="1"/>
  <c r="AB293" i="1"/>
  <c r="X293" i="1"/>
  <c r="W293" i="1"/>
  <c r="AD293" i="1" l="1"/>
  <c r="AG293" i="1"/>
  <c r="V294" i="1"/>
  <c r="Y294" i="1" s="1"/>
  <c r="AF293" i="1"/>
  <c r="AA294" i="1"/>
  <c r="AC476" i="1"/>
  <c r="Z294" i="1" l="1"/>
  <c r="AB294" i="1"/>
  <c r="X294" i="1"/>
  <c r="W294" i="1"/>
  <c r="AD294" i="1" l="1"/>
  <c r="V295" i="1"/>
  <c r="AG294" i="1"/>
  <c r="AF294" i="1"/>
  <c r="Z295" i="1"/>
  <c r="AA295" i="1"/>
  <c r="Y295" i="1" l="1"/>
  <c r="AB295" i="1"/>
  <c r="X295" i="1"/>
  <c r="W295" i="1"/>
  <c r="AC477" i="1"/>
  <c r="AD295" i="1" l="1"/>
  <c r="AF295" i="1"/>
  <c r="AG295" i="1" l="1"/>
  <c r="V296" i="1"/>
  <c r="AA296" i="1" l="1"/>
  <c r="Z296" i="1"/>
  <c r="Y296" i="1"/>
  <c r="W296" i="1"/>
  <c r="AB296" i="1"/>
  <c r="X296" i="1"/>
  <c r="AC478" i="1"/>
  <c r="AD296" i="1" l="1"/>
  <c r="AG296" i="1" s="1"/>
  <c r="V297" i="1"/>
  <c r="AF296" i="1"/>
  <c r="Z297" i="1"/>
  <c r="Y297" i="1"/>
  <c r="AA297" i="1"/>
  <c r="W297" i="1" l="1"/>
  <c r="X297" i="1"/>
  <c r="AB297" i="1"/>
  <c r="AF297" i="1" s="1"/>
  <c r="AD297" i="1" l="1"/>
  <c r="AC479" i="1"/>
  <c r="AG297" i="1" l="1"/>
  <c r="V298" i="1"/>
  <c r="AA298" i="1" l="1"/>
  <c r="Z298" i="1"/>
  <c r="Y298" i="1"/>
  <c r="W298" i="1"/>
  <c r="AB298" i="1"/>
  <c r="X298" i="1"/>
  <c r="AD298" i="1" l="1"/>
  <c r="AG298" i="1"/>
  <c r="V299" i="1"/>
  <c r="AA299" i="1" s="1"/>
  <c r="AF298" i="1"/>
  <c r="Y299" i="1"/>
  <c r="AC480" i="1"/>
  <c r="Z299" i="1" l="1"/>
  <c r="AB299" i="1"/>
  <c r="AF299" i="1" s="1"/>
  <c r="W299" i="1"/>
  <c r="X299" i="1"/>
  <c r="AD299" i="1" l="1"/>
  <c r="AG299" i="1" l="1"/>
  <c r="V300" i="1"/>
  <c r="AC481" i="1"/>
  <c r="AA300" i="1" l="1"/>
  <c r="Y300" i="1"/>
  <c r="Z300" i="1"/>
  <c r="X300" i="1"/>
  <c r="W300" i="1"/>
  <c r="AB300" i="1"/>
  <c r="AD300" i="1" l="1"/>
  <c r="V301" i="1"/>
  <c r="AG300" i="1"/>
  <c r="AF300" i="1"/>
  <c r="AA301" i="1"/>
  <c r="Z301" i="1"/>
  <c r="Y301" i="1"/>
  <c r="AC482" i="1"/>
  <c r="X301" i="1" l="1"/>
  <c r="AB301" i="1"/>
  <c r="W301" i="1"/>
  <c r="AD301" i="1" l="1"/>
  <c r="AG301" i="1"/>
  <c r="V302" i="1"/>
  <c r="AF301" i="1"/>
  <c r="AA302" i="1"/>
  <c r="Z302" i="1"/>
  <c r="AC483" i="1"/>
  <c r="Y302" i="1" l="1"/>
  <c r="AB302" i="1"/>
  <c r="W302" i="1"/>
  <c r="X302" i="1"/>
  <c r="AD302" i="1" l="1"/>
  <c r="AG302" i="1"/>
  <c r="V303" i="1"/>
  <c r="AF302" i="1"/>
  <c r="Y303" i="1"/>
  <c r="Z303" i="1"/>
  <c r="AA303" i="1" l="1"/>
  <c r="X303" i="1"/>
  <c r="W303" i="1"/>
  <c r="AB303" i="1"/>
  <c r="AF303" i="1" s="1"/>
  <c r="AC484" i="1"/>
  <c r="AD303" i="1" l="1"/>
  <c r="AG303" i="1" l="1"/>
  <c r="V304" i="1"/>
  <c r="AC485" i="1"/>
  <c r="Z304" i="1" l="1"/>
  <c r="AA304" i="1"/>
  <c r="Y304" i="1"/>
  <c r="X304" i="1"/>
  <c r="AB304" i="1"/>
  <c r="W304" i="1"/>
  <c r="AD304" i="1" l="1"/>
  <c r="AG304" i="1"/>
  <c r="V305" i="1"/>
  <c r="AF304" i="1"/>
  <c r="AA305" i="1"/>
  <c r="Z305" i="1"/>
  <c r="AC486" i="1"/>
  <c r="Y305" i="1" l="1"/>
  <c r="AB305" i="1"/>
  <c r="AF305" i="1" s="1"/>
  <c r="X305" i="1"/>
  <c r="W305" i="1"/>
  <c r="AD305" i="1" l="1"/>
  <c r="V306" i="1"/>
  <c r="AA306" i="1" s="1"/>
  <c r="AG305" i="1"/>
  <c r="Y306" i="1" l="1"/>
  <c r="Z306" i="1"/>
  <c r="X306" i="1"/>
  <c r="AB306" i="1"/>
  <c r="AF306" i="1" s="1"/>
  <c r="W306" i="1"/>
  <c r="AC487" i="1"/>
  <c r="AD306" i="1" l="1"/>
  <c r="AG306" i="1" l="1"/>
  <c r="V307" i="1"/>
  <c r="AC488" i="1"/>
  <c r="Y307" i="1" l="1"/>
  <c r="Z307" i="1"/>
  <c r="AA307" i="1"/>
  <c r="AB307" i="1"/>
  <c r="AF307" i="1" s="1"/>
  <c r="X307" i="1"/>
  <c r="W307" i="1"/>
  <c r="AD307" i="1" l="1"/>
  <c r="AG307" i="1" l="1"/>
  <c r="V308" i="1"/>
  <c r="AC489" i="1"/>
  <c r="Z308" i="1" l="1"/>
  <c r="AA308" i="1"/>
  <c r="Y308" i="1"/>
  <c r="AB308" i="1"/>
  <c r="W308" i="1"/>
  <c r="X308" i="1"/>
  <c r="AD308" i="1" l="1"/>
  <c r="AF308" i="1"/>
  <c r="AC490" i="1"/>
  <c r="AG308" i="1" l="1"/>
  <c r="V309" i="1"/>
  <c r="Z309" i="1" l="1"/>
  <c r="AA309" i="1"/>
  <c r="Y309" i="1"/>
  <c r="W309" i="1"/>
  <c r="AB309" i="1"/>
  <c r="X309" i="1"/>
  <c r="AC491" i="1"/>
  <c r="AF309" i="1" l="1"/>
  <c r="AD309" i="1"/>
  <c r="AG309" i="1" l="1"/>
  <c r="V310" i="1"/>
  <c r="AA310" i="1" l="1"/>
  <c r="Y310" i="1"/>
  <c r="Z310" i="1"/>
  <c r="W310" i="1"/>
  <c r="X310" i="1"/>
  <c r="AB310" i="1"/>
  <c r="AC492" i="1"/>
  <c r="AF310" i="1" l="1"/>
  <c r="AD310" i="1"/>
  <c r="AG310" i="1" l="1"/>
  <c r="V311" i="1"/>
  <c r="AC493" i="1"/>
  <c r="Y311" i="1" l="1"/>
  <c r="Z311" i="1"/>
  <c r="AA311" i="1"/>
  <c r="W311" i="1"/>
  <c r="AB311" i="1"/>
  <c r="AF311" i="1" s="1"/>
  <c r="X311" i="1"/>
  <c r="AD311" i="1" l="1"/>
  <c r="AC494" i="1"/>
  <c r="AG311" i="1" l="1"/>
  <c r="V312" i="1"/>
  <c r="Z312" i="1" l="1"/>
  <c r="AA312" i="1"/>
  <c r="Y312" i="1"/>
  <c r="X312" i="1"/>
  <c r="W312" i="1"/>
  <c r="AB312" i="1"/>
  <c r="AD312" i="1" l="1"/>
  <c r="AG312" i="1" s="1"/>
  <c r="V313" i="1"/>
  <c r="Z313" i="1" s="1"/>
  <c r="AF312" i="1"/>
  <c r="AA313" i="1"/>
  <c r="AC495" i="1"/>
  <c r="Y313" i="1" l="1"/>
  <c r="AB313" i="1"/>
  <c r="X313" i="1"/>
  <c r="W313" i="1"/>
  <c r="AD313" i="1" l="1"/>
  <c r="AG313" i="1"/>
  <c r="V314" i="1"/>
  <c r="Y314" i="1" s="1"/>
  <c r="AF313" i="1"/>
  <c r="AA314" i="1"/>
  <c r="AC496" i="1"/>
  <c r="Z314" i="1" l="1"/>
  <c r="W314" i="1"/>
  <c r="X314" i="1"/>
  <c r="AB314" i="1"/>
  <c r="AD314" i="1" l="1"/>
  <c r="AF314" i="1"/>
  <c r="AC497" i="1"/>
  <c r="V315" i="1" l="1"/>
  <c r="AG314" i="1"/>
  <c r="Z315" i="1" l="1"/>
  <c r="AA315" i="1"/>
  <c r="Y315" i="1"/>
  <c r="W315" i="1"/>
  <c r="AB315" i="1"/>
  <c r="AF315" i="1" s="1"/>
  <c r="X315" i="1"/>
  <c r="AD315" i="1" l="1"/>
  <c r="AG315" i="1"/>
  <c r="V316" i="1"/>
  <c r="AA316" i="1" s="1"/>
  <c r="AC498" i="1"/>
  <c r="Z316" i="1" l="1"/>
  <c r="Y316" i="1"/>
  <c r="X316" i="1"/>
  <c r="AB316" i="1"/>
  <c r="AF316" i="1" s="1"/>
  <c r="W316" i="1"/>
  <c r="AD316" i="1" l="1"/>
  <c r="V317" i="1"/>
  <c r="Y317" i="1" s="1"/>
  <c r="AG316" i="1"/>
  <c r="AA317" i="1" l="1"/>
  <c r="Z317" i="1"/>
  <c r="X317" i="1"/>
  <c r="AB317" i="1"/>
  <c r="W317" i="1"/>
  <c r="AC499" i="1"/>
  <c r="AD317" i="1" l="1"/>
  <c r="AF317" i="1"/>
  <c r="AG317" i="1" l="1"/>
  <c r="V318" i="1"/>
  <c r="Z318" i="1" l="1"/>
  <c r="Y318" i="1"/>
  <c r="AA318" i="1"/>
  <c r="W318" i="1"/>
  <c r="X318" i="1"/>
  <c r="AB318" i="1"/>
  <c r="AC500" i="1"/>
  <c r="AF318" i="1" l="1"/>
  <c r="AD318" i="1"/>
  <c r="AG318" i="1" l="1"/>
  <c r="V319" i="1"/>
  <c r="AA319" i="1" l="1"/>
  <c r="Y319" i="1"/>
  <c r="Z319" i="1"/>
  <c r="X319" i="1"/>
  <c r="W319" i="1"/>
  <c r="AB319" i="1"/>
  <c r="AC501" i="1"/>
  <c r="AF319" i="1" l="1"/>
  <c r="AD319" i="1"/>
  <c r="V320" i="1" l="1"/>
  <c r="AG319" i="1"/>
  <c r="AC502" i="1"/>
  <c r="Z320" i="1" l="1"/>
  <c r="AA320" i="1"/>
  <c r="Y320" i="1"/>
  <c r="AB320" i="1"/>
  <c r="X320" i="1"/>
  <c r="W320" i="1"/>
  <c r="AF320" i="1" l="1"/>
  <c r="AD320" i="1"/>
  <c r="V321" i="1" l="1"/>
  <c r="AG320" i="1"/>
  <c r="AC503" i="1"/>
  <c r="Z321" i="1" l="1"/>
  <c r="AA321" i="1"/>
  <c r="Y321" i="1"/>
  <c r="AB321" i="1"/>
  <c r="AF321" i="1" s="1"/>
  <c r="X321" i="1"/>
  <c r="W321" i="1"/>
  <c r="AD321" i="1" l="1"/>
  <c r="AG321" i="1"/>
  <c r="V322" i="1"/>
  <c r="Y322" i="1"/>
  <c r="AC504" i="1"/>
  <c r="Z322" i="1" l="1"/>
  <c r="AA322" i="1"/>
  <c r="AB322" i="1"/>
  <c r="X322" i="1"/>
  <c r="W322" i="1"/>
  <c r="AD322" i="1" l="1"/>
  <c r="AG322" i="1"/>
  <c r="V323" i="1"/>
  <c r="AF322" i="1"/>
  <c r="Y323" i="1"/>
  <c r="Z323" i="1"/>
  <c r="AA323" i="1"/>
  <c r="W323" i="1" l="1"/>
  <c r="X323" i="1"/>
  <c r="AB323" i="1"/>
  <c r="AF323" i="1" s="1"/>
  <c r="AC505" i="1"/>
  <c r="AD323" i="1" l="1"/>
  <c r="V324" i="1" s="1"/>
  <c r="AG323" i="1" l="1"/>
  <c r="AA324" i="1"/>
  <c r="Y324" i="1"/>
  <c r="Z324" i="1"/>
  <c r="X324" i="1"/>
  <c r="AB324" i="1"/>
  <c r="AF324" i="1" s="1"/>
  <c r="W324" i="1"/>
  <c r="AD324" i="1" l="1"/>
  <c r="V325" i="1"/>
  <c r="AG324" i="1"/>
  <c r="AC506" i="1"/>
  <c r="Z325" i="1" l="1"/>
  <c r="AA325" i="1"/>
  <c r="Y325" i="1"/>
  <c r="AB325" i="1"/>
  <c r="AF325" i="1" s="1"/>
  <c r="X325" i="1"/>
  <c r="W325" i="1"/>
  <c r="AD325" i="1" l="1"/>
  <c r="V326" i="1"/>
  <c r="Z326" i="1" s="1"/>
  <c r="AG325" i="1"/>
  <c r="AC507" i="1"/>
  <c r="Y326" i="1" l="1"/>
  <c r="AA326" i="1"/>
  <c r="X326" i="1"/>
  <c r="W326" i="1"/>
  <c r="AB326" i="1"/>
  <c r="AD326" i="1" l="1"/>
  <c r="AG326" i="1"/>
  <c r="V327" i="1"/>
  <c r="AF326" i="1"/>
  <c r="AA327" i="1"/>
  <c r="Y327" i="1"/>
  <c r="Z327" i="1"/>
  <c r="AC508" i="1"/>
  <c r="W327" i="1" l="1"/>
  <c r="X327" i="1"/>
  <c r="AB327" i="1"/>
  <c r="AD327" i="1" l="1"/>
  <c r="AG327" i="1" s="1"/>
  <c r="AF327" i="1"/>
  <c r="AC509" i="1"/>
  <c r="V328" i="1" l="1"/>
  <c r="Z328" i="1"/>
  <c r="AB328" i="1"/>
  <c r="AF328" i="1" s="1"/>
  <c r="X328" i="1"/>
  <c r="W328" i="1" l="1"/>
  <c r="AA328" i="1"/>
  <c r="Y328" i="1"/>
  <c r="AD328" i="1" s="1"/>
  <c r="AC510" i="1"/>
  <c r="AG328" i="1" l="1"/>
  <c r="V329" i="1"/>
  <c r="AC511" i="1"/>
  <c r="Y329" i="1" l="1"/>
  <c r="AA329" i="1"/>
  <c r="Z329" i="1"/>
  <c r="W329" i="1"/>
  <c r="X329" i="1"/>
  <c r="AB329" i="1"/>
  <c r="AF329" i="1" s="1"/>
  <c r="AC512" i="1"/>
  <c r="AD329" i="1" l="1"/>
  <c r="V330" i="1" l="1"/>
  <c r="AG329" i="1"/>
  <c r="AC514" i="1"/>
  <c r="AA330" i="1" l="1"/>
  <c r="Z330" i="1"/>
  <c r="Y330" i="1"/>
  <c r="X330" i="1"/>
  <c r="W330" i="1"/>
  <c r="AB330" i="1"/>
  <c r="AC515" i="1"/>
  <c r="AD330" i="1" l="1"/>
  <c r="AG330" i="1"/>
  <c r="V331" i="1"/>
  <c r="AF330" i="1"/>
  <c r="Y331" i="1"/>
  <c r="AA331" i="1"/>
  <c r="Z331" i="1"/>
  <c r="X331" i="1" l="1"/>
  <c r="W331" i="1"/>
  <c r="AB331" i="1"/>
  <c r="AF331" i="1" s="1"/>
  <c r="AC513" i="1"/>
  <c r="AC517" i="1"/>
  <c r="AD331" i="1" l="1"/>
  <c r="AC516" i="1"/>
  <c r="AG331" i="1" l="1"/>
  <c r="V332" i="1"/>
  <c r="AC518" i="1"/>
  <c r="Y332" i="1" l="1"/>
  <c r="Z332" i="1"/>
  <c r="AA332" i="1"/>
  <c r="AB332" i="1"/>
  <c r="X332" i="1"/>
  <c r="W332" i="1"/>
  <c r="AD332" i="1" l="1"/>
  <c r="V333" i="1"/>
  <c r="AG332" i="1"/>
  <c r="AF332" i="1"/>
  <c r="Y333" i="1"/>
  <c r="Z333" i="1"/>
  <c r="AA333" i="1"/>
  <c r="W333" i="1" l="1"/>
  <c r="X333" i="1"/>
  <c r="AB333" i="1"/>
  <c r="AF333" i="1" s="1"/>
  <c r="AC520" i="1"/>
  <c r="AD333" i="1" l="1"/>
  <c r="AC519" i="1"/>
  <c r="V334" i="1" l="1"/>
  <c r="AG333" i="1"/>
  <c r="AC521" i="1"/>
  <c r="Z334" i="1" l="1"/>
  <c r="Y334" i="1"/>
  <c r="AA334" i="1"/>
  <c r="AB334" i="1"/>
  <c r="AF334" i="1" s="1"/>
  <c r="W334" i="1"/>
  <c r="X334" i="1"/>
  <c r="AD334" i="1" l="1"/>
  <c r="AG334" i="1" l="1"/>
  <c r="V335" i="1"/>
  <c r="AC523" i="1"/>
  <c r="Z335" i="1" l="1"/>
  <c r="AA335" i="1"/>
  <c r="Y335" i="1"/>
  <c r="W335" i="1"/>
  <c r="X335" i="1"/>
  <c r="AB335" i="1"/>
  <c r="AF335" i="1" s="1"/>
  <c r="AC522" i="1"/>
  <c r="AD335" i="1" l="1"/>
  <c r="AG335" i="1" s="1"/>
  <c r="V336" i="1"/>
  <c r="Z336" i="1" s="1"/>
  <c r="AC524" i="1"/>
  <c r="Y336" i="1" l="1"/>
  <c r="AA336" i="1"/>
  <c r="X336" i="1"/>
  <c r="AB336" i="1"/>
  <c r="W336" i="1"/>
  <c r="AC525" i="1"/>
  <c r="AD336" i="1" l="1"/>
  <c r="AG336" i="1" s="1"/>
  <c r="V337" i="1"/>
  <c r="Z337" i="1" s="1"/>
  <c r="AF336" i="1"/>
  <c r="AA337" i="1"/>
  <c r="Y337" i="1" l="1"/>
  <c r="X337" i="1"/>
  <c r="W337" i="1"/>
  <c r="AB337" i="1"/>
  <c r="AF337" i="1" s="1"/>
  <c r="AC526" i="1"/>
  <c r="AD337" i="1" l="1"/>
  <c r="V338" i="1"/>
  <c r="AA338" i="1" s="1"/>
  <c r="AG337" i="1"/>
  <c r="Y338" i="1" l="1"/>
  <c r="Z338" i="1"/>
  <c r="W338" i="1"/>
  <c r="X338" i="1"/>
  <c r="AB338" i="1"/>
  <c r="AF338" i="1" s="1"/>
  <c r="AD338" i="1" l="1"/>
  <c r="AG338" i="1" l="1"/>
  <c r="V339" i="1"/>
  <c r="AC527" i="1"/>
  <c r="Z339" i="1" l="1"/>
  <c r="AA339" i="1"/>
  <c r="Y339" i="1"/>
  <c r="AB339" i="1"/>
  <c r="AF339" i="1" s="1"/>
  <c r="W339" i="1"/>
  <c r="X339" i="1"/>
  <c r="AC528" i="1"/>
  <c r="AC529" i="1"/>
  <c r="AD339" i="1" l="1"/>
  <c r="AG339" i="1" s="1"/>
  <c r="V340" i="1" l="1"/>
  <c r="Z340" i="1"/>
  <c r="X340" i="1"/>
  <c r="W340" i="1"/>
  <c r="AB340" i="1"/>
  <c r="AF340" i="1" s="1"/>
  <c r="AC530" i="1"/>
  <c r="AA340" i="1" l="1"/>
  <c r="Y340" i="1"/>
  <c r="AD340" i="1" s="1"/>
  <c r="AC531" i="1"/>
  <c r="V341" i="1" l="1"/>
  <c r="X341" i="1" s="1"/>
  <c r="AG340" i="1"/>
  <c r="AC532" i="1"/>
  <c r="AB341" i="1" l="1"/>
  <c r="AF341" i="1" s="1"/>
  <c r="W341" i="1"/>
  <c r="Y341" i="1"/>
  <c r="AA341" i="1"/>
  <c r="Z341" i="1"/>
  <c r="AD341" i="1" s="1"/>
  <c r="AG341" i="1" l="1"/>
  <c r="V342" i="1"/>
  <c r="AC533" i="1"/>
  <c r="Y342" i="1" l="1"/>
  <c r="AA342" i="1"/>
  <c r="Z342" i="1"/>
  <c r="X342" i="1"/>
  <c r="AB342" i="1"/>
  <c r="W342" i="1"/>
  <c r="AC534" i="1"/>
  <c r="AD342" i="1" l="1"/>
  <c r="AG342" i="1"/>
  <c r="V343" i="1"/>
  <c r="AF342" i="1"/>
  <c r="Z343" i="1"/>
  <c r="Y343" i="1"/>
  <c r="AA343" i="1"/>
  <c r="AC535" i="1"/>
  <c r="W343" i="1" l="1"/>
  <c r="X343" i="1"/>
  <c r="AB343" i="1"/>
  <c r="AF343" i="1" s="1"/>
  <c r="AC536" i="1"/>
  <c r="AD343" i="1" l="1"/>
  <c r="AG343" i="1" s="1"/>
  <c r="AC537" i="1"/>
  <c r="V344" i="1" l="1"/>
  <c r="X344" i="1"/>
  <c r="AB344" i="1"/>
  <c r="AF344" i="1" s="1"/>
  <c r="AC538" i="1"/>
  <c r="W344" i="1" l="1"/>
  <c r="Y344" i="1"/>
  <c r="AA344" i="1"/>
  <c r="Z344" i="1"/>
  <c r="AD344" i="1"/>
  <c r="AG344" i="1" l="1"/>
  <c r="V345" i="1"/>
  <c r="Y345" i="1" l="1"/>
  <c r="AA345" i="1"/>
  <c r="Z345" i="1"/>
  <c r="AB345" i="1"/>
  <c r="AF345" i="1" s="1"/>
  <c r="W345" i="1"/>
  <c r="X345" i="1"/>
  <c r="AC539" i="1"/>
  <c r="AC540" i="1"/>
  <c r="AD345" i="1" l="1"/>
  <c r="AG345" i="1" s="1"/>
  <c r="V346" i="1"/>
  <c r="Z346" i="1" s="1"/>
  <c r="Y346" i="1"/>
  <c r="AC541" i="1"/>
  <c r="AA346" i="1" l="1"/>
  <c r="W346" i="1"/>
  <c r="X346" i="1"/>
  <c r="AB346" i="1"/>
  <c r="AF346" i="1" s="1"/>
  <c r="AD346" i="1" l="1"/>
  <c r="AG346" i="1" s="1"/>
  <c r="V347" i="1"/>
  <c r="X347" i="1" s="1"/>
  <c r="Z347" i="1"/>
  <c r="AA347" i="1"/>
  <c r="Y347" i="1"/>
  <c r="AC542" i="1"/>
  <c r="AB347" i="1" l="1"/>
  <c r="AF347" i="1" s="1"/>
  <c r="W347" i="1"/>
  <c r="AD347" i="1" l="1"/>
  <c r="V348" i="1"/>
  <c r="Y348" i="1" s="1"/>
  <c r="AG347" i="1"/>
  <c r="Z348" i="1"/>
  <c r="AA348" i="1"/>
  <c r="AB348" i="1"/>
  <c r="W348" i="1"/>
  <c r="X348" i="1"/>
  <c r="AC543" i="1"/>
  <c r="AD348" i="1" l="1"/>
  <c r="AG348" i="1" s="1"/>
  <c r="AF348" i="1"/>
  <c r="AC544" i="1"/>
  <c r="V349" i="1" l="1"/>
  <c r="AA349" i="1" s="1"/>
  <c r="Y349" i="1"/>
  <c r="Z349" i="1"/>
  <c r="AB349" i="1"/>
  <c r="AC545" i="1"/>
  <c r="W349" i="1" l="1"/>
  <c r="X349" i="1"/>
  <c r="AD349" i="1"/>
  <c r="AG349" i="1" s="1"/>
  <c r="AF349" i="1"/>
  <c r="V350" i="1" l="1"/>
  <c r="AA350" i="1" s="1"/>
  <c r="Y350" i="1"/>
  <c r="AC546" i="1"/>
  <c r="Z350" i="1" l="1"/>
  <c r="AB350" i="1"/>
  <c r="AF350" i="1" s="1"/>
  <c r="X350" i="1"/>
  <c r="W350" i="1"/>
  <c r="AC547" i="1"/>
  <c r="AD350" i="1" l="1"/>
  <c r="V351" i="1"/>
  <c r="Z351" i="1" s="1"/>
  <c r="AG350" i="1"/>
  <c r="X351" i="1"/>
  <c r="AA351" i="1"/>
  <c r="W351" i="1"/>
  <c r="AB351" i="1"/>
  <c r="AF351" i="1" s="1"/>
  <c r="Y351" i="1"/>
  <c r="AD351" i="1" l="1"/>
  <c r="AC548" i="1"/>
  <c r="V352" i="1" l="1"/>
  <c r="AG351" i="1"/>
  <c r="X352" i="1" l="1"/>
  <c r="W352" i="1"/>
  <c r="AB352" i="1"/>
  <c r="Z352" i="1"/>
  <c r="Y352" i="1"/>
  <c r="AA352" i="1"/>
  <c r="AC549" i="1"/>
  <c r="AD352" i="1" l="1"/>
  <c r="AG352" i="1" s="1"/>
  <c r="V353" i="1"/>
  <c r="Z353" i="1" s="1"/>
  <c r="AF352" i="1"/>
  <c r="AC550" i="1"/>
  <c r="Y353" i="1" l="1"/>
  <c r="AA353" i="1"/>
  <c r="W353" i="1"/>
  <c r="AB353" i="1"/>
  <c r="X353" i="1"/>
  <c r="AC551" i="1"/>
  <c r="AD353" i="1" l="1"/>
  <c r="AG353" i="1" s="1"/>
  <c r="AF353" i="1"/>
  <c r="V354" i="1" l="1"/>
  <c r="AA354" i="1" s="1"/>
  <c r="Z354" i="1"/>
  <c r="Y354" i="1"/>
  <c r="AC552" i="1"/>
  <c r="X354" i="1" l="1"/>
  <c r="AB354" i="1"/>
  <c r="AF354" i="1" s="1"/>
  <c r="W354" i="1"/>
  <c r="AC553" i="1"/>
  <c r="AD354" i="1" l="1"/>
  <c r="AG354" i="1"/>
  <c r="V355" i="1"/>
  <c r="AC554" i="1"/>
  <c r="X355" i="1" l="1"/>
  <c r="W355" i="1"/>
  <c r="AB355" i="1"/>
  <c r="AF355" i="1" s="1"/>
  <c r="AA355" i="1"/>
  <c r="Z355" i="1"/>
  <c r="Y355" i="1"/>
  <c r="AD355" i="1" l="1"/>
  <c r="AG355" i="1" s="1"/>
  <c r="AC555" i="1"/>
  <c r="V356" i="1" l="1"/>
  <c r="AA356" i="1" s="1"/>
  <c r="Z356" i="1"/>
  <c r="Y356" i="1"/>
  <c r="X356" i="1"/>
  <c r="AB356" i="1"/>
  <c r="AF356" i="1" s="1"/>
  <c r="AC556" i="1"/>
  <c r="W356" i="1" l="1"/>
  <c r="AD356" i="1"/>
  <c r="AC557" i="1"/>
  <c r="AG356" i="1" l="1"/>
  <c r="V357" i="1"/>
  <c r="AB357" i="1" l="1"/>
  <c r="X357" i="1"/>
  <c r="W357" i="1"/>
  <c r="Z357" i="1"/>
  <c r="AA357" i="1"/>
  <c r="Y357" i="1"/>
  <c r="AC558" i="1"/>
  <c r="AD357" i="1" l="1"/>
  <c r="V358" i="1" s="1"/>
  <c r="AF357" i="1"/>
  <c r="AC559" i="1"/>
  <c r="AG357" i="1" l="1"/>
  <c r="Z358" i="1"/>
  <c r="AA358" i="1"/>
  <c r="Y358" i="1"/>
  <c r="AB358" i="1"/>
  <c r="W358" i="1"/>
  <c r="X358" i="1"/>
  <c r="AD358" i="1" l="1"/>
  <c r="AG358" i="1" s="1"/>
  <c r="AF358" i="1"/>
  <c r="AC560" i="1"/>
  <c r="V359" i="1" l="1"/>
  <c r="AA359" i="1" s="1"/>
  <c r="Z359" i="1"/>
  <c r="Y359" i="1"/>
  <c r="X359" i="1"/>
  <c r="W359" i="1" l="1"/>
  <c r="AB359" i="1"/>
  <c r="AF359" i="1" s="1"/>
  <c r="AC561" i="1"/>
  <c r="AD359" i="1" l="1"/>
  <c r="V360" i="1" s="1"/>
  <c r="AC562" i="1"/>
  <c r="AG359" i="1" l="1"/>
  <c r="X360" i="1"/>
  <c r="W360" i="1"/>
  <c r="AB360" i="1"/>
  <c r="AA360" i="1"/>
  <c r="Z360" i="1"/>
  <c r="Y360" i="1"/>
  <c r="AC563" i="1"/>
  <c r="AD360" i="1" l="1"/>
  <c r="V361" i="1"/>
  <c r="Z361" i="1" s="1"/>
  <c r="AG360" i="1"/>
  <c r="AF360" i="1"/>
  <c r="Y361" i="1" l="1"/>
  <c r="AA361" i="1"/>
  <c r="X361" i="1"/>
  <c r="W361" i="1"/>
  <c r="AB361" i="1"/>
  <c r="AC564" i="1"/>
  <c r="AD361" i="1" l="1"/>
  <c r="AG361" i="1" s="1"/>
  <c r="AF361" i="1"/>
  <c r="V362" i="1" l="1"/>
  <c r="Z362" i="1" s="1"/>
  <c r="AA362" i="1"/>
  <c r="Y362" i="1"/>
  <c r="X362" i="1" l="1"/>
  <c r="W362" i="1"/>
  <c r="AB362" i="1"/>
  <c r="AF362" i="1" s="1"/>
  <c r="AC565" i="1"/>
  <c r="AD362" i="1" l="1"/>
  <c r="AG362" i="1" s="1"/>
  <c r="V363" i="1"/>
  <c r="AC566" i="1"/>
  <c r="Y363" i="1" l="1"/>
  <c r="AB363" i="1"/>
  <c r="X363" i="1"/>
  <c r="W363" i="1"/>
  <c r="Z363" i="1"/>
  <c r="AA363" i="1"/>
  <c r="AD363" i="1" l="1"/>
  <c r="AG363" i="1" s="1"/>
  <c r="AF363" i="1"/>
  <c r="V364" i="1" l="1"/>
  <c r="AA364" i="1" s="1"/>
  <c r="Y364" i="1"/>
  <c r="Z364" i="1"/>
  <c r="AB364" i="1"/>
  <c r="X364" i="1"/>
  <c r="W364" i="1"/>
  <c r="AC568" i="1"/>
  <c r="AD364" i="1" l="1"/>
  <c r="AG364" i="1" s="1"/>
  <c r="AF364" i="1"/>
  <c r="V365" i="1" l="1"/>
  <c r="Y365" i="1" s="1"/>
  <c r="AB365" i="1"/>
  <c r="AC569" i="1"/>
  <c r="Z365" i="1" l="1"/>
  <c r="AA365" i="1"/>
  <c r="X365" i="1"/>
  <c r="W365" i="1"/>
  <c r="AF365" i="1"/>
  <c r="AC570" i="1"/>
  <c r="AD365" i="1" l="1"/>
  <c r="V366" i="1" s="1"/>
  <c r="Z366" i="1" s="1"/>
  <c r="Y366" i="1"/>
  <c r="AA366" i="1"/>
  <c r="AC571" i="1"/>
  <c r="AB366" i="1" l="1"/>
  <c r="AF366" i="1" s="1"/>
  <c r="W366" i="1"/>
  <c r="X366" i="1"/>
  <c r="AG365" i="1"/>
  <c r="AD366" i="1" l="1"/>
  <c r="AG366" i="1" s="1"/>
  <c r="V367" i="1"/>
  <c r="X367" i="1" l="1"/>
  <c r="W367" i="1"/>
  <c r="Y367" i="1"/>
  <c r="AB367" i="1"/>
  <c r="AA367" i="1"/>
  <c r="Z367" i="1"/>
  <c r="AF367" i="1" l="1"/>
  <c r="AD367" i="1"/>
  <c r="AC573" i="1"/>
  <c r="V368" i="1" l="1"/>
  <c r="AG367" i="1"/>
  <c r="AB368" i="1" l="1"/>
  <c r="X368" i="1"/>
  <c r="W368" i="1"/>
  <c r="Z368" i="1"/>
  <c r="Y368" i="1"/>
  <c r="AA368" i="1"/>
  <c r="AD368" i="1" l="1"/>
  <c r="AG368" i="1" s="1"/>
  <c r="V369" i="1"/>
  <c r="AA369" i="1" s="1"/>
  <c r="AF368" i="1"/>
  <c r="AC575" i="1"/>
  <c r="Y369" i="1" l="1"/>
  <c r="Z369" i="1"/>
  <c r="W369" i="1"/>
  <c r="X369" i="1"/>
  <c r="AB369" i="1"/>
  <c r="AD369" i="1" l="1"/>
  <c r="V370" i="1" s="1"/>
  <c r="AF369" i="1"/>
  <c r="AC576" i="1"/>
  <c r="Y370" i="1" l="1"/>
  <c r="AA370" i="1"/>
  <c r="Z370" i="1"/>
  <c r="AG369" i="1"/>
  <c r="W370" i="1"/>
  <c r="AB370" i="1"/>
  <c r="AF370" i="1" s="1"/>
  <c r="X370" i="1"/>
  <c r="AD370" i="1" l="1"/>
  <c r="AG370" i="1" s="1"/>
  <c r="V371" i="1" l="1"/>
  <c r="AB371" i="1" s="1"/>
  <c r="AF371" i="1" s="1"/>
  <c r="Z371" i="1"/>
  <c r="AA371" i="1"/>
  <c r="Y371" i="1"/>
  <c r="AC578" i="1"/>
  <c r="X371" i="1" l="1"/>
  <c r="W371" i="1"/>
  <c r="AC579" i="1"/>
  <c r="AD371" i="1" l="1"/>
  <c r="AG371" i="1"/>
  <c r="V372" i="1"/>
  <c r="X372" i="1" l="1"/>
  <c r="AB372" i="1"/>
  <c r="AF372" i="1" s="1"/>
  <c r="W372" i="1"/>
  <c r="Z372" i="1"/>
  <c r="AA372" i="1"/>
  <c r="Y372" i="1"/>
  <c r="AC580" i="1"/>
  <c r="AD372" i="1" l="1"/>
  <c r="AG372" i="1" l="1"/>
  <c r="V373" i="1"/>
  <c r="X373" i="1" l="1"/>
  <c r="AA373" i="1"/>
  <c r="Y373" i="1"/>
  <c r="W373" i="1"/>
  <c r="Z373" i="1"/>
  <c r="AB373" i="1"/>
  <c r="AF373" i="1" s="1"/>
  <c r="AC582" i="1"/>
  <c r="AD373" i="1" l="1"/>
  <c r="AC583" i="1"/>
  <c r="AG373" i="1" l="1"/>
  <c r="V374" i="1"/>
  <c r="AC584" i="1"/>
  <c r="Z374" i="1" l="1"/>
  <c r="W374" i="1"/>
  <c r="X374" i="1"/>
  <c r="AB374" i="1"/>
  <c r="AA374" i="1"/>
  <c r="Y374" i="1"/>
  <c r="AC585" i="1"/>
  <c r="AD374" i="1" l="1"/>
  <c r="V375" i="1" s="1"/>
  <c r="AA375" i="1" s="1"/>
  <c r="AF374" i="1"/>
  <c r="AG374" i="1" l="1"/>
  <c r="Y375" i="1"/>
  <c r="Z375" i="1"/>
  <c r="AB375" i="1"/>
  <c r="AF375" i="1" s="1"/>
  <c r="W375" i="1"/>
  <c r="X375" i="1"/>
  <c r="AC586" i="1"/>
  <c r="AD375" i="1" l="1"/>
  <c r="V376" i="1" s="1"/>
  <c r="AG375" i="1" l="1"/>
  <c r="AA376" i="1"/>
  <c r="W376" i="1"/>
  <c r="AB376" i="1"/>
  <c r="AF376" i="1" s="1"/>
  <c r="Y376" i="1"/>
  <c r="X376" i="1"/>
  <c r="Z376" i="1"/>
  <c r="AC587" i="1"/>
  <c r="AD376" i="1" l="1"/>
  <c r="V377" i="1" l="1"/>
  <c r="AG376" i="1"/>
  <c r="W377" i="1" l="1"/>
  <c r="AB377" i="1"/>
  <c r="X377" i="1"/>
  <c r="Y377" i="1"/>
  <c r="Z377" i="1"/>
  <c r="AA377" i="1"/>
  <c r="AC589" i="1"/>
  <c r="AD377" i="1" l="1"/>
  <c r="AG377" i="1" s="1"/>
  <c r="AF377" i="1"/>
  <c r="AC590" i="1"/>
  <c r="V378" i="1" l="1"/>
  <c r="Y378" i="1" s="1"/>
  <c r="AB378" i="1"/>
  <c r="AF378" i="1" s="1"/>
  <c r="AA378" i="1"/>
  <c r="X378" i="1" l="1"/>
  <c r="Z378" i="1"/>
  <c r="W378" i="1"/>
  <c r="AC591" i="1"/>
  <c r="AD378" i="1" l="1"/>
  <c r="AG378" i="1" s="1"/>
  <c r="AH378" i="1" s="1"/>
  <c r="AC592" i="1"/>
  <c r="V379" i="1" l="1"/>
  <c r="AA379" i="1"/>
  <c r="W379" i="1"/>
  <c r="X379" i="1"/>
  <c r="AB379" i="1"/>
  <c r="Y379" i="1"/>
  <c r="Z379" i="1"/>
  <c r="AD379" i="1" l="1"/>
  <c r="V380" i="1" s="1"/>
  <c r="AF379" i="1"/>
  <c r="AC593" i="1"/>
  <c r="AG379" i="1" l="1"/>
  <c r="AH379" i="1" s="1"/>
  <c r="Z380" i="1"/>
  <c r="AA380" i="1"/>
  <c r="Y380" i="1"/>
  <c r="AB380" i="1"/>
  <c r="X380" i="1"/>
  <c r="W380" i="1"/>
  <c r="AC594" i="1"/>
  <c r="AD380" i="1" l="1"/>
  <c r="AG380" i="1" s="1"/>
  <c r="AH380" i="1" s="1"/>
  <c r="V381" i="1"/>
  <c r="Z381" i="1" s="1"/>
  <c r="AF380" i="1"/>
  <c r="AC595" i="1"/>
  <c r="Y381" i="1" l="1"/>
  <c r="AA381" i="1"/>
  <c r="X381" i="1"/>
  <c r="W381" i="1"/>
  <c r="AB381" i="1"/>
  <c r="AF381" i="1" s="1"/>
  <c r="AD381" i="1" l="1"/>
  <c r="AC596" i="1"/>
  <c r="AG381" i="1" l="1"/>
  <c r="AH381" i="1" s="1"/>
  <c r="V382" i="1"/>
  <c r="AC597" i="1"/>
  <c r="AB382" i="1" l="1"/>
  <c r="AF382" i="1" s="1"/>
  <c r="X382" i="1"/>
  <c r="W382" i="1"/>
  <c r="Y382" i="1"/>
  <c r="Z382" i="1"/>
  <c r="AA382" i="1"/>
  <c r="AD382" i="1" l="1"/>
  <c r="AG382" i="1" s="1"/>
  <c r="AC598" i="1"/>
  <c r="V383" i="1" l="1"/>
  <c r="AA383" i="1" s="1"/>
  <c r="Z383" i="1"/>
  <c r="Y383" i="1"/>
  <c r="AB383" i="1" l="1"/>
  <c r="AF383" i="1" s="1"/>
  <c r="X383" i="1"/>
  <c r="W383" i="1"/>
  <c r="AC599" i="1"/>
  <c r="AD383" i="1" l="1"/>
  <c r="V384" i="1" s="1"/>
  <c r="AC600" i="1"/>
  <c r="AG383" i="1" l="1"/>
  <c r="X384" i="1"/>
  <c r="AB384" i="1"/>
  <c r="W384" i="1"/>
  <c r="Z384" i="1"/>
  <c r="Y384" i="1"/>
  <c r="AA384" i="1"/>
  <c r="AD384" i="1" l="1"/>
  <c r="V385" i="1" s="1"/>
  <c r="Z385" i="1" s="1"/>
  <c r="AF384" i="1"/>
  <c r="AC601" i="1"/>
  <c r="AG384" i="1" l="1"/>
  <c r="AA385" i="1"/>
  <c r="Y385" i="1"/>
  <c r="X385" i="1"/>
  <c r="W385" i="1"/>
  <c r="AB385" i="1"/>
  <c r="AF385" i="1" l="1"/>
  <c r="AD385" i="1"/>
  <c r="AC602" i="1"/>
  <c r="V386" i="1" l="1"/>
  <c r="AG385" i="1"/>
  <c r="X386" i="1" l="1"/>
  <c r="W386" i="1"/>
  <c r="AB386" i="1"/>
  <c r="Y386" i="1"/>
  <c r="AA386" i="1"/>
  <c r="Z386" i="1"/>
  <c r="AC604" i="1"/>
  <c r="AD386" i="1" l="1"/>
  <c r="AG386" i="1" s="1"/>
  <c r="AF386" i="1"/>
  <c r="V387" i="1" l="1"/>
  <c r="Y387" i="1" s="1"/>
  <c r="AA387" i="1"/>
  <c r="Z387" i="1"/>
  <c r="AB387" i="1"/>
  <c r="AF387" i="1" s="1"/>
  <c r="AC605" i="1"/>
  <c r="W387" i="1" l="1"/>
  <c r="X387" i="1"/>
  <c r="AD387" i="1"/>
  <c r="AC606" i="1"/>
  <c r="V388" i="1" l="1"/>
  <c r="AG387" i="1"/>
  <c r="AC607" i="1"/>
  <c r="X388" i="1" l="1"/>
  <c r="AB388" i="1"/>
  <c r="W388" i="1"/>
  <c r="AA388" i="1"/>
  <c r="Y388" i="1"/>
  <c r="Z388" i="1"/>
  <c r="AD388" i="1" l="1"/>
  <c r="V389" i="1" s="1"/>
  <c r="AF388" i="1"/>
  <c r="AC608" i="1"/>
  <c r="AG388" i="1" l="1"/>
  <c r="Y389" i="1"/>
  <c r="Z389" i="1"/>
  <c r="AA389" i="1"/>
  <c r="X389" i="1"/>
  <c r="AB389" i="1"/>
  <c r="AF389" i="1" s="1"/>
  <c r="W389" i="1"/>
  <c r="AD389" i="1" l="1"/>
  <c r="AC609" i="1"/>
  <c r="AG389" i="1" l="1"/>
  <c r="V390" i="1"/>
  <c r="Z390" i="1" l="1"/>
  <c r="AB390" i="1"/>
  <c r="AF390" i="1" s="1"/>
  <c r="W390" i="1"/>
  <c r="X390" i="1"/>
  <c r="Y390" i="1"/>
  <c r="AA390" i="1"/>
  <c r="AC610" i="1"/>
  <c r="AD390" i="1" l="1"/>
  <c r="AG390" i="1" s="1"/>
  <c r="V391" i="1" l="1"/>
  <c r="AA391" i="1" s="1"/>
  <c r="Z391" i="1"/>
  <c r="AB391" i="1"/>
  <c r="AF391" i="1" s="1"/>
  <c r="X391" i="1"/>
  <c r="Y391" i="1"/>
  <c r="AC611" i="1"/>
  <c r="W391" i="1" l="1"/>
  <c r="AD391" i="1"/>
  <c r="AC612" i="1"/>
  <c r="AG391" i="1" l="1"/>
  <c r="V392" i="1"/>
  <c r="AC613" i="1"/>
  <c r="AA392" i="1" l="1"/>
  <c r="AB392" i="1"/>
  <c r="AF392" i="1" s="1"/>
  <c r="W392" i="1"/>
  <c r="X392" i="1"/>
  <c r="Y392" i="1"/>
  <c r="Z392" i="1"/>
  <c r="AC614" i="1"/>
  <c r="AD392" i="1" l="1"/>
  <c r="V393" i="1"/>
  <c r="Y393" i="1" s="1"/>
  <c r="AG392" i="1"/>
  <c r="AA393" i="1"/>
  <c r="Z393" i="1" l="1"/>
  <c r="X393" i="1"/>
  <c r="W393" i="1"/>
  <c r="AB393" i="1"/>
  <c r="AF393" i="1" s="1"/>
  <c r="AC615" i="1"/>
  <c r="AD393" i="1" l="1"/>
  <c r="V394" i="1" l="1"/>
  <c r="AG393" i="1"/>
  <c r="AC616" i="1"/>
  <c r="AB394" i="1" l="1"/>
  <c r="AF394" i="1" s="1"/>
  <c r="X394" i="1"/>
  <c r="W394" i="1"/>
  <c r="AA394" i="1"/>
  <c r="Z394" i="1"/>
  <c r="Y394" i="1"/>
  <c r="AC617" i="1"/>
  <c r="AD394" i="1" l="1"/>
  <c r="AG394" i="1" s="1"/>
  <c r="V395" i="1"/>
  <c r="AC618" i="1"/>
  <c r="AA395" i="1" l="1"/>
  <c r="Y395" i="1"/>
  <c r="X395" i="1"/>
  <c r="AB395" i="1"/>
  <c r="AF395" i="1" s="1"/>
  <c r="W395" i="1"/>
  <c r="Z395" i="1"/>
  <c r="AD395" i="1" l="1"/>
  <c r="AC619" i="1"/>
  <c r="V396" i="1" l="1"/>
  <c r="AG395" i="1"/>
  <c r="AC620" i="1"/>
  <c r="Z396" i="1" l="1"/>
  <c r="Y396" i="1"/>
  <c r="AA396" i="1"/>
  <c r="X396" i="1"/>
  <c r="AB396" i="1"/>
  <c r="AF396" i="1" s="1"/>
  <c r="W396" i="1"/>
  <c r="AC621" i="1"/>
  <c r="AD396" i="1" l="1"/>
  <c r="AC622" i="1"/>
  <c r="AG396" i="1" l="1"/>
  <c r="V397" i="1"/>
  <c r="AC623" i="1"/>
  <c r="AA397" i="1" l="1"/>
  <c r="Y397" i="1"/>
  <c r="AB397" i="1"/>
  <c r="AF397" i="1" s="1"/>
  <c r="Z397" i="1"/>
  <c r="W397" i="1"/>
  <c r="X397" i="1"/>
  <c r="AC624" i="1"/>
  <c r="AD397" i="1" l="1"/>
  <c r="AG397" i="1" s="1"/>
  <c r="AC625" i="1"/>
  <c r="V398" i="1" l="1"/>
  <c r="AA398" i="1"/>
  <c r="AC626" i="1"/>
  <c r="Y398" i="1" l="1"/>
  <c r="Z398" i="1"/>
  <c r="W398" i="1"/>
  <c r="X398" i="1"/>
  <c r="AB398" i="1"/>
  <c r="AF398" i="1" s="1"/>
  <c r="AC627" i="1"/>
  <c r="AD398" i="1" l="1"/>
  <c r="AG398" i="1" l="1"/>
  <c r="V399" i="1"/>
  <c r="Z399" i="1" l="1"/>
  <c r="AA399" i="1"/>
  <c r="Y399" i="1"/>
  <c r="W399" i="1"/>
  <c r="AB399" i="1"/>
  <c r="AF399" i="1" s="1"/>
  <c r="X399" i="1"/>
  <c r="AC628" i="1"/>
  <c r="AD399" i="1" l="1"/>
  <c r="AC629" i="1"/>
  <c r="AG399" i="1" l="1"/>
  <c r="V400" i="1"/>
  <c r="AC630" i="1"/>
  <c r="Z400" i="1" l="1"/>
  <c r="Y400" i="1"/>
  <c r="AA400" i="1"/>
  <c r="AB400" i="1"/>
  <c r="AF400" i="1" s="1"/>
  <c r="X400" i="1"/>
  <c r="W400" i="1"/>
  <c r="AD400" i="1" l="1"/>
  <c r="AG400" i="1" s="1"/>
  <c r="V401" i="1"/>
  <c r="W401" i="1" s="1"/>
  <c r="AA401" i="1"/>
  <c r="Z401" i="1"/>
  <c r="AB401" i="1"/>
  <c r="AF401" i="1" s="1"/>
  <c r="AC631" i="1"/>
  <c r="X401" i="1" l="1"/>
  <c r="Y401" i="1"/>
  <c r="AD401" i="1" s="1"/>
  <c r="AG401" i="1" s="1"/>
  <c r="V402" i="1" l="1"/>
  <c r="W402" i="1" s="1"/>
  <c r="AC633" i="1"/>
  <c r="AA402" i="1" l="1"/>
  <c r="Y402" i="1"/>
  <c r="AB402" i="1"/>
  <c r="AF402" i="1" s="1"/>
  <c r="X402" i="1"/>
  <c r="Z402" i="1"/>
  <c r="AD402" i="1" l="1"/>
  <c r="V403" i="1" s="1"/>
  <c r="Z403" i="1" s="1"/>
  <c r="AC634" i="1"/>
  <c r="AA403" i="1" l="1"/>
  <c r="Y403" i="1"/>
  <c r="W403" i="1"/>
  <c r="X403" i="1"/>
  <c r="AG402" i="1"/>
  <c r="AB403" i="1"/>
  <c r="AF403" i="1" s="1"/>
  <c r="AC632" i="1"/>
  <c r="AC635" i="1"/>
  <c r="AD403" i="1" l="1"/>
  <c r="AG403" i="1" s="1"/>
  <c r="AC636" i="1"/>
  <c r="V404" i="1" l="1"/>
  <c r="Z404" i="1" s="1"/>
  <c r="AC637" i="1"/>
  <c r="Y404" i="1" l="1"/>
  <c r="AA404" i="1"/>
  <c r="W404" i="1"/>
  <c r="X404" i="1"/>
  <c r="AB404" i="1"/>
  <c r="AF404" i="1" s="1"/>
  <c r="AD404" i="1" l="1"/>
  <c r="V405" i="1" s="1"/>
  <c r="W405" i="1" s="1"/>
  <c r="AC638" i="1"/>
  <c r="Y405" i="1" l="1"/>
  <c r="Z405" i="1"/>
  <c r="AA405" i="1"/>
  <c r="AB405" i="1"/>
  <c r="AF405" i="1" s="1"/>
  <c r="AG404" i="1"/>
  <c r="X405" i="1"/>
  <c r="AC639" i="1"/>
  <c r="AD405" i="1" l="1"/>
  <c r="AG405" i="1" s="1"/>
  <c r="V406" i="1" l="1"/>
  <c r="Y406" i="1" s="1"/>
  <c r="Z406" i="1"/>
  <c r="AA406" i="1"/>
  <c r="X406" i="1"/>
  <c r="W406" i="1"/>
  <c r="AB406" i="1"/>
  <c r="AF406" i="1" s="1"/>
  <c r="AC640" i="1"/>
  <c r="AD406" i="1" l="1"/>
  <c r="AC641" i="1"/>
  <c r="V407" i="1" l="1"/>
  <c r="AG406" i="1"/>
  <c r="Y407" i="1" l="1"/>
  <c r="Z407" i="1"/>
  <c r="AA407" i="1"/>
  <c r="W407" i="1"/>
  <c r="X407" i="1"/>
  <c r="AB407" i="1"/>
  <c r="AF407" i="1" s="1"/>
  <c r="AC642" i="1"/>
  <c r="AD407" i="1" l="1"/>
  <c r="AC643" i="1"/>
  <c r="V408" i="1" l="1"/>
  <c r="AG407" i="1"/>
  <c r="Z408" i="1" l="1"/>
  <c r="AA408" i="1"/>
  <c r="Y408" i="1"/>
  <c r="W408" i="1"/>
  <c r="X408" i="1"/>
  <c r="AB408" i="1"/>
  <c r="AF408" i="1" s="1"/>
  <c r="AC644" i="1"/>
  <c r="AD408" i="1" l="1"/>
  <c r="AG408" i="1" s="1"/>
  <c r="V409" i="1" l="1"/>
  <c r="AC645" i="1"/>
  <c r="X409" i="1" l="1"/>
  <c r="Z409" i="1"/>
  <c r="AA409" i="1"/>
  <c r="Y409" i="1"/>
  <c r="W409" i="1"/>
  <c r="AB409" i="1"/>
  <c r="AF409" i="1" s="1"/>
  <c r="AD409" i="1" l="1"/>
  <c r="AG409" i="1" s="1"/>
  <c r="V410" i="1"/>
  <c r="X410" i="1" s="1"/>
  <c r="AC646" i="1"/>
  <c r="Z410" i="1" l="1"/>
  <c r="Y410" i="1"/>
  <c r="AB410" i="1"/>
  <c r="AF410" i="1" s="1"/>
  <c r="AA410" i="1"/>
  <c r="W410" i="1"/>
  <c r="AC647" i="1"/>
  <c r="AD410" i="1" l="1"/>
  <c r="V411" i="1" s="1"/>
  <c r="Y411" i="1" s="1"/>
  <c r="AC648" i="1"/>
  <c r="AG410" i="1" l="1"/>
  <c r="AB411" i="1"/>
  <c r="AF411" i="1" s="1"/>
  <c r="AA411" i="1"/>
  <c r="Z411" i="1"/>
  <c r="W411" i="1"/>
  <c r="X411" i="1"/>
  <c r="AC649" i="1"/>
  <c r="AD411" i="1" l="1"/>
  <c r="V412" i="1" s="1"/>
  <c r="AG411" i="1" l="1"/>
  <c r="AA412" i="1"/>
  <c r="Y412" i="1"/>
  <c r="Z412" i="1"/>
  <c r="W412" i="1"/>
  <c r="X412" i="1"/>
  <c r="AB412" i="1"/>
  <c r="AF412" i="1" s="1"/>
  <c r="AC650" i="1"/>
  <c r="AD412" i="1" l="1"/>
  <c r="V413" i="1" s="1"/>
  <c r="Z413" i="1" s="1"/>
  <c r="AA413" i="1" l="1"/>
  <c r="AG412" i="1"/>
  <c r="X413" i="1"/>
  <c r="AB413" i="1"/>
  <c r="AF413" i="1" s="1"/>
  <c r="W413" i="1"/>
  <c r="Y413" i="1"/>
  <c r="AC651" i="1"/>
  <c r="AD413" i="1" l="1"/>
  <c r="V414" i="1" s="1"/>
  <c r="AA414" i="1" s="1"/>
  <c r="X414" i="1" l="1"/>
  <c r="W414" i="1"/>
  <c r="AB414" i="1"/>
  <c r="AF414" i="1" s="1"/>
  <c r="AG413" i="1"/>
  <c r="Y414" i="1"/>
  <c r="Z414" i="1"/>
  <c r="AC652" i="1"/>
  <c r="AD414" i="1" l="1"/>
  <c r="V415" i="1" s="1"/>
  <c r="W415" i="1" s="1"/>
  <c r="AC653" i="1"/>
  <c r="Y415" i="1" l="1"/>
  <c r="AA415" i="1"/>
  <c r="Z415" i="1"/>
  <c r="AG414" i="1"/>
  <c r="AB415" i="1"/>
  <c r="AF415" i="1" s="1"/>
  <c r="X415" i="1"/>
  <c r="AC654" i="1"/>
  <c r="AD415" i="1" l="1"/>
  <c r="AG415" i="1" s="1"/>
  <c r="V416" i="1"/>
  <c r="Z416" i="1" l="1"/>
  <c r="Y416" i="1"/>
  <c r="AA416" i="1"/>
  <c r="AB416" i="1"/>
  <c r="AF416" i="1" s="1"/>
  <c r="W416" i="1"/>
  <c r="X416" i="1"/>
  <c r="AC655" i="1"/>
  <c r="AD416" i="1" l="1"/>
  <c r="AC656" i="1"/>
  <c r="AG416" i="1" l="1"/>
  <c r="V417" i="1"/>
  <c r="AA417" i="1" l="1"/>
  <c r="Y417" i="1"/>
  <c r="Z417" i="1"/>
  <c r="AB417" i="1"/>
  <c r="AF417" i="1" s="1"/>
  <c r="W417" i="1"/>
  <c r="X417" i="1"/>
  <c r="AC657" i="1"/>
  <c r="AD417" i="1" l="1"/>
  <c r="AG417" i="1" s="1"/>
  <c r="AC658" i="1"/>
  <c r="V418" i="1" l="1"/>
  <c r="Y418" i="1" s="1"/>
  <c r="Z418" i="1" l="1"/>
  <c r="AB418" i="1"/>
  <c r="AF418" i="1" s="1"/>
  <c r="AA418" i="1"/>
  <c r="X418" i="1"/>
  <c r="W418" i="1"/>
  <c r="AC659" i="1"/>
  <c r="AD418" i="1" l="1"/>
  <c r="AG418" i="1" s="1"/>
  <c r="AC660" i="1"/>
  <c r="V419" i="1" l="1"/>
  <c r="AA419" i="1" s="1"/>
  <c r="AC661" i="1"/>
  <c r="Z419" i="1" l="1"/>
  <c r="AB419" i="1"/>
  <c r="AF419" i="1" s="1"/>
  <c r="X419" i="1"/>
  <c r="W419" i="1"/>
  <c r="Y419" i="1"/>
  <c r="AC662" i="1"/>
  <c r="AD419" i="1" l="1"/>
  <c r="AG419" i="1" s="1"/>
  <c r="V420" i="1" l="1"/>
  <c r="W420" i="1" s="1"/>
  <c r="AB420" i="1"/>
  <c r="AF420" i="1" s="1"/>
  <c r="Z420" i="1"/>
  <c r="AC663" i="1"/>
  <c r="Y420" i="1" l="1"/>
  <c r="AA420" i="1"/>
  <c r="X420" i="1"/>
  <c r="AC664" i="1"/>
  <c r="AD420" i="1" l="1"/>
  <c r="AG420" i="1" s="1"/>
  <c r="V421" i="1" l="1"/>
  <c r="W421" i="1" s="1"/>
  <c r="Z421" i="1"/>
  <c r="Y421" i="1"/>
  <c r="AB421" i="1"/>
  <c r="AF421" i="1" s="1"/>
  <c r="AA421" i="1"/>
  <c r="AC665" i="1"/>
  <c r="X421" i="1" l="1"/>
  <c r="AD421" i="1" s="1"/>
  <c r="AG421" i="1" s="1"/>
  <c r="AC666" i="1"/>
  <c r="V422" i="1" l="1"/>
  <c r="Z422" i="1" s="1"/>
  <c r="AC667" i="1"/>
  <c r="Y422" i="1" l="1"/>
  <c r="AA422" i="1"/>
  <c r="W422" i="1"/>
  <c r="X422" i="1"/>
  <c r="AB422" i="1"/>
  <c r="AF422" i="1" s="1"/>
  <c r="AC668" i="1"/>
  <c r="AD422" i="1" l="1"/>
  <c r="AG422" i="1" s="1"/>
  <c r="AC669" i="1"/>
  <c r="V423" i="1" l="1"/>
  <c r="Y423" i="1" s="1"/>
  <c r="AA423" i="1" l="1"/>
  <c r="Z423" i="1"/>
  <c r="AB423" i="1"/>
  <c r="AF423" i="1" s="1"/>
  <c r="W423" i="1"/>
  <c r="X423" i="1"/>
  <c r="AC670" i="1"/>
  <c r="AD423" i="1" l="1"/>
  <c r="AG423" i="1" s="1"/>
  <c r="AC671" i="1"/>
  <c r="V424" i="1" l="1"/>
  <c r="Y424" i="1" l="1"/>
  <c r="X424" i="1"/>
  <c r="W424" i="1"/>
  <c r="AB424" i="1"/>
  <c r="AF424" i="1" s="1"/>
  <c r="Z424" i="1"/>
  <c r="AA424" i="1"/>
  <c r="AC672" i="1"/>
  <c r="AD424" i="1" l="1"/>
  <c r="AG424" i="1" s="1"/>
  <c r="V425" i="1" l="1"/>
  <c r="AC673" i="1"/>
  <c r="Y425" i="1" l="1"/>
  <c r="AA425" i="1"/>
  <c r="Z425" i="1"/>
  <c r="X425" i="1"/>
  <c r="W425" i="1"/>
  <c r="AB425" i="1"/>
  <c r="AF425" i="1" s="1"/>
  <c r="AC674" i="1"/>
  <c r="AD425" i="1" l="1"/>
  <c r="AC567" i="1"/>
  <c r="V426" i="1" l="1"/>
  <c r="AG425" i="1"/>
  <c r="AC675" i="1"/>
  <c r="AC676" i="1"/>
  <c r="AA426" i="1" l="1"/>
  <c r="Z426" i="1"/>
  <c r="Y426" i="1"/>
  <c r="X426" i="1"/>
  <c r="AB426" i="1"/>
  <c r="AF426" i="1" s="1"/>
  <c r="W426" i="1"/>
  <c r="AC677" i="1"/>
  <c r="AD426" i="1" l="1"/>
  <c r="AG426" i="1" l="1"/>
  <c r="V427" i="1"/>
  <c r="AC678" i="1"/>
  <c r="Z427" i="1" l="1"/>
  <c r="Y427" i="1"/>
  <c r="AA427" i="1"/>
  <c r="AB427" i="1"/>
  <c r="AF427" i="1" s="1"/>
  <c r="X427" i="1"/>
  <c r="W427" i="1"/>
  <c r="AC679" i="1"/>
  <c r="AD427" i="1" l="1"/>
  <c r="AC572" i="1"/>
  <c r="AC680" i="1"/>
  <c r="V428" i="1" l="1"/>
  <c r="AG427" i="1"/>
  <c r="AA428" i="1" l="1"/>
  <c r="Z428" i="1"/>
  <c r="Y428" i="1"/>
  <c r="X428" i="1"/>
  <c r="AB428" i="1"/>
  <c r="AF428" i="1" s="1"/>
  <c r="W428" i="1"/>
  <c r="AC574" i="1"/>
  <c r="AC682" i="1"/>
  <c r="AD428" i="1" l="1"/>
  <c r="V429" i="1" s="1"/>
  <c r="Z429" i="1" s="1"/>
  <c r="C37" i="1"/>
  <c r="C38" i="1"/>
  <c r="AH375" i="1"/>
  <c r="AC681" i="1"/>
  <c r="AA429" i="1" l="1"/>
  <c r="AG428" i="1"/>
  <c r="Y429" i="1"/>
  <c r="W429" i="1"/>
  <c r="X429" i="1"/>
  <c r="AB429" i="1"/>
  <c r="AF429" i="1" s="1"/>
  <c r="AD429" i="1" l="1"/>
  <c r="AC577" i="1"/>
  <c r="AC683" i="1"/>
  <c r="AG429" i="1" l="1"/>
  <c r="V430" i="1"/>
  <c r="AC684" i="1"/>
  <c r="Z430" i="1" l="1"/>
  <c r="AA430" i="1"/>
  <c r="Y430" i="1"/>
  <c r="W430" i="1"/>
  <c r="X430" i="1"/>
  <c r="AB430" i="1"/>
  <c r="AF430" i="1" s="1"/>
  <c r="AC685" i="1"/>
  <c r="AD430" i="1" l="1"/>
  <c r="AC686" i="1"/>
  <c r="V431" i="1" l="1"/>
  <c r="AG430" i="1"/>
  <c r="AC581" i="1"/>
  <c r="AA431" i="1" l="1"/>
  <c r="Z431" i="1"/>
  <c r="Y431" i="1"/>
  <c r="AB431" i="1"/>
  <c r="AF431" i="1" s="1"/>
  <c r="X431" i="1"/>
  <c r="W431" i="1"/>
  <c r="AD431" i="1" l="1"/>
  <c r="AG431" i="1" l="1"/>
  <c r="V432" i="1"/>
  <c r="AC689" i="1"/>
  <c r="Y432" i="1" l="1"/>
  <c r="Z432" i="1"/>
  <c r="AA432" i="1"/>
  <c r="AB432" i="1"/>
  <c r="AF432" i="1" s="1"/>
  <c r="X432" i="1"/>
  <c r="W432" i="1"/>
  <c r="AC687" i="1"/>
  <c r="AD432" i="1" l="1"/>
  <c r="AC688" i="1"/>
  <c r="AC690" i="1"/>
  <c r="AG432" i="1" l="1"/>
  <c r="V433" i="1"/>
  <c r="Z433" i="1" l="1"/>
  <c r="Y433" i="1"/>
  <c r="AA433" i="1"/>
  <c r="X433" i="1"/>
  <c r="AB433" i="1"/>
  <c r="AF433" i="1" s="1"/>
  <c r="W433" i="1"/>
  <c r="AC691" i="1"/>
  <c r="AD433" i="1" l="1"/>
  <c r="AC692" i="1"/>
  <c r="AG433" i="1" l="1"/>
  <c r="V434" i="1"/>
  <c r="AC588" i="1"/>
  <c r="AC693" i="1"/>
  <c r="Y434" i="1" l="1"/>
  <c r="AA434" i="1"/>
  <c r="Z434" i="1"/>
  <c r="AB434" i="1"/>
  <c r="AF434" i="1" s="1"/>
  <c r="X434" i="1"/>
  <c r="W434" i="1"/>
  <c r="AD434" i="1" l="1"/>
  <c r="V435" i="1" s="1"/>
  <c r="Y435" i="1" s="1"/>
  <c r="AC694" i="1"/>
  <c r="AG434" i="1" l="1"/>
  <c r="AA435" i="1"/>
  <c r="Z435" i="1"/>
  <c r="W435" i="1"/>
  <c r="X435" i="1"/>
  <c r="AB435" i="1"/>
  <c r="AF435" i="1" s="1"/>
  <c r="AC695" i="1"/>
  <c r="AD435" i="1" l="1"/>
  <c r="AG435" i="1" s="1"/>
  <c r="V436" i="1"/>
  <c r="AB436" i="1" s="1"/>
  <c r="AC696" i="1"/>
  <c r="Z436" i="1" l="1"/>
  <c r="W436" i="1"/>
  <c r="X436" i="1"/>
  <c r="AA436" i="1"/>
  <c r="Y436" i="1"/>
  <c r="AF436" i="1"/>
  <c r="AD436" i="1" l="1"/>
  <c r="AG436" i="1" s="1"/>
  <c r="V437" i="1"/>
  <c r="AA437" i="1" s="1"/>
  <c r="AC697" i="1"/>
  <c r="AB437" i="1" l="1"/>
  <c r="AF437" i="1" s="1"/>
  <c r="Z437" i="1"/>
  <c r="Y437" i="1"/>
  <c r="W437" i="1"/>
  <c r="X437" i="1"/>
  <c r="AC699" i="1"/>
  <c r="AD437" i="1" l="1"/>
  <c r="AG437" i="1" s="1"/>
  <c r="AC698" i="1"/>
  <c r="V438" i="1" l="1"/>
  <c r="AB438" i="1" s="1"/>
  <c r="AF438" i="1" s="1"/>
  <c r="Y438" i="1"/>
  <c r="AA438" i="1" l="1"/>
  <c r="Z438" i="1"/>
  <c r="W438" i="1"/>
  <c r="X438" i="1"/>
  <c r="AC701" i="1"/>
  <c r="AD438" i="1" l="1"/>
  <c r="AG438" i="1" s="1"/>
  <c r="V439" i="1"/>
  <c r="Y439" i="1" s="1"/>
  <c r="AC700" i="1"/>
  <c r="AC702" i="1"/>
  <c r="AB439" i="1" l="1"/>
  <c r="AF439" i="1" s="1"/>
  <c r="W439" i="1"/>
  <c r="X439" i="1"/>
  <c r="Z439" i="1"/>
  <c r="AA439" i="1"/>
  <c r="AC703" i="1"/>
  <c r="AD439" i="1" l="1"/>
  <c r="AG439" i="1" s="1"/>
  <c r="V440" i="1" l="1"/>
  <c r="AA440" i="1" s="1"/>
  <c r="Z440" i="1"/>
  <c r="Y440" i="1"/>
  <c r="X440" i="1" l="1"/>
  <c r="W440" i="1"/>
  <c r="AB440" i="1"/>
  <c r="AF440" i="1" s="1"/>
  <c r="AD440" i="1" l="1"/>
  <c r="AG440" i="1" s="1"/>
  <c r="AC603" i="1"/>
  <c r="AC704" i="1"/>
  <c r="AC706" i="1"/>
  <c r="AC707" i="1"/>
  <c r="V441" i="1" l="1"/>
  <c r="X441" i="1" s="1"/>
  <c r="AC705" i="1"/>
  <c r="AB441" i="1" l="1"/>
  <c r="AF441" i="1" s="1"/>
  <c r="W441" i="1"/>
  <c r="Z441" i="1"/>
  <c r="Y441" i="1"/>
  <c r="AA441" i="1"/>
  <c r="AC708" i="1"/>
  <c r="AD441" i="1" l="1"/>
  <c r="V442" i="1"/>
  <c r="AG441" i="1"/>
  <c r="AA442" i="1"/>
  <c r="Y442" i="1"/>
  <c r="Z442" i="1"/>
  <c r="X442" i="1"/>
  <c r="AB442" i="1"/>
  <c r="AF442" i="1" s="1"/>
  <c r="W442" i="1"/>
  <c r="AD442" i="1" l="1"/>
  <c r="AG442" i="1" s="1"/>
  <c r="V443" i="1" l="1"/>
  <c r="Y443" i="1" s="1"/>
  <c r="AB443" i="1"/>
  <c r="AF443" i="1" s="1"/>
  <c r="AC709" i="1"/>
  <c r="AC710" i="1"/>
  <c r="W443" i="1" l="1"/>
  <c r="X443" i="1"/>
  <c r="AA443" i="1"/>
  <c r="Z443" i="1"/>
  <c r="AD443" i="1" l="1"/>
  <c r="V444" i="1" s="1"/>
  <c r="W444" i="1" s="1"/>
  <c r="AC711" i="1"/>
  <c r="AG443" i="1" l="1"/>
  <c r="AB444" i="1"/>
  <c r="AF444" i="1" s="1"/>
  <c r="X444" i="1"/>
  <c r="Z444" i="1"/>
  <c r="Y444" i="1"/>
  <c r="AA444" i="1"/>
  <c r="AC712" i="1"/>
  <c r="AD444" i="1" l="1"/>
  <c r="AG444" i="1" s="1"/>
  <c r="AC713" i="1"/>
  <c r="V445" i="1" l="1"/>
  <c r="AA445" i="1" s="1"/>
  <c r="Z445" i="1"/>
  <c r="AB445" i="1"/>
  <c r="AF445" i="1" s="1"/>
  <c r="Y445" i="1"/>
  <c r="X445" i="1" l="1"/>
  <c r="W445" i="1"/>
  <c r="AC714" i="1"/>
  <c r="AD445" i="1" l="1"/>
  <c r="AG445" i="1" s="1"/>
  <c r="V446" i="1"/>
  <c r="W446" i="1" s="1"/>
  <c r="AC715" i="1"/>
  <c r="Y446" i="1" l="1"/>
  <c r="AA446" i="1"/>
  <c r="AB446" i="1"/>
  <c r="AF446" i="1" s="1"/>
  <c r="Z446" i="1"/>
  <c r="X446" i="1"/>
  <c r="AC716" i="1"/>
  <c r="AD446" i="1" l="1"/>
  <c r="AG446" i="1" s="1"/>
  <c r="AC717" i="1"/>
  <c r="V447" i="1" l="1"/>
  <c r="Z447" i="1" s="1"/>
  <c r="Y447" i="1"/>
  <c r="AA447" i="1"/>
  <c r="AB447" i="1"/>
  <c r="AF447" i="1" s="1"/>
  <c r="W447" i="1"/>
  <c r="X447" i="1"/>
  <c r="AD447" i="1" l="1"/>
  <c r="AG447" i="1" s="1"/>
  <c r="AC718" i="1"/>
  <c r="V448" i="1" l="1"/>
  <c r="Y448" i="1" s="1"/>
  <c r="Z448" i="1"/>
  <c r="AA448" i="1"/>
  <c r="AB448" i="1"/>
  <c r="AF448" i="1" s="1"/>
  <c r="W448" i="1"/>
  <c r="X448" i="1" l="1"/>
  <c r="AD448" i="1"/>
  <c r="V449" i="1" s="1"/>
  <c r="X449" i="1" s="1"/>
  <c r="Z449" i="1" l="1"/>
  <c r="AA449" i="1"/>
  <c r="Y449" i="1"/>
  <c r="AB449" i="1"/>
  <c r="AF449" i="1" s="1"/>
  <c r="W449" i="1"/>
  <c r="AG448" i="1"/>
  <c r="AC719" i="1"/>
  <c r="AD449" i="1" l="1"/>
  <c r="AG449" i="1" s="1"/>
  <c r="AC720" i="1"/>
  <c r="V450" i="1" l="1"/>
  <c r="AA450" i="1" s="1"/>
  <c r="Z450" i="1"/>
  <c r="Y450" i="1"/>
  <c r="AB450" i="1" l="1"/>
  <c r="AF450" i="1" s="1"/>
  <c r="W450" i="1"/>
  <c r="X450" i="1"/>
  <c r="AC721" i="1"/>
  <c r="AD450" i="1" l="1"/>
  <c r="AG450" i="1"/>
  <c r="V451" i="1"/>
  <c r="AC722" i="1"/>
  <c r="AA451" i="1" l="1"/>
  <c r="Z451" i="1"/>
  <c r="Y451" i="1"/>
  <c r="W451" i="1"/>
  <c r="X451" i="1"/>
  <c r="AB451" i="1"/>
  <c r="AF451" i="1" s="1"/>
  <c r="AC723" i="1"/>
  <c r="AD451" i="1" l="1"/>
  <c r="V452" i="1" l="1"/>
  <c r="AG451" i="1"/>
  <c r="AC724" i="1"/>
  <c r="Y452" i="1" l="1"/>
  <c r="Z452" i="1"/>
  <c r="AA452" i="1"/>
  <c r="X452" i="1"/>
  <c r="W452" i="1"/>
  <c r="AB452" i="1"/>
  <c r="AF452" i="1" s="1"/>
  <c r="AC725" i="1"/>
  <c r="AD452" i="1" l="1"/>
  <c r="AC726" i="1"/>
  <c r="AG452" i="1" l="1"/>
  <c r="V453" i="1"/>
  <c r="Y453" i="1" l="1"/>
  <c r="Z453" i="1"/>
  <c r="AA453" i="1"/>
  <c r="X453" i="1"/>
  <c r="W453" i="1"/>
  <c r="AB453" i="1"/>
  <c r="AF453" i="1" s="1"/>
  <c r="AC727" i="1"/>
  <c r="AD453" i="1" l="1"/>
  <c r="V454" i="1" l="1"/>
  <c r="AG453" i="1"/>
  <c r="AC728" i="1"/>
  <c r="AA454" i="1" l="1"/>
  <c r="Z454" i="1"/>
  <c r="Y454" i="1"/>
  <c r="AB454" i="1"/>
  <c r="AF454" i="1" s="1"/>
  <c r="W454" i="1"/>
  <c r="X454" i="1"/>
  <c r="AC729" i="1"/>
  <c r="AD454" i="1" l="1"/>
  <c r="V455" i="1" l="1"/>
  <c r="AG454" i="1"/>
  <c r="AC730" i="1"/>
  <c r="AC731" i="1"/>
  <c r="AA455" i="1" l="1"/>
  <c r="Z455" i="1"/>
  <c r="Y455" i="1"/>
  <c r="W455" i="1"/>
  <c r="AB455" i="1"/>
  <c r="AF455" i="1" s="1"/>
  <c r="X455" i="1"/>
  <c r="AC732" i="1"/>
  <c r="AD455" i="1" l="1"/>
  <c r="AC733" i="1"/>
  <c r="AG455" i="1" l="1"/>
  <c r="V456" i="1"/>
  <c r="Z456" i="1" l="1"/>
  <c r="AA456" i="1"/>
  <c r="Y456" i="1"/>
  <c r="W456" i="1"/>
  <c r="X456" i="1"/>
  <c r="AB456" i="1"/>
  <c r="AF456" i="1" s="1"/>
  <c r="AC734" i="1"/>
  <c r="AD456" i="1" l="1"/>
  <c r="AC735" i="1"/>
  <c r="AG456" i="1" l="1"/>
  <c r="V457" i="1"/>
  <c r="Y457" i="1" l="1"/>
  <c r="AA457" i="1"/>
  <c r="Z457" i="1"/>
  <c r="X457" i="1"/>
  <c r="W457" i="1"/>
  <c r="AB457" i="1"/>
  <c r="AF457" i="1" s="1"/>
  <c r="AC736" i="1"/>
  <c r="AD457" i="1" l="1"/>
  <c r="V458" i="1" l="1"/>
  <c r="AG457" i="1"/>
  <c r="AC737" i="1"/>
  <c r="Y458" i="1" l="1"/>
  <c r="Z458" i="1"/>
  <c r="AA458" i="1"/>
  <c r="X458" i="1"/>
  <c r="AB458" i="1"/>
  <c r="AF458" i="1" s="1"/>
  <c r="W458" i="1"/>
  <c r="AC738" i="1"/>
  <c r="AD458" i="1" l="1"/>
  <c r="AG458" i="1" l="1"/>
  <c r="V459" i="1"/>
  <c r="AC739" i="1"/>
  <c r="AA459" i="1" l="1"/>
  <c r="Z459" i="1"/>
  <c r="Y459" i="1"/>
  <c r="AB459" i="1"/>
  <c r="AF459" i="1" s="1"/>
  <c r="W459" i="1"/>
  <c r="X459" i="1"/>
  <c r="AC740" i="1"/>
  <c r="AD459" i="1" l="1"/>
  <c r="V460" i="1" s="1"/>
  <c r="AA460" i="1" s="1"/>
  <c r="AC741" i="1"/>
  <c r="AG459" i="1" l="1"/>
  <c r="Z460" i="1"/>
  <c r="Y460" i="1"/>
  <c r="AB460" i="1"/>
  <c r="AF460" i="1" s="1"/>
  <c r="X460" i="1"/>
  <c r="W460" i="1"/>
  <c r="AD460" i="1" l="1"/>
  <c r="V461" i="1" s="1"/>
  <c r="AC742" i="1"/>
  <c r="AG460" i="1" l="1"/>
  <c r="Y461" i="1"/>
  <c r="Z461" i="1"/>
  <c r="AA461" i="1"/>
  <c r="X461" i="1"/>
  <c r="AB461" i="1"/>
  <c r="AF461" i="1" s="1"/>
  <c r="W461" i="1"/>
  <c r="AC743" i="1"/>
  <c r="AD461" i="1" l="1"/>
  <c r="AC744" i="1"/>
  <c r="AG461" i="1" l="1"/>
  <c r="V462" i="1"/>
  <c r="AC745" i="1"/>
  <c r="AA462" i="1" l="1"/>
  <c r="Y462" i="1"/>
  <c r="Z462" i="1"/>
  <c r="AB462" i="1"/>
  <c r="AF462" i="1" s="1"/>
  <c r="X462" i="1"/>
  <c r="W462" i="1"/>
  <c r="AD462" i="1" l="1"/>
  <c r="AC747" i="1"/>
  <c r="AG462" i="1" l="1"/>
  <c r="V463" i="1"/>
  <c r="AC746" i="1"/>
  <c r="AC748" i="1"/>
  <c r="AA463" i="1" l="1"/>
  <c r="Z463" i="1"/>
  <c r="Y463" i="1"/>
  <c r="X463" i="1"/>
  <c r="W463" i="1"/>
  <c r="AB463" i="1"/>
  <c r="AF463" i="1" s="1"/>
  <c r="AD463" i="1" l="1"/>
  <c r="AG463" i="1" l="1"/>
  <c r="V464" i="1"/>
  <c r="AC749" i="1"/>
  <c r="AC750" i="1"/>
  <c r="AA464" i="1" l="1"/>
  <c r="Y464" i="1"/>
  <c r="Z464" i="1"/>
  <c r="X464" i="1"/>
  <c r="AB464" i="1"/>
  <c r="AF464" i="1" s="1"/>
  <c r="W464" i="1"/>
  <c r="AC751" i="1"/>
  <c r="AD464" i="1" l="1"/>
  <c r="AC752" i="1"/>
  <c r="AG464" i="1" l="1"/>
  <c r="V465" i="1"/>
  <c r="AC753" i="1"/>
  <c r="AA465" i="1" l="1"/>
  <c r="Y465" i="1"/>
  <c r="Z465" i="1"/>
  <c r="X465" i="1"/>
  <c r="AB465" i="1"/>
  <c r="AF465" i="1" s="1"/>
  <c r="W465" i="1"/>
  <c r="AC754" i="1"/>
  <c r="AD465" i="1" l="1"/>
  <c r="V466" i="1" l="1"/>
  <c r="AG465" i="1"/>
  <c r="AC755" i="1"/>
  <c r="Z466" i="1" l="1"/>
  <c r="AA466" i="1"/>
  <c r="Y466" i="1"/>
  <c r="AB466" i="1"/>
  <c r="AF466" i="1" s="1"/>
  <c r="X466" i="1"/>
  <c r="W466" i="1"/>
  <c r="AD466" i="1" l="1"/>
  <c r="AG466" i="1" s="1"/>
  <c r="AC756" i="1"/>
  <c r="V467" i="1" l="1"/>
  <c r="Z467" i="1" s="1"/>
  <c r="AB467" i="1" l="1"/>
  <c r="AF467" i="1" s="1"/>
  <c r="Y467" i="1"/>
  <c r="AA467" i="1"/>
  <c r="X467" i="1"/>
  <c r="W467" i="1"/>
  <c r="AD467" i="1" l="1"/>
  <c r="V468" i="1" s="1"/>
  <c r="Z468" i="1" s="1"/>
  <c r="Y468" i="1" l="1"/>
  <c r="AB468" i="1"/>
  <c r="AF468" i="1" s="1"/>
  <c r="W468" i="1"/>
  <c r="AG467" i="1"/>
  <c r="X468" i="1"/>
  <c r="AA468" i="1"/>
  <c r="AC757" i="1"/>
  <c r="AC758" i="1"/>
  <c r="AD468" i="1" l="1"/>
  <c r="V469" i="1" s="1"/>
  <c r="AB469" i="1" s="1"/>
  <c r="AF469" i="1" s="1"/>
  <c r="AA469" i="1" l="1"/>
  <c r="Z469" i="1"/>
  <c r="AG468" i="1"/>
  <c r="W469" i="1"/>
  <c r="X469" i="1"/>
  <c r="Y469" i="1"/>
  <c r="AC759" i="1"/>
  <c r="AD469" i="1" l="1"/>
  <c r="AG469" i="1" s="1"/>
  <c r="V470" i="1" l="1"/>
  <c r="Y470" i="1" s="1"/>
  <c r="AC760" i="1"/>
  <c r="AA470" i="1" l="1"/>
  <c r="Z470" i="1"/>
  <c r="AB470" i="1"/>
  <c r="AF470" i="1" s="1"/>
  <c r="W470" i="1"/>
  <c r="X470" i="1"/>
  <c r="AD470" i="1" l="1"/>
  <c r="AG470" i="1" s="1"/>
  <c r="V471" i="1"/>
  <c r="Z471" i="1" s="1"/>
  <c r="AB471" i="1" l="1"/>
  <c r="AF471" i="1" s="1"/>
  <c r="AA471" i="1"/>
  <c r="Y471" i="1"/>
  <c r="X471" i="1"/>
  <c r="W471" i="1"/>
  <c r="AC761" i="1"/>
  <c r="AC762" i="1"/>
  <c r="AD471" i="1" l="1"/>
  <c r="AG471" i="1" s="1"/>
  <c r="V472" i="1" l="1"/>
  <c r="X472" i="1" s="1"/>
  <c r="AC763" i="1"/>
  <c r="Y472" i="1" l="1"/>
  <c r="AA472" i="1"/>
  <c r="Z472" i="1"/>
  <c r="AB472" i="1"/>
  <c r="AF472" i="1" s="1"/>
  <c r="W472" i="1"/>
  <c r="AD472" i="1" l="1"/>
  <c r="AG472" i="1" s="1"/>
  <c r="V473" i="1" l="1"/>
  <c r="W473" i="1" s="1"/>
  <c r="AC765" i="1"/>
  <c r="Z473" i="1" l="1"/>
  <c r="AA473" i="1"/>
  <c r="Y473" i="1"/>
  <c r="X473" i="1"/>
  <c r="AB473" i="1"/>
  <c r="AF473" i="1" s="1"/>
  <c r="AD473" i="1" l="1"/>
  <c r="AG473" i="1" s="1"/>
  <c r="AC766" i="1"/>
  <c r="V474" i="1" l="1"/>
  <c r="Y474" i="1" s="1"/>
  <c r="AC767" i="1"/>
  <c r="AA474" i="1" l="1"/>
  <c r="Z474" i="1"/>
  <c r="AB474" i="1"/>
  <c r="AF474" i="1" s="1"/>
  <c r="W474" i="1"/>
  <c r="X474" i="1"/>
  <c r="AC768" i="1"/>
  <c r="AD474" i="1" l="1"/>
  <c r="V475" i="1" s="1"/>
  <c r="AB475" i="1" s="1"/>
  <c r="AF475" i="1" s="1"/>
  <c r="AC764" i="1"/>
  <c r="AA475" i="1" l="1"/>
  <c r="W475" i="1"/>
  <c r="AG474" i="1"/>
  <c r="X475" i="1"/>
  <c r="Z475" i="1"/>
  <c r="Y475" i="1"/>
  <c r="AC769" i="1"/>
  <c r="AD475" i="1" l="1"/>
  <c r="AG475" i="1" s="1"/>
  <c r="V476" i="1" l="1"/>
  <c r="AB476" i="1"/>
  <c r="AF476" i="1" s="1"/>
  <c r="AC770" i="1"/>
  <c r="W476" i="1" l="1"/>
  <c r="AA476" i="1"/>
  <c r="Z476" i="1"/>
  <c r="Y476" i="1"/>
  <c r="X476" i="1"/>
  <c r="AD476" i="1" l="1"/>
  <c r="AG476" i="1" s="1"/>
  <c r="AC771" i="1"/>
  <c r="V477" i="1" l="1"/>
  <c r="X477" i="1" s="1"/>
  <c r="AC772" i="1"/>
  <c r="AB477" i="1" l="1"/>
  <c r="AF477" i="1" s="1"/>
  <c r="W477" i="1"/>
  <c r="Y477" i="1"/>
  <c r="Z477" i="1"/>
  <c r="AA477" i="1"/>
  <c r="AC773" i="1"/>
  <c r="AD477" i="1" l="1"/>
  <c r="AG477" i="1" s="1"/>
  <c r="AC774" i="1"/>
  <c r="V478" i="1" l="1"/>
  <c r="X478" i="1" s="1"/>
  <c r="AA478" i="1"/>
  <c r="Z478" i="1" l="1"/>
  <c r="AB478" i="1"/>
  <c r="AF478" i="1" s="1"/>
  <c r="Y478" i="1"/>
  <c r="W478" i="1"/>
  <c r="AC775" i="1"/>
  <c r="AD478" i="1" l="1"/>
  <c r="AG478" i="1" s="1"/>
  <c r="V479" i="1"/>
  <c r="X479" i="1" s="1"/>
  <c r="AA479" i="1"/>
  <c r="Y479" i="1"/>
  <c r="Z479" i="1" l="1"/>
  <c r="AB479" i="1"/>
  <c r="W479" i="1"/>
  <c r="AC776" i="1"/>
  <c r="AD479" i="1" l="1"/>
  <c r="AG479" i="1" s="1"/>
  <c r="AF479" i="1"/>
  <c r="AC777" i="1"/>
  <c r="V480" i="1" l="1"/>
  <c r="W480" i="1"/>
  <c r="AB480" i="1"/>
  <c r="AF480" i="1" s="1"/>
  <c r="X480" i="1"/>
  <c r="Z480" i="1" l="1"/>
  <c r="Y480" i="1"/>
  <c r="AA480" i="1"/>
  <c r="AC778" i="1"/>
  <c r="AD480" i="1" l="1"/>
  <c r="AG480" i="1"/>
  <c r="V481" i="1"/>
  <c r="X481" i="1" s="1"/>
  <c r="AA481" i="1"/>
  <c r="AB481" i="1"/>
  <c r="AF481" i="1" s="1"/>
  <c r="W481" i="1" l="1"/>
  <c r="Y481" i="1"/>
  <c r="Z481" i="1"/>
  <c r="AD481" i="1"/>
  <c r="V482" i="1" s="1"/>
  <c r="X482" i="1" s="1"/>
  <c r="AC779" i="1"/>
  <c r="Y482" i="1" l="1"/>
  <c r="Z482" i="1"/>
  <c r="AA482" i="1"/>
  <c r="AG481" i="1"/>
  <c r="AB482" i="1"/>
  <c r="AF482" i="1" s="1"/>
  <c r="W482" i="1"/>
  <c r="AC780" i="1"/>
  <c r="AD482" i="1" l="1"/>
  <c r="AG482" i="1" s="1"/>
  <c r="V483" i="1" l="1"/>
  <c r="AA483" i="1" s="1"/>
  <c r="Z483" i="1"/>
  <c r="Y483" i="1"/>
  <c r="AC781" i="1"/>
  <c r="AB483" i="1" l="1"/>
  <c r="AF483" i="1" s="1"/>
  <c r="X483" i="1"/>
  <c r="W483" i="1"/>
  <c r="AC782" i="1"/>
  <c r="AD483" i="1" l="1"/>
  <c r="AG483" i="1" s="1"/>
  <c r="V484" i="1"/>
  <c r="W484" i="1" s="1"/>
  <c r="X484" i="1" l="1"/>
  <c r="Y484" i="1"/>
  <c r="AB484" i="1"/>
  <c r="AF484" i="1" s="1"/>
  <c r="Z484" i="1"/>
  <c r="AA484" i="1"/>
  <c r="AC783" i="1"/>
  <c r="AC784" i="1"/>
  <c r="AD484" i="1" l="1"/>
  <c r="V485" i="1" s="1"/>
  <c r="W485" i="1" l="1"/>
  <c r="Y485" i="1"/>
  <c r="Z485" i="1"/>
  <c r="AA485" i="1"/>
  <c r="AB485" i="1"/>
  <c r="AF485" i="1" s="1"/>
  <c r="X485" i="1"/>
  <c r="AG484" i="1"/>
  <c r="AD485" i="1" l="1"/>
  <c r="AG485" i="1" s="1"/>
  <c r="V486" i="1" l="1"/>
  <c r="X486" i="1" s="1"/>
  <c r="Y486" i="1" l="1"/>
  <c r="AA486" i="1"/>
  <c r="Z486" i="1"/>
  <c r="W486" i="1"/>
  <c r="AB486" i="1"/>
  <c r="AF486" i="1" s="1"/>
  <c r="AD486" i="1" l="1"/>
  <c r="AG486" i="1" s="1"/>
  <c r="V487" i="1" l="1"/>
  <c r="W487" i="1" s="1"/>
  <c r="AA487" i="1" l="1"/>
  <c r="Y487" i="1"/>
  <c r="X487" i="1"/>
  <c r="Z487" i="1"/>
  <c r="AB487" i="1"/>
  <c r="AF487" i="1" s="1"/>
  <c r="AD487" i="1" l="1"/>
  <c r="AG487" i="1" s="1"/>
  <c r="V488" i="1" l="1"/>
  <c r="W488" i="1" s="1"/>
  <c r="AB488" i="1" l="1"/>
  <c r="AF488" i="1" s="1"/>
  <c r="AA488" i="1"/>
  <c r="X488" i="1"/>
  <c r="Y488" i="1"/>
  <c r="Z488" i="1"/>
  <c r="AD488" i="1" l="1"/>
  <c r="AG488" i="1" s="1"/>
  <c r="V489" i="1" l="1"/>
  <c r="X489" i="1" s="1"/>
  <c r="AB489" i="1" l="1"/>
  <c r="AF489" i="1" s="1"/>
  <c r="W489" i="1"/>
  <c r="Y489" i="1"/>
  <c r="Z489" i="1"/>
  <c r="AA489" i="1"/>
  <c r="AD489" i="1" l="1"/>
  <c r="AG489" i="1" s="1"/>
  <c r="V490" i="1" l="1"/>
  <c r="W490" i="1" s="1"/>
  <c r="AB490" i="1"/>
  <c r="AF490" i="1" s="1"/>
  <c r="Z490" i="1"/>
  <c r="X490" i="1" l="1"/>
  <c r="Y490" i="1"/>
  <c r="AA490" i="1"/>
  <c r="AD490" i="1" l="1"/>
  <c r="AG490" i="1" s="1"/>
  <c r="V491" i="1" l="1"/>
  <c r="Y491" i="1"/>
  <c r="Z491" i="1"/>
  <c r="W491" i="1"/>
  <c r="AA491" i="1"/>
  <c r="X491" i="1" l="1"/>
  <c r="AB491" i="1"/>
  <c r="AF491" i="1" s="1"/>
  <c r="AD491" i="1" l="1"/>
  <c r="AG491" i="1" l="1"/>
  <c r="V492" i="1"/>
  <c r="W492" i="1" l="1"/>
  <c r="Y492" i="1"/>
  <c r="Z492" i="1"/>
  <c r="AA492" i="1"/>
  <c r="X492" i="1"/>
  <c r="AB492" i="1"/>
  <c r="AF492" i="1" s="1"/>
  <c r="AD492" i="1" l="1"/>
  <c r="AG492" i="1" l="1"/>
  <c r="V493" i="1"/>
  <c r="Z493" i="1" l="1"/>
  <c r="AA493" i="1"/>
  <c r="X493" i="1"/>
  <c r="Y493" i="1"/>
  <c r="AB493" i="1"/>
  <c r="AF493" i="1" s="1"/>
  <c r="W493" i="1"/>
  <c r="AD493" i="1" s="1"/>
  <c r="AG493" i="1" s="1"/>
  <c r="V494" i="1" l="1"/>
  <c r="AA494" i="1" s="1"/>
  <c r="Z494" i="1"/>
  <c r="Y494" i="1"/>
  <c r="AB494" i="1"/>
  <c r="AF494" i="1" s="1"/>
  <c r="W494" i="1"/>
  <c r="X494" i="1"/>
  <c r="AD494" i="1" l="1"/>
  <c r="AG494" i="1" s="1"/>
  <c r="V495" i="1" l="1"/>
  <c r="W495" i="1" s="1"/>
  <c r="Z495" i="1"/>
  <c r="AA495" i="1"/>
  <c r="Y495" i="1"/>
  <c r="X495" i="1"/>
  <c r="AB495" i="1" l="1"/>
  <c r="AF495" i="1" s="1"/>
  <c r="AD495" i="1" l="1"/>
  <c r="V496" i="1" s="1"/>
  <c r="Z496" i="1" s="1"/>
  <c r="AB496" i="1" l="1"/>
  <c r="AF496" i="1" s="1"/>
  <c r="AA496" i="1"/>
  <c r="AG495" i="1"/>
  <c r="W496" i="1"/>
  <c r="X496" i="1"/>
  <c r="Y496" i="1"/>
  <c r="AD496" i="1" l="1"/>
  <c r="AG496" i="1" s="1"/>
  <c r="V497" i="1"/>
  <c r="Z497" i="1" s="1"/>
  <c r="AA497" i="1" l="1"/>
  <c r="Y497" i="1"/>
  <c r="AB497" i="1"/>
  <c r="AF497" i="1" s="1"/>
  <c r="X497" i="1"/>
  <c r="W497" i="1"/>
  <c r="AD497" i="1" l="1"/>
  <c r="AG497" i="1" s="1"/>
  <c r="V498" i="1"/>
  <c r="Y498" i="1" s="1"/>
  <c r="Z498" i="1" l="1"/>
  <c r="X498" i="1"/>
  <c r="W498" i="1"/>
  <c r="AA498" i="1"/>
  <c r="AB498" i="1"/>
  <c r="AF498" i="1" s="1"/>
  <c r="AD498" i="1" l="1"/>
  <c r="AG498" i="1" l="1"/>
  <c r="V499" i="1"/>
  <c r="Y499" i="1" l="1"/>
  <c r="AB499" i="1"/>
  <c r="AF499" i="1" s="1"/>
  <c r="X499" i="1"/>
  <c r="Z499" i="1"/>
  <c r="W499" i="1"/>
  <c r="AA499" i="1"/>
  <c r="AD499" i="1" l="1"/>
  <c r="V500" i="1" l="1"/>
  <c r="AG499" i="1"/>
  <c r="Y500" i="1" l="1"/>
  <c r="AB500" i="1"/>
  <c r="W500" i="1"/>
  <c r="Z500" i="1"/>
  <c r="AA500" i="1"/>
  <c r="X500" i="1"/>
  <c r="AD500" i="1" l="1"/>
  <c r="AG500" i="1" s="1"/>
  <c r="AF500" i="1"/>
  <c r="V501" i="1" l="1"/>
  <c r="Z501" i="1" s="1"/>
  <c r="Y501" i="1" l="1"/>
  <c r="AB501" i="1"/>
  <c r="AF501" i="1" s="1"/>
  <c r="X501" i="1"/>
  <c r="AA501" i="1"/>
  <c r="W501" i="1"/>
  <c r="AD501" i="1" l="1"/>
  <c r="V502" i="1" s="1"/>
  <c r="AG501" i="1" l="1"/>
  <c r="Z502" i="1"/>
  <c r="AA502" i="1"/>
  <c r="Y502" i="1"/>
  <c r="AB502" i="1"/>
  <c r="AF502" i="1" s="1"/>
  <c r="X502" i="1"/>
  <c r="W502" i="1"/>
  <c r="AD502" i="1" l="1"/>
  <c r="AG502" i="1" s="1"/>
  <c r="V503" i="1" l="1"/>
  <c r="W503" i="1" s="1"/>
  <c r="AA503" i="1"/>
  <c r="Z503" i="1" l="1"/>
  <c r="Y503" i="1"/>
  <c r="X503" i="1"/>
  <c r="AB503" i="1"/>
  <c r="AF503" i="1" s="1"/>
  <c r="AD503" i="1" l="1"/>
  <c r="AG503" i="1" s="1"/>
  <c r="V504" i="1"/>
  <c r="Y504" i="1" l="1"/>
  <c r="Z504" i="1"/>
  <c r="AA504" i="1"/>
  <c r="AB504" i="1"/>
  <c r="X504" i="1"/>
  <c r="W504" i="1"/>
  <c r="AD504" i="1" l="1"/>
  <c r="AG504" i="1" l="1"/>
  <c r="V505" i="1"/>
  <c r="Y505" i="1" l="1"/>
  <c r="AA505" i="1"/>
  <c r="Z505" i="1"/>
  <c r="W505" i="1"/>
  <c r="X505" i="1"/>
  <c r="AB505" i="1"/>
  <c r="AF505" i="1" s="1"/>
  <c r="AD505" i="1" l="1"/>
  <c r="AG505" i="1" l="1"/>
  <c r="V506" i="1"/>
  <c r="AA506" i="1" l="1"/>
  <c r="Z506" i="1"/>
  <c r="Y506" i="1"/>
  <c r="AB506" i="1"/>
  <c r="AF506" i="1" s="1"/>
  <c r="W506" i="1"/>
  <c r="X506" i="1"/>
  <c r="AD506" i="1" l="1"/>
  <c r="AG506" i="1" l="1"/>
  <c r="V507" i="1"/>
  <c r="AA507" i="1" l="1"/>
  <c r="Y507" i="1"/>
  <c r="Z507" i="1"/>
  <c r="AB507" i="1"/>
  <c r="X507" i="1"/>
  <c r="W507" i="1"/>
  <c r="AD507" i="1" l="1"/>
  <c r="V508" i="1" s="1"/>
  <c r="W508" i="1" s="1"/>
  <c r="Y508" i="1" l="1"/>
  <c r="AA508" i="1"/>
  <c r="AB508" i="1"/>
  <c r="X508" i="1"/>
  <c r="Z508" i="1"/>
  <c r="AD508" i="1" l="1"/>
  <c r="V509" i="1" s="1"/>
  <c r="AA509" i="1" s="1"/>
  <c r="Z509" i="1" l="1"/>
  <c r="Y509" i="1"/>
  <c r="AB509" i="1"/>
  <c r="X509" i="1"/>
  <c r="W509" i="1"/>
  <c r="AD509" i="1" l="1"/>
  <c r="V510" i="1" s="1"/>
  <c r="X510" i="1" s="1"/>
  <c r="Z510" i="1" l="1"/>
  <c r="Y510" i="1"/>
  <c r="AB510" i="1"/>
  <c r="AA510" i="1"/>
  <c r="W510" i="1"/>
  <c r="AD510" i="1" l="1"/>
  <c r="V511" i="1" s="1"/>
  <c r="W511" i="1" s="1"/>
  <c r="AB511" i="1" l="1"/>
  <c r="Y511" i="1"/>
  <c r="Z511" i="1"/>
  <c r="X511" i="1"/>
  <c r="AA511" i="1"/>
  <c r="AD511" i="1" l="1"/>
  <c r="V512" i="1" s="1"/>
  <c r="X512" i="1" s="1"/>
  <c r="AB512" i="1" l="1"/>
  <c r="AA512" i="1"/>
  <c r="Z512" i="1"/>
  <c r="Y512" i="1"/>
  <c r="W512" i="1"/>
  <c r="AD512" i="1" l="1"/>
  <c r="V513" i="1" s="1"/>
  <c r="W513" i="1" s="1"/>
  <c r="Z513" i="1" l="1"/>
  <c r="AA513" i="1"/>
  <c r="X513" i="1"/>
  <c r="Y513" i="1"/>
  <c r="AB513" i="1"/>
  <c r="AD513" i="1" l="1"/>
  <c r="V514" i="1" s="1"/>
  <c r="X514" i="1" s="1"/>
  <c r="Y514" i="1"/>
  <c r="AA514" i="1"/>
  <c r="Z514" i="1"/>
  <c r="AB514" i="1" l="1"/>
  <c r="W514" i="1"/>
  <c r="AD514" i="1" l="1"/>
  <c r="V515" i="1" s="1"/>
  <c r="X515" i="1" s="1"/>
  <c r="Z515" i="1"/>
  <c r="AA515" i="1" l="1"/>
  <c r="Y515" i="1"/>
  <c r="AB515" i="1"/>
  <c r="W515" i="1"/>
  <c r="AD515" i="1" l="1"/>
  <c r="V516" i="1" s="1"/>
  <c r="AB516" i="1" s="1"/>
  <c r="AA516" i="1"/>
  <c r="Y516" i="1"/>
  <c r="Z516" i="1"/>
  <c r="W516" i="1"/>
  <c r="X516" i="1"/>
  <c r="AD516" i="1" l="1"/>
  <c r="V517" i="1" s="1"/>
  <c r="Y517" i="1" s="1"/>
  <c r="Z517" i="1" l="1"/>
  <c r="X517" i="1"/>
  <c r="W517" i="1"/>
  <c r="AB517" i="1"/>
  <c r="AA517" i="1"/>
  <c r="AD517" i="1" l="1"/>
  <c r="V518" i="1" s="1"/>
  <c r="AA518" i="1" s="1"/>
  <c r="Z518" i="1"/>
  <c r="AB518" i="1"/>
  <c r="X518" i="1" l="1"/>
  <c r="W518" i="1"/>
  <c r="Y518" i="1"/>
  <c r="AD518" i="1" l="1"/>
  <c r="V519" i="1" s="1"/>
  <c r="X519" i="1"/>
  <c r="AA519" i="1"/>
  <c r="Y519" i="1"/>
  <c r="W519" i="1"/>
  <c r="Z519" i="1"/>
  <c r="AB519" i="1"/>
  <c r="AD519" i="1" l="1"/>
  <c r="V520" i="1" s="1"/>
  <c r="Y520" i="1" s="1"/>
  <c r="AB520" i="1"/>
  <c r="AA520" i="1"/>
  <c r="Z520" i="1"/>
  <c r="X520" i="1" l="1"/>
  <c r="W520" i="1"/>
  <c r="AD520" i="1" l="1"/>
  <c r="V521" i="1" s="1"/>
  <c r="W521" i="1" s="1"/>
  <c r="Z521" i="1"/>
  <c r="AB521" i="1"/>
  <c r="X521" i="1"/>
  <c r="Y521" i="1"/>
  <c r="AA521" i="1"/>
  <c r="AD521" i="1" l="1"/>
  <c r="V522" i="1" s="1"/>
  <c r="W522" i="1" s="1"/>
  <c r="AB522" i="1" l="1"/>
  <c r="Z522" i="1"/>
  <c r="X522" i="1"/>
  <c r="Y522" i="1"/>
  <c r="AA522" i="1"/>
  <c r="AD522" i="1" l="1"/>
  <c r="V523" i="1" s="1"/>
  <c r="Z523" i="1" s="1"/>
  <c r="X523" i="1" l="1"/>
  <c r="W523" i="1"/>
  <c r="AA523" i="1"/>
  <c r="AB523" i="1"/>
  <c r="Y523" i="1"/>
  <c r="AD523" i="1" l="1"/>
  <c r="V524" i="1" s="1"/>
  <c r="Z524" i="1" s="1"/>
  <c r="AB524" i="1"/>
  <c r="Y524" i="1"/>
  <c r="AA524" i="1"/>
  <c r="X524" i="1" l="1"/>
  <c r="W524" i="1"/>
  <c r="AD524" i="1" l="1"/>
  <c r="V525" i="1" s="1"/>
  <c r="Y525" i="1" s="1"/>
  <c r="Z525" i="1"/>
  <c r="AA525" i="1"/>
  <c r="AB525" i="1"/>
  <c r="W525" i="1"/>
  <c r="X525" i="1"/>
  <c r="AD525" i="1" l="1"/>
  <c r="V526" i="1" s="1"/>
  <c r="W526" i="1" s="1"/>
  <c r="AB526" i="1" l="1"/>
  <c r="Y526" i="1"/>
  <c r="AA526" i="1"/>
  <c r="Z526" i="1"/>
  <c r="X526" i="1"/>
  <c r="AD526" i="1" l="1"/>
  <c r="V527" i="1" s="1"/>
  <c r="X527" i="1" s="1"/>
  <c r="AB527" i="1" l="1"/>
  <c r="W527" i="1"/>
  <c r="Z527" i="1"/>
  <c r="Y527" i="1"/>
  <c r="AA527" i="1"/>
  <c r="AD527" i="1" l="1"/>
  <c r="V528" i="1" s="1"/>
  <c r="Y528" i="1" s="1"/>
  <c r="AB528" i="1"/>
  <c r="X528" i="1" l="1"/>
  <c r="Z528" i="1"/>
  <c r="W528" i="1"/>
  <c r="AA528" i="1"/>
  <c r="AD528" i="1" l="1"/>
  <c r="V529" i="1" s="1"/>
  <c r="Z529" i="1" s="1"/>
  <c r="AB529" i="1" l="1"/>
  <c r="W529" i="1"/>
  <c r="X529" i="1"/>
  <c r="Y529" i="1"/>
  <c r="AA529" i="1"/>
  <c r="AD529" i="1" l="1"/>
  <c r="V530" i="1" s="1"/>
  <c r="Y530" i="1" s="1"/>
  <c r="Z530" i="1"/>
  <c r="AA530" i="1" l="1"/>
  <c r="AB530" i="1"/>
  <c r="W530" i="1"/>
  <c r="X530" i="1"/>
  <c r="AD530" i="1" l="1"/>
  <c r="V531" i="1" s="1"/>
  <c r="AB531" i="1" s="1"/>
  <c r="AA531" i="1"/>
  <c r="Y531" i="1"/>
  <c r="Z531" i="1"/>
  <c r="X531" i="1"/>
  <c r="W531" i="1"/>
  <c r="AD531" i="1" l="1"/>
  <c r="V532" i="1" s="1"/>
  <c r="W532" i="1" s="1"/>
  <c r="AB532" i="1" l="1"/>
  <c r="X532" i="1"/>
  <c r="AA532" i="1"/>
  <c r="Z532" i="1"/>
  <c r="Y532" i="1"/>
  <c r="AD532" i="1" l="1"/>
  <c r="V533" i="1" s="1"/>
  <c r="Z533" i="1" s="1"/>
  <c r="Y533" i="1" l="1"/>
  <c r="AA533" i="1"/>
  <c r="AB533" i="1"/>
  <c r="W533" i="1"/>
  <c r="X533" i="1"/>
  <c r="AD533" i="1" l="1"/>
  <c r="V534" i="1" s="1"/>
  <c r="W534" i="1" s="1"/>
  <c r="Y534" i="1" l="1"/>
  <c r="AA534" i="1"/>
  <c r="Z534" i="1"/>
  <c r="X534" i="1"/>
  <c r="AB534" i="1"/>
  <c r="AD534" i="1" l="1"/>
  <c r="V535" i="1" s="1"/>
  <c r="X535" i="1" s="1"/>
  <c r="AB535" i="1" l="1"/>
  <c r="AA535" i="1"/>
  <c r="Z535" i="1"/>
  <c r="W535" i="1"/>
  <c r="Y535" i="1"/>
  <c r="AD535" i="1" l="1"/>
  <c r="V536" i="1" s="1"/>
  <c r="W536" i="1" s="1"/>
  <c r="Z536" i="1"/>
  <c r="Y536" i="1"/>
  <c r="AB536" i="1" l="1"/>
  <c r="X536" i="1"/>
  <c r="AA536" i="1"/>
  <c r="AD536" i="1" s="1"/>
  <c r="V537" i="1" s="1"/>
  <c r="AA537" i="1" l="1"/>
  <c r="AB537" i="1"/>
  <c r="W537" i="1"/>
  <c r="X537" i="1"/>
  <c r="Z537" i="1"/>
  <c r="Y537" i="1"/>
  <c r="AD537" i="1" l="1"/>
  <c r="V538" i="1" s="1"/>
  <c r="X538" i="1" s="1"/>
  <c r="Z538" i="1"/>
  <c r="AA538" i="1"/>
  <c r="AB538" i="1"/>
  <c r="Y538" i="1" l="1"/>
  <c r="W538" i="1"/>
  <c r="AD538" i="1" l="1"/>
  <c r="V539" i="1" s="1"/>
  <c r="X539" i="1" s="1"/>
  <c r="Z539" i="1"/>
  <c r="AA539" i="1"/>
  <c r="Y539" i="1"/>
  <c r="AB539" i="1" l="1"/>
  <c r="W539" i="1"/>
  <c r="AD539" i="1" l="1"/>
  <c r="V540" i="1" s="1"/>
  <c r="AA540" i="1" s="1"/>
  <c r="Z540" i="1"/>
  <c r="Y540" i="1"/>
  <c r="W540" i="1" l="1"/>
  <c r="X540" i="1"/>
  <c r="AB540" i="1"/>
  <c r="AD540" i="1" s="1"/>
  <c r="V541" i="1" s="1"/>
  <c r="Z541" i="1"/>
  <c r="Y541" i="1"/>
  <c r="AA541" i="1" l="1"/>
  <c r="W541" i="1"/>
  <c r="AB541" i="1"/>
  <c r="X541" i="1"/>
  <c r="AD541" i="1" l="1"/>
  <c r="V542" i="1" s="1"/>
  <c r="W542" i="1"/>
  <c r="AB542" i="1"/>
  <c r="AA542" i="1"/>
  <c r="Z542" i="1"/>
  <c r="Y542" i="1"/>
  <c r="X542" i="1"/>
  <c r="AD542" i="1" l="1"/>
  <c r="V543" i="1" s="1"/>
  <c r="Z543" i="1" s="1"/>
  <c r="AA543" i="1"/>
  <c r="Y543" i="1"/>
  <c r="AB543" i="1"/>
  <c r="W543" i="1"/>
  <c r="X543" i="1"/>
  <c r="AD543" i="1" l="1"/>
  <c r="V544" i="1" s="1"/>
  <c r="W544" i="1" s="1"/>
  <c r="AA544" i="1" l="1"/>
  <c r="AB544" i="1"/>
  <c r="Y544" i="1"/>
  <c r="X544" i="1"/>
  <c r="Z544" i="1"/>
  <c r="AD544" i="1" l="1"/>
  <c r="V545" i="1" s="1"/>
  <c r="AA545" i="1" s="1"/>
  <c r="AB545" i="1"/>
  <c r="Y545" i="1"/>
  <c r="X545" i="1" l="1"/>
  <c r="W545" i="1"/>
  <c r="Z545" i="1"/>
  <c r="AD545" i="1" s="1"/>
  <c r="V546" i="1" s="1"/>
  <c r="AA546" i="1" s="1"/>
  <c r="Y546" i="1" l="1"/>
  <c r="Z546" i="1"/>
  <c r="W546" i="1"/>
  <c r="AB546" i="1"/>
  <c r="X546" i="1"/>
  <c r="AD546" i="1" l="1"/>
  <c r="V547" i="1" s="1"/>
  <c r="X547" i="1" s="1"/>
  <c r="Y547" i="1" l="1"/>
  <c r="Z547" i="1"/>
  <c r="AA547" i="1"/>
  <c r="AB547" i="1"/>
  <c r="W547" i="1"/>
  <c r="AD547" i="1" l="1"/>
  <c r="V548" i="1" s="1"/>
  <c r="AA548" i="1" s="1"/>
  <c r="Y548" i="1" l="1"/>
  <c r="AB548" i="1"/>
  <c r="X548" i="1"/>
  <c r="W548" i="1"/>
  <c r="Z548" i="1"/>
  <c r="AD548" i="1" l="1"/>
  <c r="V549" i="1" s="1"/>
  <c r="AB549" i="1" s="1"/>
  <c r="Z549" i="1"/>
  <c r="AA549" i="1"/>
  <c r="Y549" i="1"/>
  <c r="X549" i="1" l="1"/>
  <c r="W549" i="1"/>
  <c r="AD549" i="1"/>
  <c r="V550" i="1" s="1"/>
  <c r="Y550" i="1" s="1"/>
  <c r="AA550" i="1" l="1"/>
  <c r="Z550" i="1"/>
  <c r="W550" i="1"/>
  <c r="X550" i="1"/>
  <c r="AB550" i="1"/>
  <c r="AD550" i="1" l="1"/>
  <c r="V551" i="1" s="1"/>
  <c r="W551" i="1" s="1"/>
  <c r="Z551" i="1"/>
  <c r="AA551" i="1"/>
  <c r="Y551" i="1"/>
  <c r="AB551" i="1"/>
  <c r="X551" i="1"/>
  <c r="AD551" i="1" l="1"/>
  <c r="V552" i="1" s="1"/>
  <c r="X552" i="1" s="1"/>
  <c r="AB552" i="1" l="1"/>
  <c r="Z552" i="1"/>
  <c r="AA552" i="1"/>
  <c r="Y552" i="1"/>
  <c r="W552" i="1"/>
  <c r="AD552" i="1" l="1"/>
  <c r="V553" i="1" s="1"/>
  <c r="Z553" i="1" s="1"/>
  <c r="AB553" i="1" l="1"/>
  <c r="Y553" i="1"/>
  <c r="W553" i="1"/>
  <c r="X553" i="1"/>
  <c r="AA553" i="1"/>
  <c r="AD553" i="1" l="1"/>
  <c r="V554" i="1" s="1"/>
  <c r="AA554" i="1" s="1"/>
  <c r="Z554" i="1" l="1"/>
  <c r="AB554" i="1"/>
  <c r="Y554" i="1"/>
  <c r="X554" i="1"/>
  <c r="W554" i="1"/>
  <c r="AD554" i="1" l="1"/>
  <c r="V555" i="1" s="1"/>
  <c r="X555" i="1" s="1"/>
  <c r="Z555" i="1"/>
  <c r="Y555" i="1"/>
  <c r="AB555" i="1" l="1"/>
  <c r="AA555" i="1"/>
  <c r="W555" i="1"/>
  <c r="AD555" i="1" l="1"/>
  <c r="V556" i="1" s="1"/>
  <c r="Y556" i="1" s="1"/>
  <c r="Z556" i="1"/>
  <c r="AA556" i="1"/>
  <c r="W556" i="1" l="1"/>
  <c r="AB556" i="1"/>
  <c r="X556" i="1"/>
  <c r="AD556" i="1" l="1"/>
  <c r="V557" i="1" s="1"/>
  <c r="W557" i="1" s="1"/>
  <c r="Z557" i="1"/>
  <c r="AB557" i="1"/>
  <c r="Y557" i="1"/>
  <c r="AA557" i="1"/>
  <c r="X557" i="1" l="1"/>
  <c r="AD557" i="1"/>
  <c r="V558" i="1" s="1"/>
  <c r="AB558" i="1" s="1"/>
  <c r="AA558" i="1"/>
  <c r="Z558" i="1"/>
  <c r="Y558" i="1"/>
  <c r="W558" i="1" l="1"/>
  <c r="X558" i="1"/>
  <c r="AD558" i="1"/>
  <c r="V559" i="1" s="1"/>
  <c r="AA559" i="1" s="1"/>
  <c r="AB559" i="1"/>
  <c r="Y559" i="1"/>
  <c r="Z559" i="1"/>
  <c r="X559" i="1" l="1"/>
  <c r="W559" i="1"/>
  <c r="AD559" i="1" l="1"/>
  <c r="V560" i="1" s="1"/>
  <c r="AB560" i="1" s="1"/>
  <c r="Y560" i="1"/>
  <c r="AA560" i="1" l="1"/>
  <c r="Z560" i="1"/>
  <c r="X560" i="1"/>
  <c r="W560" i="1"/>
  <c r="AD560" i="1"/>
  <c r="V561" i="1" s="1"/>
  <c r="W561" i="1" s="1"/>
  <c r="Z561" i="1"/>
  <c r="Y561" i="1"/>
  <c r="AA561" i="1" l="1"/>
  <c r="AB561" i="1"/>
  <c r="X561" i="1"/>
  <c r="AD561" i="1" l="1"/>
  <c r="V562" i="1" s="1"/>
  <c r="AA562" i="1" s="1"/>
  <c r="AB562" i="1"/>
  <c r="Y562" i="1" l="1"/>
  <c r="W562" i="1"/>
  <c r="Z562" i="1"/>
  <c r="X562" i="1"/>
  <c r="AD562" i="1" l="1"/>
  <c r="V563" i="1" s="1"/>
  <c r="Z563" i="1" s="1"/>
  <c r="Y563" i="1"/>
  <c r="AB563" i="1"/>
  <c r="X563" i="1"/>
  <c r="AA563" i="1"/>
  <c r="W563" i="1"/>
  <c r="AD563" i="1" l="1"/>
  <c r="V564" i="1" s="1"/>
  <c r="W564" i="1" s="1"/>
  <c r="Z564" i="1"/>
  <c r="Y564" i="1"/>
  <c r="AB564" i="1"/>
  <c r="X564" i="1" l="1"/>
  <c r="AA564" i="1"/>
  <c r="AD564" i="1" s="1"/>
  <c r="V565" i="1" s="1"/>
  <c r="X565" i="1" l="1"/>
  <c r="Z565" i="1"/>
  <c r="AB565" i="1"/>
  <c r="W565" i="1"/>
  <c r="Y565" i="1"/>
  <c r="AA565" i="1"/>
  <c r="AD565" i="1" l="1"/>
  <c r="V566" i="1" s="1"/>
  <c r="AA566" i="1" s="1"/>
  <c r="Y566" i="1"/>
  <c r="AB566" i="1"/>
  <c r="Z566" i="1"/>
  <c r="X566" i="1" l="1"/>
  <c r="W566" i="1"/>
  <c r="AD566" i="1"/>
  <c r="V567" i="1" s="1"/>
  <c r="X567" i="1" s="1"/>
  <c r="AB567" i="1"/>
  <c r="AA567" i="1"/>
  <c r="W567" i="1"/>
  <c r="Y567" i="1"/>
  <c r="Z567" i="1"/>
  <c r="AD567" i="1" l="1"/>
  <c r="V568" i="1" s="1"/>
  <c r="X568" i="1" s="1"/>
  <c r="AB568" i="1"/>
  <c r="AA568" i="1"/>
  <c r="Y568" i="1"/>
  <c r="Z568" i="1" l="1"/>
  <c r="W568" i="1"/>
  <c r="AD568" i="1"/>
  <c r="V569" i="1" s="1"/>
  <c r="X569" i="1" s="1"/>
  <c r="AB569" i="1" l="1"/>
  <c r="Z569" i="1"/>
  <c r="W569" i="1"/>
  <c r="AA569" i="1"/>
  <c r="Y569" i="1"/>
  <c r="AD569" i="1" l="1"/>
  <c r="V570" i="1" s="1"/>
  <c r="X570" i="1" s="1"/>
  <c r="AA570" i="1"/>
  <c r="Y570" i="1"/>
  <c r="Z570" i="1"/>
  <c r="AB570" i="1" l="1"/>
  <c r="W570" i="1"/>
  <c r="AD570" i="1" l="1"/>
  <c r="V571" i="1" s="1"/>
  <c r="AB571" i="1" s="1"/>
  <c r="Z571" i="1"/>
  <c r="Y571" i="1"/>
  <c r="AA571" i="1" l="1"/>
  <c r="W571" i="1"/>
  <c r="X571" i="1"/>
  <c r="AD571" i="1" l="1"/>
  <c r="V572" i="1" s="1"/>
  <c r="AA572" i="1" s="1"/>
  <c r="Z572" i="1"/>
  <c r="Y572" i="1"/>
  <c r="AB572" i="1"/>
  <c r="X572" i="1"/>
  <c r="W572" i="1"/>
  <c r="AD572" i="1" l="1"/>
  <c r="V573" i="1" s="1"/>
  <c r="W573" i="1" s="1"/>
  <c r="Z573" i="1"/>
  <c r="AA573" i="1"/>
  <c r="Y573" i="1" l="1"/>
  <c r="AB573" i="1"/>
  <c r="X573" i="1"/>
  <c r="AD573" i="1" l="1"/>
  <c r="V574" i="1" s="1"/>
  <c r="W574" i="1" s="1"/>
  <c r="Z574" i="1"/>
  <c r="Y574" i="1"/>
  <c r="AA574" i="1"/>
  <c r="AB574" i="1" l="1"/>
  <c r="X574" i="1"/>
  <c r="AD574" i="1" l="1"/>
  <c r="V575" i="1" s="1"/>
  <c r="W575" i="1" s="1"/>
  <c r="X575" i="1"/>
  <c r="Y575" i="1"/>
  <c r="Z575" i="1"/>
  <c r="AB575" i="1"/>
  <c r="AA575" i="1"/>
  <c r="AD575" i="1" l="1"/>
  <c r="V576" i="1" s="1"/>
  <c r="X576" i="1" s="1"/>
  <c r="AB576" i="1"/>
  <c r="W576" i="1" l="1"/>
  <c r="AA576" i="1"/>
  <c r="Y576" i="1"/>
  <c r="Z576" i="1"/>
  <c r="AD576" i="1" l="1"/>
  <c r="V577" i="1" s="1"/>
  <c r="AB577" i="1" s="1"/>
  <c r="Z577" i="1"/>
  <c r="Y577" i="1"/>
  <c r="AA577" i="1"/>
  <c r="W577" i="1" l="1"/>
  <c r="X577" i="1"/>
  <c r="AD577" i="1" s="1"/>
  <c r="V578" i="1" s="1"/>
  <c r="AA578" i="1" s="1"/>
  <c r="AB578" i="1" l="1"/>
  <c r="X578" i="1"/>
  <c r="W578" i="1"/>
  <c r="Y578" i="1"/>
  <c r="Z578" i="1"/>
  <c r="AD578" i="1" l="1"/>
  <c r="V579" i="1" s="1"/>
  <c r="X579" i="1" s="1"/>
  <c r="Z579" i="1"/>
  <c r="AA579" i="1"/>
  <c r="W579" i="1"/>
  <c r="AB579" i="1" l="1"/>
  <c r="Y579" i="1"/>
  <c r="AD579" i="1" l="1"/>
  <c r="V580" i="1" s="1"/>
  <c r="X580" i="1" s="1"/>
  <c r="Y580" i="1"/>
  <c r="AA580" i="1"/>
  <c r="AB580" i="1"/>
  <c r="W580" i="1"/>
  <c r="Z580" i="1"/>
  <c r="AD580" i="1" l="1"/>
  <c r="V581" i="1" s="1"/>
  <c r="W581" i="1" s="1"/>
  <c r="Z581" i="1" l="1"/>
  <c r="AA581" i="1"/>
  <c r="X581" i="1"/>
  <c r="AB581" i="1"/>
  <c r="Y581" i="1"/>
  <c r="AD581" i="1" l="1"/>
  <c r="V582" i="1" s="1"/>
  <c r="X582" i="1" s="1"/>
  <c r="AA582" i="1" l="1"/>
  <c r="W582" i="1"/>
  <c r="Y582" i="1"/>
  <c r="AB582" i="1"/>
  <c r="Z582" i="1"/>
  <c r="AD582" i="1" l="1"/>
  <c r="V583" i="1" s="1"/>
  <c r="W583" i="1" s="1"/>
  <c r="AA583" i="1" l="1"/>
  <c r="Z583" i="1"/>
  <c r="AB583" i="1"/>
  <c r="X583" i="1"/>
  <c r="Y583" i="1"/>
  <c r="AD583" i="1" l="1"/>
  <c r="V584" i="1" s="1"/>
  <c r="Y584" i="1" s="1"/>
  <c r="AB584" i="1" l="1"/>
  <c r="Z584" i="1"/>
  <c r="W584" i="1"/>
  <c r="X584" i="1"/>
  <c r="AA584" i="1"/>
  <c r="AD584" i="1" l="1"/>
  <c r="V585" i="1" s="1"/>
  <c r="W585" i="1" s="1"/>
  <c r="AB585" i="1"/>
  <c r="Z585" i="1" l="1"/>
  <c r="X585" i="1"/>
  <c r="Y585" i="1"/>
  <c r="AA585" i="1"/>
  <c r="AD585" i="1" l="1"/>
  <c r="V586" i="1" s="1"/>
  <c r="W586" i="1" s="1"/>
  <c r="Y586" i="1"/>
  <c r="AA586" i="1"/>
  <c r="Z586" i="1"/>
  <c r="AB586" i="1" l="1"/>
  <c r="X586" i="1"/>
  <c r="AD586" i="1" l="1"/>
  <c r="V587" i="1" s="1"/>
  <c r="X587" i="1" s="1"/>
  <c r="AB587" i="1"/>
  <c r="W587" i="1"/>
  <c r="Z587" i="1"/>
  <c r="Y587" i="1"/>
  <c r="AA587" i="1"/>
  <c r="AD587" i="1" l="1"/>
  <c r="V588" i="1" s="1"/>
  <c r="W588" i="1" s="1"/>
  <c r="AB588" i="1"/>
  <c r="Y588" i="1"/>
  <c r="Z588" i="1"/>
  <c r="X588" i="1" l="1"/>
  <c r="AA588" i="1"/>
  <c r="AD588" i="1" s="1"/>
  <c r="V589" i="1" s="1"/>
  <c r="W589" i="1" l="1"/>
  <c r="Z589" i="1"/>
  <c r="X589" i="1"/>
  <c r="AB589" i="1"/>
  <c r="Y589" i="1"/>
  <c r="AA589" i="1"/>
  <c r="AD589" i="1" l="1"/>
  <c r="V590" i="1" s="1"/>
  <c r="W590" i="1" s="1"/>
  <c r="Y590" i="1"/>
  <c r="AB590" i="1" l="1"/>
  <c r="AA590" i="1"/>
  <c r="Z590" i="1"/>
  <c r="X590" i="1"/>
  <c r="AD590" i="1" l="1"/>
  <c r="V591" i="1" s="1"/>
  <c r="X591" i="1" s="1"/>
  <c r="AA591" i="1"/>
  <c r="Y591" i="1"/>
  <c r="Z591" i="1"/>
  <c r="AB591" i="1" l="1"/>
  <c r="W591" i="1"/>
  <c r="AD591" i="1" l="1"/>
  <c r="V592" i="1" s="1"/>
  <c r="Z592" i="1" s="1"/>
  <c r="AA592" i="1"/>
  <c r="Y592" i="1"/>
  <c r="AB592" i="1"/>
  <c r="X592" i="1"/>
  <c r="W592" i="1"/>
  <c r="AD592" i="1" l="1"/>
  <c r="V593" i="1" s="1"/>
  <c r="Y593" i="1" s="1"/>
  <c r="Z593" i="1"/>
  <c r="AB593" i="1"/>
  <c r="W593" i="1"/>
  <c r="X593" i="1"/>
  <c r="AA593" i="1"/>
  <c r="AD593" i="1" l="1"/>
  <c r="V594" i="1" s="1"/>
  <c r="AB594" i="1" s="1"/>
  <c r="Y594" i="1"/>
  <c r="Z594" i="1"/>
  <c r="AA594" i="1"/>
  <c r="X594" i="1" l="1"/>
  <c r="W594" i="1"/>
  <c r="AD594" i="1" l="1"/>
  <c r="V595" i="1" s="1"/>
  <c r="X595" i="1" s="1"/>
  <c r="AB595" i="1"/>
  <c r="Z595" i="1" l="1"/>
  <c r="Y595" i="1"/>
  <c r="AA595" i="1"/>
  <c r="W595" i="1"/>
  <c r="AD595" i="1" s="1"/>
  <c r="V596" i="1" s="1"/>
  <c r="Y596" i="1"/>
  <c r="AA596" i="1"/>
  <c r="Z596" i="1" l="1"/>
  <c r="AB596" i="1"/>
  <c r="X596" i="1"/>
  <c r="W596" i="1"/>
  <c r="AD596" i="1"/>
  <c r="V597" i="1" s="1"/>
  <c r="Y597" i="1" s="1"/>
  <c r="Z597" i="1"/>
  <c r="AA597" i="1"/>
  <c r="AB597" i="1" l="1"/>
  <c r="X597" i="1"/>
  <c r="W597" i="1"/>
  <c r="AD597" i="1" l="1"/>
  <c r="V598" i="1" s="1"/>
  <c r="AB598" i="1" s="1"/>
  <c r="X598" i="1"/>
  <c r="Y598" i="1"/>
  <c r="W598" i="1"/>
  <c r="Z598" i="1"/>
  <c r="AA598" i="1"/>
  <c r="AD598" i="1" l="1"/>
  <c r="V599" i="1" s="1"/>
  <c r="W599" i="1" s="1"/>
  <c r="AB599" i="1"/>
  <c r="AA599" i="1"/>
  <c r="Z599" i="1"/>
  <c r="Y599" i="1" l="1"/>
  <c r="X599" i="1"/>
  <c r="AD599" i="1" s="1"/>
  <c r="V600" i="1" s="1"/>
  <c r="AA600" i="1" s="1"/>
  <c r="Z600" i="1" l="1"/>
  <c r="Y600" i="1"/>
  <c r="AB600" i="1"/>
  <c r="W600" i="1"/>
  <c r="X600" i="1"/>
  <c r="AD600" i="1" l="1"/>
  <c r="V601" i="1" s="1"/>
  <c r="X601" i="1" s="1"/>
  <c r="Z601" i="1"/>
  <c r="Y601" i="1" l="1"/>
  <c r="AB601" i="1"/>
  <c r="AA601" i="1"/>
  <c r="W601" i="1"/>
  <c r="AD601" i="1" l="1"/>
  <c r="V602" i="1" s="1"/>
  <c r="X602" i="1" s="1"/>
  <c r="AA602" i="1"/>
  <c r="Z602" i="1"/>
  <c r="AB602" i="1" l="1"/>
  <c r="W602" i="1"/>
  <c r="Y602" i="1"/>
  <c r="AD602" i="1" s="1"/>
  <c r="V603" i="1" s="1"/>
  <c r="Z603" i="1" l="1"/>
  <c r="X603" i="1"/>
  <c r="AA603" i="1"/>
  <c r="Y603" i="1"/>
  <c r="AB603" i="1"/>
  <c r="W603" i="1"/>
  <c r="AD603" i="1" l="1"/>
  <c r="V604" i="1" s="1"/>
  <c r="W604" i="1" s="1"/>
  <c r="AA604" i="1"/>
  <c r="Z604" i="1"/>
  <c r="Y604" i="1" l="1"/>
  <c r="X604" i="1"/>
  <c r="AB604" i="1"/>
  <c r="AD604" i="1" s="1"/>
  <c r="V605" i="1" s="1"/>
  <c r="Y605" i="1" l="1"/>
  <c r="AA605" i="1"/>
  <c r="AB605" i="1"/>
  <c r="Z605" i="1"/>
  <c r="X605" i="1"/>
  <c r="W605" i="1"/>
  <c r="AD605" i="1" l="1"/>
  <c r="V606" i="1" s="1"/>
  <c r="W606" i="1" s="1"/>
  <c r="AB606" i="1"/>
  <c r="Z606" i="1" l="1"/>
  <c r="X606" i="1"/>
  <c r="Y606" i="1"/>
  <c r="AA606" i="1"/>
  <c r="AD606" i="1" l="1"/>
  <c r="V607" i="1" s="1"/>
  <c r="AA607" i="1" s="1"/>
  <c r="Z607" i="1"/>
  <c r="AB607" i="1"/>
  <c r="Y607" i="1"/>
  <c r="W607" i="1" l="1"/>
  <c r="X607" i="1"/>
  <c r="AD607" i="1" l="1"/>
  <c r="V608" i="1" s="1"/>
  <c r="X608" i="1"/>
  <c r="W608" i="1"/>
  <c r="AB608" i="1"/>
  <c r="Y608" i="1" l="1"/>
  <c r="Z608" i="1"/>
  <c r="AA608" i="1"/>
  <c r="AD608" i="1" l="1"/>
  <c r="V609" i="1" s="1"/>
  <c r="X609" i="1" l="1"/>
  <c r="Z609" i="1"/>
  <c r="Y609" i="1"/>
  <c r="AB609" i="1"/>
  <c r="W609" i="1"/>
  <c r="AA609" i="1"/>
  <c r="AD609" i="1" l="1"/>
  <c r="V610" i="1" s="1"/>
  <c r="AB610" i="1"/>
  <c r="X610" i="1"/>
  <c r="W610" i="1"/>
  <c r="Z610" i="1"/>
  <c r="Y610" i="1"/>
  <c r="AA610" i="1"/>
  <c r="AD610" i="1" l="1"/>
  <c r="V611" i="1" s="1"/>
  <c r="Z611" i="1"/>
  <c r="AA611" i="1"/>
  <c r="W611" i="1" l="1"/>
  <c r="AB611" i="1"/>
  <c r="Y611" i="1"/>
  <c r="X611" i="1"/>
  <c r="AD611" i="1" s="1"/>
  <c r="V612" i="1" s="1"/>
  <c r="AB612" i="1" l="1"/>
  <c r="X612" i="1"/>
  <c r="W612" i="1"/>
  <c r="Z612" i="1"/>
  <c r="AA612" i="1"/>
  <c r="Y612" i="1"/>
  <c r="AD612" i="1" l="1"/>
  <c r="V613" i="1" s="1"/>
  <c r="AB613" i="1" l="1"/>
  <c r="Z613" i="1"/>
  <c r="Y613" i="1"/>
  <c r="X613" i="1"/>
  <c r="W613" i="1"/>
  <c r="AA613" i="1"/>
  <c r="AD613" i="1" l="1"/>
  <c r="V614" i="1" s="1"/>
  <c r="AA614" i="1" l="1"/>
  <c r="Z614" i="1"/>
  <c r="AB614" i="1"/>
  <c r="Y614" i="1"/>
  <c r="X614" i="1"/>
  <c r="W614" i="1"/>
  <c r="AD614" i="1" l="1"/>
  <c r="V615" i="1" s="1"/>
  <c r="X615" i="1" l="1"/>
  <c r="AB615" i="1"/>
  <c r="W615" i="1"/>
  <c r="AA615" i="1"/>
  <c r="Y615" i="1"/>
  <c r="Z615" i="1"/>
  <c r="AD615" i="1" l="1"/>
  <c r="V616" i="1" s="1"/>
  <c r="Y616" i="1"/>
  <c r="AA616" i="1" l="1"/>
  <c r="AB616" i="1"/>
  <c r="X616" i="1"/>
  <c r="W616" i="1"/>
  <c r="Z616" i="1"/>
  <c r="AD616" i="1" s="1"/>
  <c r="V617" i="1" s="1"/>
  <c r="Z617" i="1" l="1"/>
  <c r="W617" i="1"/>
  <c r="AB617" i="1"/>
  <c r="X617" i="1"/>
  <c r="Y617" i="1"/>
  <c r="AA617" i="1"/>
  <c r="AD617" i="1" l="1"/>
  <c r="V618" i="1" s="1"/>
  <c r="Y618" i="1" l="1"/>
  <c r="AA618" i="1"/>
  <c r="AB618" i="1"/>
  <c r="W618" i="1"/>
  <c r="X618" i="1"/>
  <c r="Z618" i="1"/>
  <c r="AD618" i="1" l="1"/>
  <c r="V619" i="1" s="1"/>
  <c r="Z619" i="1"/>
  <c r="W619" i="1" l="1"/>
  <c r="AB619" i="1"/>
  <c r="X619" i="1"/>
  <c r="Y619" i="1"/>
  <c r="AA619" i="1"/>
  <c r="AD619" i="1" l="1"/>
  <c r="V620" i="1" s="1"/>
  <c r="X620" i="1" s="1"/>
  <c r="W620" i="1"/>
  <c r="AB620" i="1"/>
  <c r="Y620" i="1"/>
  <c r="AA620" i="1"/>
  <c r="Z620" i="1"/>
  <c r="AD620" i="1" l="1"/>
  <c r="V621" i="1" s="1"/>
  <c r="X621" i="1" l="1"/>
  <c r="AB621" i="1"/>
  <c r="AA621" i="1"/>
  <c r="W621" i="1"/>
  <c r="Y621" i="1"/>
  <c r="Z621" i="1"/>
  <c r="AD621" i="1" l="1"/>
  <c r="V622" i="1" s="1"/>
  <c r="Z622" i="1" s="1"/>
  <c r="AA622" i="1" l="1"/>
  <c r="AB622" i="1"/>
  <c r="W622" i="1"/>
  <c r="X622" i="1"/>
  <c r="Y622" i="1"/>
  <c r="AD622" i="1" s="1"/>
  <c r="V623" i="1" s="1"/>
  <c r="Z623" i="1"/>
  <c r="X623" i="1" l="1"/>
  <c r="AB623" i="1"/>
  <c r="W623" i="1"/>
  <c r="AA623" i="1"/>
  <c r="Y623" i="1"/>
  <c r="AD623" i="1" l="1"/>
  <c r="V624" i="1" s="1"/>
  <c r="AA624" i="1"/>
  <c r="Z624" i="1"/>
  <c r="Y624" i="1"/>
  <c r="X624" i="1" l="1"/>
  <c r="W624" i="1"/>
  <c r="AB624" i="1"/>
  <c r="AD624" i="1" l="1"/>
  <c r="V625" i="1" s="1"/>
  <c r="AB625" i="1" l="1"/>
  <c r="X625" i="1"/>
  <c r="W625" i="1"/>
  <c r="Z625" i="1"/>
  <c r="Y625" i="1"/>
  <c r="AA625" i="1"/>
  <c r="AD625" i="1" l="1"/>
  <c r="V626" i="1" s="1"/>
  <c r="Z626" i="1"/>
  <c r="AB626" i="1"/>
  <c r="X626" i="1"/>
  <c r="W626" i="1"/>
  <c r="Y626" i="1"/>
  <c r="AA626" i="1"/>
  <c r="AD626" i="1" l="1"/>
  <c r="V627" i="1" s="1"/>
  <c r="X627" i="1" s="1"/>
  <c r="W627" i="1"/>
  <c r="AB627" i="1"/>
  <c r="Y627" i="1"/>
  <c r="Z627" i="1"/>
  <c r="AA627" i="1"/>
  <c r="AD627" i="1" l="1"/>
  <c r="V628" i="1" s="1"/>
  <c r="Y628" i="1" s="1"/>
  <c r="Z628" i="1"/>
  <c r="W628" i="1" l="1"/>
  <c r="X628" i="1"/>
  <c r="AB628" i="1"/>
  <c r="AA628" i="1"/>
  <c r="AD628" i="1" l="1"/>
  <c r="V629" i="1" s="1"/>
  <c r="Z629" i="1"/>
  <c r="AB629" i="1"/>
  <c r="AA629" i="1"/>
  <c r="Y629" i="1"/>
  <c r="W629" i="1"/>
  <c r="X629" i="1"/>
  <c r="AD629" i="1"/>
  <c r="V630" i="1" s="1"/>
  <c r="W630" i="1" s="1"/>
  <c r="AB630" i="1"/>
  <c r="Y630" i="1" l="1"/>
  <c r="X630" i="1"/>
  <c r="AA630" i="1"/>
  <c r="Z630" i="1"/>
  <c r="AD630" i="1" s="1"/>
  <c r="V631" i="1" s="1"/>
  <c r="AA631" i="1" l="1"/>
  <c r="AB631" i="1"/>
  <c r="W631" i="1"/>
  <c r="X631" i="1"/>
  <c r="Z631" i="1"/>
  <c r="Y631" i="1"/>
  <c r="AD631" i="1"/>
  <c r="V632" i="1" s="1"/>
  <c r="X632" i="1" s="1"/>
  <c r="AB632" i="1" l="1"/>
  <c r="AA632" i="1"/>
  <c r="W632" i="1"/>
  <c r="Y632" i="1"/>
  <c r="Z632" i="1"/>
  <c r="AD632" i="1" l="1"/>
  <c r="V633" i="1" s="1"/>
  <c r="X633" i="1" s="1"/>
  <c r="Z633" i="1"/>
  <c r="Y633" i="1"/>
  <c r="AB633" i="1"/>
  <c r="AA633" i="1"/>
  <c r="W633" i="1" l="1"/>
  <c r="AD633" i="1"/>
  <c r="V634" i="1" s="1"/>
  <c r="X634" i="1" s="1"/>
  <c r="Y634" i="1"/>
  <c r="AB634" i="1" l="1"/>
  <c r="Z634" i="1"/>
  <c r="W634" i="1"/>
  <c r="AA634" i="1"/>
  <c r="AD634" i="1" l="1"/>
  <c r="V635" i="1" s="1"/>
  <c r="W635" i="1" s="1"/>
  <c r="Y635" i="1"/>
  <c r="AB635" i="1"/>
  <c r="Z635" i="1"/>
  <c r="X635" i="1"/>
  <c r="AA635" i="1"/>
  <c r="AD635" i="1" l="1"/>
  <c r="V636" i="1" s="1"/>
  <c r="X636" i="1" s="1"/>
  <c r="AB636" i="1"/>
  <c r="Z636" i="1"/>
  <c r="Y636" i="1"/>
  <c r="AA636" i="1"/>
  <c r="W636" i="1"/>
  <c r="AD636" i="1" l="1"/>
  <c r="V637" i="1" s="1"/>
  <c r="Y637" i="1" s="1"/>
  <c r="W637" i="1" l="1"/>
  <c r="AA637" i="1"/>
  <c r="AB637" i="1"/>
  <c r="Z637" i="1"/>
  <c r="X637" i="1"/>
  <c r="AD637" i="1" l="1"/>
  <c r="V638" i="1" s="1"/>
  <c r="AA638" i="1" s="1"/>
  <c r="AB638" i="1" l="1"/>
  <c r="W638" i="1"/>
  <c r="Z638" i="1"/>
  <c r="X638" i="1"/>
  <c r="Y638" i="1"/>
  <c r="AD638" i="1" l="1"/>
  <c r="V639" i="1" s="1"/>
  <c r="W639" i="1" s="1"/>
  <c r="Y639" i="1" l="1"/>
  <c r="Z639" i="1"/>
  <c r="AB639" i="1"/>
  <c r="AA639" i="1"/>
  <c r="X639" i="1"/>
  <c r="AD639" i="1" l="1"/>
  <c r="V640" i="1" s="1"/>
  <c r="X640" i="1" s="1"/>
  <c r="AB640" i="1"/>
  <c r="Z640" i="1" l="1"/>
  <c r="W640" i="1"/>
  <c r="AA640" i="1"/>
  <c r="Y640" i="1"/>
  <c r="AD640" i="1" s="1"/>
  <c r="V641" i="1" s="1"/>
  <c r="Y641" i="1" l="1"/>
  <c r="X641" i="1"/>
  <c r="W641" i="1"/>
  <c r="Z641" i="1"/>
  <c r="AA641" i="1"/>
  <c r="AB641" i="1"/>
  <c r="AD641" i="1" l="1"/>
  <c r="V642" i="1" s="1"/>
  <c r="AA642" i="1" s="1"/>
  <c r="AB642" i="1"/>
  <c r="Z642" i="1"/>
  <c r="X642" i="1"/>
  <c r="Y642" i="1"/>
  <c r="W642" i="1" l="1"/>
  <c r="AD642" i="1" s="1"/>
  <c r="V643" i="1" s="1"/>
  <c r="Y643" i="1" s="1"/>
  <c r="Z643" i="1"/>
  <c r="AA643" i="1" l="1"/>
  <c r="X643" i="1"/>
  <c r="AB643" i="1"/>
  <c r="W643" i="1"/>
  <c r="AD643" i="1" l="1"/>
  <c r="V644" i="1" s="1"/>
  <c r="X644" i="1" s="1"/>
  <c r="Y644" i="1"/>
  <c r="AA644" i="1"/>
  <c r="AB644" i="1"/>
  <c r="W644" i="1"/>
  <c r="Z644" i="1"/>
  <c r="AD644" i="1" l="1"/>
  <c r="V645" i="1" s="1"/>
  <c r="Z645" i="1" s="1"/>
  <c r="Y645" i="1" l="1"/>
  <c r="AA645" i="1"/>
  <c r="AB645" i="1"/>
  <c r="X645" i="1"/>
  <c r="W645" i="1"/>
  <c r="AD645" i="1" l="1"/>
  <c r="V646" i="1" s="1"/>
  <c r="Z646" i="1" s="1"/>
  <c r="AB646" i="1" l="1"/>
  <c r="X646" i="1"/>
  <c r="AA646" i="1"/>
  <c r="W646" i="1"/>
  <c r="Y646" i="1"/>
  <c r="AD646" i="1" l="1"/>
  <c r="V647" i="1" s="1"/>
  <c r="Z647" i="1"/>
  <c r="Y647" i="1" l="1"/>
  <c r="AA647" i="1"/>
  <c r="AB647" i="1"/>
  <c r="X647" i="1"/>
  <c r="W647" i="1"/>
  <c r="AD647" i="1" s="1"/>
  <c r="V648" i="1" s="1"/>
  <c r="Y648" i="1"/>
  <c r="AA648" i="1"/>
  <c r="Z648" i="1" l="1"/>
  <c r="W648" i="1"/>
  <c r="X648" i="1"/>
  <c r="AB648" i="1"/>
  <c r="AD648" i="1" l="1"/>
  <c r="V649" i="1" s="1"/>
  <c r="AA649" i="1" s="1"/>
  <c r="AB649" i="1" l="1"/>
  <c r="W649" i="1"/>
  <c r="Y649" i="1"/>
  <c r="Z649" i="1"/>
  <c r="X649" i="1"/>
  <c r="AD649" i="1" l="1"/>
  <c r="V650" i="1" s="1"/>
  <c r="X650" i="1" s="1"/>
  <c r="Z650" i="1"/>
  <c r="Y650" i="1"/>
  <c r="AA650" i="1"/>
  <c r="W650" i="1"/>
  <c r="AB650" i="1"/>
  <c r="AD650" i="1" l="1"/>
  <c r="V651" i="1" s="1"/>
  <c r="AA651" i="1" s="1"/>
  <c r="AB651" i="1"/>
  <c r="Y651" i="1" l="1"/>
  <c r="Z651" i="1"/>
  <c r="W651" i="1"/>
  <c r="X651" i="1"/>
  <c r="AD651" i="1" l="1"/>
  <c r="V652" i="1" s="1"/>
  <c r="AA652" i="1" s="1"/>
  <c r="Z652" i="1"/>
  <c r="AB652" i="1"/>
  <c r="Y652" i="1"/>
  <c r="X652" i="1"/>
  <c r="W652" i="1"/>
  <c r="AD652" i="1" l="1"/>
  <c r="V653" i="1" s="1"/>
  <c r="Y653" i="1" s="1"/>
  <c r="AB653" i="1"/>
  <c r="Z653" i="1" l="1"/>
  <c r="AA653" i="1"/>
  <c r="X653" i="1"/>
  <c r="W653" i="1"/>
  <c r="AD653" i="1" l="1"/>
  <c r="V654" i="1" s="1"/>
  <c r="X654" i="1" s="1"/>
  <c r="Y654" i="1"/>
  <c r="AB654" i="1"/>
  <c r="Z654" i="1" l="1"/>
  <c r="AA654" i="1"/>
  <c r="W654" i="1"/>
  <c r="AD654" i="1" s="1"/>
  <c r="V655" i="1" s="1"/>
  <c r="AA655" i="1" s="1"/>
  <c r="Z655" i="1" l="1"/>
  <c r="Y655" i="1"/>
  <c r="X655" i="1"/>
  <c r="W655" i="1"/>
  <c r="AB655" i="1"/>
  <c r="AD655" i="1" s="1"/>
  <c r="V656" i="1" s="1"/>
  <c r="W656" i="1" s="1"/>
  <c r="Z656" i="1" l="1"/>
  <c r="AB656" i="1"/>
  <c r="X656" i="1"/>
  <c r="AA656" i="1"/>
  <c r="Y656" i="1"/>
  <c r="AD656" i="1" l="1"/>
  <c r="V657" i="1" s="1"/>
  <c r="X657" i="1" s="1"/>
  <c r="Y657" i="1" l="1"/>
  <c r="Z657" i="1"/>
  <c r="AA657" i="1"/>
  <c r="W657" i="1"/>
  <c r="AB657" i="1"/>
  <c r="AD657" i="1" s="1"/>
  <c r="V658" i="1" s="1"/>
  <c r="W658" i="1" s="1"/>
  <c r="AB658" i="1" l="1"/>
  <c r="X658" i="1"/>
  <c r="Z658" i="1"/>
  <c r="AA658" i="1"/>
  <c r="Y658" i="1"/>
  <c r="AD658" i="1" l="1"/>
  <c r="V659" i="1" s="1"/>
  <c r="Z659" i="1" s="1"/>
  <c r="AB659" i="1" l="1"/>
  <c r="X659" i="1"/>
  <c r="W659" i="1"/>
  <c r="AA659" i="1"/>
  <c r="Y659" i="1"/>
  <c r="AD659" i="1" l="1"/>
  <c r="V660" i="1" s="1"/>
  <c r="X660" i="1" s="1"/>
  <c r="AA660" i="1"/>
  <c r="Z660" i="1"/>
  <c r="W660" i="1" l="1"/>
  <c r="AB660" i="1"/>
  <c r="Y660" i="1"/>
  <c r="AD660" i="1" l="1"/>
  <c r="V661" i="1" s="1"/>
  <c r="AB661" i="1" s="1"/>
  <c r="Z661" i="1"/>
  <c r="AA661" i="1"/>
  <c r="Y661" i="1"/>
  <c r="W661" i="1" l="1"/>
  <c r="X661" i="1"/>
  <c r="AD661" i="1" l="1"/>
  <c r="V662" i="1" s="1"/>
  <c r="W662" i="1" s="1"/>
  <c r="AB662" i="1"/>
  <c r="Z662" i="1"/>
  <c r="X662" i="1"/>
  <c r="Y662" i="1"/>
  <c r="AA662" i="1" l="1"/>
  <c r="AD662" i="1"/>
  <c r="V663" i="1" s="1"/>
  <c r="X663" i="1" s="1"/>
  <c r="Y663" i="1"/>
  <c r="Z663" i="1"/>
  <c r="AA663" i="1"/>
  <c r="AB663" i="1" l="1"/>
  <c r="W663" i="1"/>
  <c r="AD663" i="1" l="1"/>
  <c r="V664" i="1" s="1"/>
  <c r="Y664" i="1" s="1"/>
  <c r="W664" i="1"/>
  <c r="AA664" i="1"/>
  <c r="AB664" i="1"/>
  <c r="Z664" i="1"/>
  <c r="X664" i="1" l="1"/>
  <c r="AD664" i="1"/>
  <c r="V665" i="1" s="1"/>
  <c r="AB665" i="1" s="1"/>
  <c r="X665" i="1" l="1"/>
  <c r="Z665" i="1"/>
  <c r="AA665" i="1"/>
  <c r="W665" i="1"/>
  <c r="Y665" i="1"/>
  <c r="AD665" i="1" l="1"/>
  <c r="V666" i="1" s="1"/>
  <c r="X666" i="1" s="1"/>
  <c r="AA666" i="1"/>
  <c r="Z666" i="1"/>
  <c r="AB666" i="1" l="1"/>
  <c r="W666" i="1"/>
  <c r="Y666" i="1"/>
  <c r="AD666" i="1" l="1"/>
  <c r="V667" i="1" s="1"/>
  <c r="W667" i="1" s="1"/>
  <c r="AA667" i="1"/>
  <c r="Y667" i="1"/>
  <c r="Z667" i="1"/>
  <c r="AB667" i="1" l="1"/>
  <c r="X667" i="1"/>
  <c r="AD667" i="1" l="1"/>
  <c r="V668" i="1" s="1"/>
  <c r="AB668" i="1"/>
  <c r="Z668" i="1"/>
  <c r="Y668" i="1"/>
  <c r="X668" i="1" l="1"/>
  <c r="AA668" i="1"/>
  <c r="W668" i="1"/>
  <c r="AD668" i="1"/>
  <c r="V669" i="1" s="1"/>
  <c r="W669" i="1" s="1"/>
  <c r="AA669" i="1"/>
  <c r="Y669" i="1"/>
  <c r="X669" i="1"/>
  <c r="Z669" i="1"/>
  <c r="AB669" i="1"/>
  <c r="AD669" i="1" l="1"/>
  <c r="V670" i="1" s="1"/>
  <c r="W670" i="1" s="1"/>
  <c r="Z670" i="1"/>
  <c r="AA670" i="1"/>
  <c r="Y670" i="1"/>
  <c r="X670" i="1" l="1"/>
  <c r="AB670" i="1"/>
  <c r="AD670" i="1" s="1"/>
  <c r="V671" i="1" s="1"/>
  <c r="AA671" i="1" s="1"/>
  <c r="AB671" i="1" l="1"/>
  <c r="Y671" i="1"/>
  <c r="Z671" i="1"/>
  <c r="X671" i="1"/>
  <c r="W671" i="1"/>
  <c r="AD671" i="1" l="1"/>
  <c r="V672" i="1" s="1"/>
  <c r="Y672" i="1" s="1"/>
  <c r="X672" i="1" l="1"/>
  <c r="AB672" i="1"/>
  <c r="AA672" i="1"/>
  <c r="Z672" i="1"/>
  <c r="W672" i="1"/>
  <c r="AD672" i="1" l="1"/>
  <c r="V673" i="1" s="1"/>
  <c r="W673" i="1" s="1"/>
  <c r="AB673" i="1"/>
  <c r="Z673" i="1"/>
  <c r="Y673" i="1" l="1"/>
  <c r="AA673" i="1"/>
  <c r="X673" i="1"/>
  <c r="AD673" i="1" l="1"/>
  <c r="V674" i="1" s="1"/>
  <c r="W674" i="1" s="1"/>
  <c r="AB674" i="1"/>
  <c r="AA674" i="1"/>
  <c r="Y674" i="1"/>
  <c r="Z674" i="1"/>
  <c r="X674" i="1" l="1"/>
  <c r="AD674" i="1" s="1"/>
  <c r="V675" i="1" s="1"/>
  <c r="Y675" i="1" s="1"/>
  <c r="Z675" i="1" l="1"/>
  <c r="AA675" i="1"/>
  <c r="AB675" i="1"/>
  <c r="W675" i="1"/>
  <c r="X675" i="1"/>
  <c r="AD675" i="1" l="1"/>
  <c r="V676" i="1" s="1"/>
  <c r="X676" i="1" s="1"/>
  <c r="AB676" i="1"/>
  <c r="Z676" i="1"/>
  <c r="AA676" i="1"/>
  <c r="Y676" i="1"/>
  <c r="W676" i="1" l="1"/>
  <c r="AD676" i="1"/>
  <c r="V677" i="1" s="1"/>
  <c r="X677" i="1" s="1"/>
  <c r="AB677" i="1"/>
  <c r="Y677" i="1" l="1"/>
  <c r="W677" i="1"/>
  <c r="Z677" i="1"/>
  <c r="AA677" i="1"/>
  <c r="AD677" i="1" l="1"/>
  <c r="V678" i="1" s="1"/>
  <c r="X678" i="1" s="1"/>
  <c r="AB678" i="1"/>
  <c r="Z678" i="1" l="1"/>
  <c r="AA678" i="1"/>
  <c r="Y678" i="1"/>
  <c r="W678" i="1"/>
  <c r="AD678" i="1" s="1"/>
  <c r="V679" i="1" s="1"/>
  <c r="W679" i="1" s="1"/>
  <c r="Z679" i="1"/>
  <c r="AA679" i="1"/>
  <c r="Y679" i="1"/>
  <c r="AB679" i="1" l="1"/>
  <c r="X679" i="1"/>
  <c r="AD679" i="1" l="1"/>
  <c r="V680" i="1" s="1"/>
  <c r="AB680" i="1" s="1"/>
  <c r="AA680" i="1"/>
  <c r="Y680" i="1"/>
  <c r="Z680" i="1"/>
  <c r="W680" i="1"/>
  <c r="X680" i="1" l="1"/>
  <c r="AD680" i="1"/>
  <c r="V681" i="1" s="1"/>
  <c r="X681" i="1" s="1"/>
  <c r="AB681" i="1" l="1"/>
  <c r="Y681" i="1"/>
  <c r="AA681" i="1"/>
  <c r="Z681" i="1"/>
  <c r="W681" i="1"/>
  <c r="AD681" i="1" l="1"/>
  <c r="V682" i="1" s="1"/>
  <c r="W682" i="1" s="1"/>
  <c r="Y682" i="1"/>
  <c r="AA682" i="1"/>
  <c r="Z682" i="1"/>
  <c r="X682" i="1" l="1"/>
  <c r="AB682" i="1"/>
  <c r="AD682" i="1"/>
  <c r="V683" i="1" s="1"/>
  <c r="X683" i="1" s="1"/>
  <c r="Y683" i="1"/>
  <c r="Z683" i="1"/>
  <c r="AA683" i="1"/>
  <c r="AB683" i="1"/>
  <c r="W683" i="1" l="1"/>
  <c r="AD683" i="1" s="1"/>
  <c r="V684" i="1" s="1"/>
  <c r="AA684" i="1" s="1"/>
  <c r="Z684" i="1"/>
  <c r="Y684" i="1"/>
  <c r="W684" i="1" l="1"/>
  <c r="X684" i="1"/>
  <c r="AB684" i="1"/>
  <c r="AD684" i="1" l="1"/>
  <c r="V685" i="1" s="1"/>
  <c r="AB685" i="1" s="1"/>
  <c r="AA685" i="1"/>
  <c r="Z685" i="1" l="1"/>
  <c r="Y685" i="1"/>
  <c r="X685" i="1"/>
  <c r="W685" i="1"/>
  <c r="AD685" i="1" l="1"/>
  <c r="V686" i="1" s="1"/>
  <c r="AB686" i="1" s="1"/>
  <c r="Z686" i="1" l="1"/>
  <c r="Y686" i="1"/>
  <c r="X686" i="1"/>
  <c r="W686" i="1"/>
  <c r="AA686" i="1"/>
  <c r="AD686" i="1" l="1"/>
  <c r="V687" i="1" s="1"/>
  <c r="Y687" i="1"/>
  <c r="AA687" i="1"/>
  <c r="Z687" i="1"/>
  <c r="AB687" i="1"/>
  <c r="W687" i="1"/>
  <c r="X687" i="1"/>
  <c r="AD687" i="1" s="1"/>
  <c r="V688" i="1" s="1"/>
  <c r="W688" i="1" l="1"/>
  <c r="AB688" i="1"/>
  <c r="Z688" i="1"/>
  <c r="X688" i="1"/>
  <c r="AA688" i="1"/>
  <c r="Y688" i="1"/>
  <c r="AD688" i="1" l="1"/>
  <c r="V689" i="1" s="1"/>
  <c r="AA689" i="1" s="1"/>
  <c r="Z689" i="1"/>
  <c r="Y689" i="1"/>
  <c r="X689" i="1" l="1"/>
  <c r="W689" i="1"/>
  <c r="AB689" i="1"/>
  <c r="AD689" i="1" l="1"/>
  <c r="V690" i="1" s="1"/>
  <c r="W690" i="1" s="1"/>
  <c r="AB690" i="1"/>
  <c r="Z690" i="1"/>
  <c r="AA690" i="1"/>
  <c r="Y690" i="1" l="1"/>
  <c r="X690" i="1"/>
  <c r="AD690" i="1"/>
  <c r="V691" i="1" s="1"/>
  <c r="W691" i="1" s="1"/>
  <c r="AB691" i="1"/>
  <c r="Y691" i="1"/>
  <c r="AA691" i="1"/>
  <c r="Z691" i="1"/>
  <c r="X691" i="1" l="1"/>
  <c r="AD691" i="1" s="1"/>
  <c r="V692" i="1" s="1"/>
  <c r="AA692" i="1" l="1"/>
  <c r="Z692" i="1"/>
  <c r="X692" i="1"/>
  <c r="W692" i="1"/>
  <c r="AB692" i="1"/>
  <c r="Y692" i="1"/>
  <c r="AD692" i="1" l="1"/>
  <c r="V693" i="1" s="1"/>
  <c r="X693" i="1"/>
  <c r="AB693" i="1"/>
  <c r="W693" i="1"/>
  <c r="Y693" i="1"/>
  <c r="Z693" i="1"/>
  <c r="AA693" i="1"/>
  <c r="AD693" i="1" l="1"/>
  <c r="V694" i="1" s="1"/>
  <c r="W694" i="1" s="1"/>
  <c r="AB694" i="1" l="1"/>
  <c r="Z694" i="1"/>
  <c r="X694" i="1"/>
  <c r="AA694" i="1"/>
  <c r="Y694" i="1"/>
  <c r="AD694" i="1" l="1"/>
  <c r="V695" i="1" s="1"/>
  <c r="X695" i="1" s="1"/>
  <c r="W695" i="1" l="1"/>
  <c r="Y695" i="1"/>
  <c r="AB695" i="1"/>
  <c r="AA695" i="1"/>
  <c r="Z695" i="1"/>
  <c r="AD695" i="1" l="1"/>
  <c r="V696" i="1" s="1"/>
  <c r="Z696" i="1" s="1"/>
  <c r="AA696" i="1" l="1"/>
  <c r="X696" i="1"/>
  <c r="Y696" i="1"/>
  <c r="W696" i="1"/>
  <c r="AB696" i="1"/>
  <c r="AD696" i="1" l="1"/>
  <c r="V697" i="1" s="1"/>
  <c r="Z697" i="1"/>
  <c r="W697" i="1"/>
  <c r="AB697" i="1"/>
  <c r="Y697" i="1"/>
  <c r="X697" i="1"/>
  <c r="AA697" i="1"/>
  <c r="AD697" i="1" l="1"/>
  <c r="V698" i="1" s="1"/>
  <c r="Y698" i="1" s="1"/>
  <c r="X698" i="1" l="1"/>
  <c r="Z698" i="1"/>
  <c r="AA698" i="1"/>
  <c r="W698" i="1"/>
  <c r="AB698" i="1"/>
  <c r="AD698" i="1" s="1"/>
  <c r="V699" i="1" s="1"/>
  <c r="Z699" i="1" l="1"/>
  <c r="W699" i="1"/>
  <c r="AA699" i="1"/>
  <c r="AB699" i="1"/>
  <c r="X699" i="1"/>
  <c r="Y699" i="1"/>
  <c r="AD699" i="1" l="1"/>
  <c r="V700" i="1" s="1"/>
  <c r="W700" i="1" s="1"/>
  <c r="AA700" i="1"/>
  <c r="X700" i="1"/>
  <c r="Y700" i="1"/>
  <c r="AB700" i="1"/>
  <c r="Z700" i="1"/>
  <c r="AD700" i="1" l="1"/>
  <c r="V701" i="1" s="1"/>
  <c r="Y701" i="1" s="1"/>
  <c r="AA701" i="1" l="1"/>
  <c r="AB701" i="1"/>
  <c r="X701" i="1"/>
  <c r="W701" i="1"/>
  <c r="Z701" i="1"/>
  <c r="AD701" i="1" l="1"/>
  <c r="V702" i="1" s="1"/>
  <c r="W702" i="1" s="1"/>
  <c r="AA702" i="1" l="1"/>
  <c r="X702" i="1"/>
  <c r="Z702" i="1"/>
  <c r="AB702" i="1"/>
  <c r="Y702" i="1"/>
  <c r="AD702" i="1" l="1"/>
  <c r="V703" i="1" s="1"/>
  <c r="AA703" i="1" s="1"/>
  <c r="W703" i="1" l="1"/>
  <c r="AB703" i="1"/>
  <c r="X703" i="1"/>
  <c r="Z703" i="1"/>
  <c r="Y703" i="1"/>
  <c r="AD703" i="1" l="1"/>
  <c r="V704" i="1" s="1"/>
  <c r="W704" i="1" s="1"/>
  <c r="X704" i="1" l="1"/>
  <c r="Z704" i="1"/>
  <c r="Y704" i="1"/>
  <c r="AA704" i="1"/>
  <c r="AB704" i="1"/>
  <c r="AD704" i="1" l="1"/>
  <c r="V705" i="1" s="1"/>
  <c r="X705" i="1" s="1"/>
  <c r="Y705" i="1"/>
  <c r="AA705" i="1"/>
  <c r="AB705" i="1"/>
  <c r="Z705" i="1"/>
  <c r="W705" i="1" l="1"/>
  <c r="AD705" i="1"/>
  <c r="V706" i="1" s="1"/>
  <c r="Z706" i="1" s="1"/>
  <c r="AA706" i="1" l="1"/>
  <c r="W706" i="1"/>
  <c r="X706" i="1"/>
  <c r="Y706" i="1"/>
  <c r="AB706" i="1"/>
  <c r="AD706" i="1" l="1"/>
  <c r="V707" i="1" s="1"/>
  <c r="W707" i="1" s="1"/>
  <c r="Z707" i="1"/>
  <c r="AB707" i="1"/>
  <c r="X707" i="1"/>
  <c r="Y707" i="1"/>
  <c r="AA707" i="1"/>
  <c r="AD707" i="1" l="1"/>
  <c r="V708" i="1" s="1"/>
  <c r="X708" i="1" s="1"/>
  <c r="AA708" i="1" l="1"/>
  <c r="Y708" i="1"/>
  <c r="Z708" i="1"/>
  <c r="W708" i="1"/>
  <c r="AB708" i="1"/>
  <c r="AD708" i="1" s="1"/>
  <c r="V709" i="1" s="1"/>
  <c r="Z709" i="1" s="1"/>
  <c r="X709" i="1" l="1"/>
  <c r="AB709" i="1"/>
  <c r="W709" i="1"/>
  <c r="Y709" i="1"/>
  <c r="AA709" i="1"/>
  <c r="AD709" i="1" l="1"/>
  <c r="V710" i="1" s="1"/>
  <c r="X710" i="1" s="1"/>
  <c r="Y710" i="1"/>
  <c r="AB710" i="1" l="1"/>
  <c r="Z710" i="1"/>
  <c r="AA710" i="1"/>
  <c r="W710" i="1"/>
  <c r="AD710" i="1" l="1"/>
  <c r="V711" i="1" s="1"/>
  <c r="W711" i="1" s="1"/>
  <c r="X711" i="1" l="1"/>
  <c r="AA711" i="1"/>
  <c r="AB711" i="1"/>
  <c r="Y711" i="1"/>
  <c r="Z711" i="1"/>
  <c r="AD711" i="1" l="1"/>
  <c r="V712" i="1" s="1"/>
  <c r="Y712" i="1" s="1"/>
  <c r="Z712" i="1"/>
  <c r="AA712" i="1" l="1"/>
  <c r="X712" i="1"/>
  <c r="W712" i="1"/>
  <c r="AB712" i="1"/>
  <c r="AD712" i="1" l="1"/>
  <c r="V713" i="1" s="1"/>
  <c r="AB713" i="1" s="1"/>
  <c r="AA713" i="1"/>
  <c r="Y713" i="1"/>
  <c r="Z713" i="1"/>
  <c r="W713" i="1"/>
  <c r="X713" i="1" l="1"/>
  <c r="AD713" i="1"/>
  <c r="V714" i="1" s="1"/>
  <c r="Y714" i="1" s="1"/>
  <c r="AA714" i="1" l="1"/>
  <c r="W714" i="1"/>
  <c r="AB714" i="1"/>
  <c r="Z714" i="1"/>
  <c r="X714" i="1"/>
  <c r="AD714" i="1" l="1"/>
  <c r="V715" i="1" s="1"/>
  <c r="W715" i="1" s="1"/>
  <c r="Y715" i="1"/>
  <c r="Z715" i="1"/>
  <c r="AA715" i="1" l="1"/>
  <c r="X715" i="1"/>
  <c r="AB715" i="1"/>
  <c r="AD715" i="1" s="1"/>
  <c r="V716" i="1" s="1"/>
  <c r="Z716" i="1" s="1"/>
  <c r="AA716" i="1" l="1"/>
  <c r="Y716" i="1"/>
  <c r="W716" i="1"/>
  <c r="X716" i="1"/>
  <c r="AB716" i="1"/>
  <c r="AD716" i="1" s="1"/>
  <c r="V717" i="1" s="1"/>
  <c r="X717" i="1" s="1"/>
  <c r="W717" i="1" l="1"/>
  <c r="Z717" i="1"/>
  <c r="Y717" i="1"/>
  <c r="AA717" i="1"/>
  <c r="AB717" i="1"/>
  <c r="AD717" i="1" l="1"/>
  <c r="V718" i="1" s="1"/>
  <c r="X718" i="1" s="1"/>
  <c r="AA718" i="1" l="1"/>
  <c r="AB718" i="1"/>
  <c r="Z718" i="1"/>
  <c r="Y718" i="1"/>
  <c r="W718" i="1"/>
  <c r="AD718" i="1" l="1"/>
  <c r="V719" i="1" s="1"/>
  <c r="X719" i="1" s="1"/>
  <c r="AB719" i="1"/>
  <c r="Y719" i="1"/>
  <c r="Z719" i="1"/>
  <c r="W719" i="1"/>
  <c r="AA719" i="1" l="1"/>
  <c r="AD719" i="1" s="1"/>
  <c r="V720" i="1" s="1"/>
  <c r="Z720" i="1" l="1"/>
  <c r="Y720" i="1"/>
  <c r="AA720" i="1"/>
  <c r="AB720" i="1"/>
  <c r="X720" i="1"/>
  <c r="W720" i="1"/>
  <c r="AD720" i="1" l="1"/>
  <c r="V721" i="1" s="1"/>
  <c r="W721" i="1" s="1"/>
  <c r="AB721" i="1"/>
  <c r="X721" i="1"/>
  <c r="Z721" i="1"/>
  <c r="Y721" i="1"/>
  <c r="AA721" i="1" l="1"/>
  <c r="AD721" i="1"/>
  <c r="V722" i="1" s="1"/>
  <c r="Z722" i="1" s="1"/>
  <c r="AA722" i="1"/>
  <c r="AB722" i="1"/>
  <c r="W722" i="1" l="1"/>
  <c r="X722" i="1"/>
  <c r="Y722" i="1"/>
  <c r="AD722" i="1" s="1"/>
  <c r="V723" i="1" s="1"/>
  <c r="Y723" i="1" s="1"/>
  <c r="Z723" i="1"/>
  <c r="AA723" i="1" l="1"/>
  <c r="X723" i="1"/>
  <c r="AB723" i="1"/>
  <c r="W723" i="1"/>
  <c r="AD723" i="1" l="1"/>
  <c r="V724" i="1" s="1"/>
  <c r="W724" i="1" s="1"/>
  <c r="Z724" i="1"/>
  <c r="AA724" i="1"/>
  <c r="Y724" i="1"/>
  <c r="X724" i="1" l="1"/>
  <c r="AB724" i="1"/>
  <c r="AD724" i="1" s="1"/>
  <c r="V725" i="1" s="1"/>
  <c r="X725" i="1" s="1"/>
  <c r="AB725" i="1" l="1"/>
  <c r="W725" i="1"/>
  <c r="Y725" i="1"/>
  <c r="AA725" i="1"/>
  <c r="Z725" i="1"/>
  <c r="AD725" i="1" l="1"/>
  <c r="V726" i="1" s="1"/>
  <c r="W726" i="1" s="1"/>
  <c r="Z726" i="1"/>
  <c r="AA726" i="1"/>
  <c r="Y726" i="1"/>
  <c r="AB726" i="1" l="1"/>
  <c r="X726" i="1"/>
  <c r="AD726" i="1" l="1"/>
  <c r="V727" i="1" s="1"/>
  <c r="Z727" i="1" s="1"/>
  <c r="Y727" i="1"/>
  <c r="AB727" i="1"/>
  <c r="AA727" i="1"/>
  <c r="X727" i="1"/>
  <c r="W727" i="1"/>
  <c r="AD727" i="1" l="1"/>
  <c r="V728" i="1" s="1"/>
  <c r="W728" i="1" s="1"/>
  <c r="Z728" i="1"/>
  <c r="AB728" i="1"/>
  <c r="X728" i="1" l="1"/>
  <c r="AA728" i="1"/>
  <c r="Y728" i="1"/>
  <c r="AD728" i="1" s="1"/>
  <c r="V729" i="1" s="1"/>
  <c r="Z729" i="1" l="1"/>
  <c r="AB729" i="1"/>
  <c r="X729" i="1"/>
  <c r="AA729" i="1"/>
  <c r="Y729" i="1"/>
  <c r="W729" i="1"/>
  <c r="AD729" i="1" l="1"/>
  <c r="V730" i="1" s="1"/>
  <c r="Z730" i="1" s="1"/>
  <c r="AA730" i="1" l="1"/>
  <c r="AB730" i="1"/>
  <c r="W730" i="1"/>
  <c r="X730" i="1"/>
  <c r="Y730" i="1"/>
  <c r="AD730" i="1" l="1"/>
  <c r="V731" i="1" s="1"/>
  <c r="Z731" i="1" s="1"/>
  <c r="Y731" i="1"/>
  <c r="AB731" i="1"/>
  <c r="X731" i="1"/>
  <c r="W731" i="1"/>
  <c r="AA731" i="1"/>
  <c r="AD731" i="1" l="1"/>
  <c r="V732" i="1" s="1"/>
  <c r="X732" i="1" s="1"/>
  <c r="Z732" i="1"/>
  <c r="AB732" i="1" l="1"/>
  <c r="W732" i="1"/>
  <c r="Y732" i="1"/>
  <c r="AA732" i="1"/>
  <c r="AD732" i="1" s="1"/>
  <c r="V733" i="1" s="1"/>
  <c r="X733" i="1" l="1"/>
  <c r="AA733" i="1"/>
  <c r="W733" i="1"/>
  <c r="Y733" i="1"/>
  <c r="Z733" i="1"/>
  <c r="AB733" i="1"/>
  <c r="AD733" i="1" l="1"/>
  <c r="V734" i="1" s="1"/>
  <c r="X734" i="1" s="1"/>
  <c r="AB734" i="1"/>
  <c r="Z734" i="1"/>
  <c r="Y734" i="1"/>
  <c r="W734" i="1" l="1"/>
  <c r="AA734" i="1"/>
  <c r="AD734" i="1" s="1"/>
  <c r="V735" i="1" s="1"/>
  <c r="W735" i="1" l="1"/>
  <c r="X735" i="1"/>
  <c r="AB735" i="1"/>
  <c r="AA735" i="1"/>
  <c r="Y735" i="1"/>
  <c r="Z735" i="1"/>
  <c r="AD735" i="1" l="1"/>
  <c r="V736" i="1" s="1"/>
  <c r="Y736" i="1" s="1"/>
  <c r="AB736" i="1" l="1"/>
  <c r="W736" i="1"/>
  <c r="X736" i="1"/>
  <c r="AA736" i="1"/>
  <c r="Z736" i="1"/>
  <c r="AD736" i="1" l="1"/>
  <c r="V737" i="1" s="1"/>
  <c r="X737" i="1" s="1"/>
  <c r="AA737" i="1"/>
  <c r="Y737" i="1"/>
  <c r="AB737" i="1"/>
  <c r="W737" i="1"/>
  <c r="Z737" i="1"/>
  <c r="AD737" i="1" l="1"/>
  <c r="V738" i="1" s="1"/>
  <c r="Y738" i="1" s="1"/>
  <c r="AB738" i="1" l="1"/>
  <c r="W738" i="1"/>
  <c r="X738" i="1"/>
  <c r="AA738" i="1"/>
  <c r="Z738" i="1"/>
  <c r="AD738" i="1" l="1"/>
  <c r="V739" i="1" s="1"/>
  <c r="X739" i="1" s="1"/>
  <c r="AA739" i="1"/>
  <c r="Z739" i="1"/>
  <c r="W739" i="1"/>
  <c r="Y739" i="1" l="1"/>
  <c r="AB739" i="1"/>
  <c r="AD739" i="1" s="1"/>
  <c r="V740" i="1" s="1"/>
  <c r="X740" i="1" s="1"/>
  <c r="Z740" i="1" l="1"/>
  <c r="W740" i="1"/>
  <c r="AA740" i="1"/>
  <c r="Y740" i="1"/>
  <c r="AB740" i="1"/>
  <c r="AD740" i="1" l="1"/>
  <c r="V741" i="1" s="1"/>
  <c r="Y741" i="1" s="1"/>
  <c r="X741" i="1"/>
  <c r="AA741" i="1"/>
  <c r="AB741" i="1"/>
  <c r="Z741" i="1"/>
  <c r="W741" i="1" l="1"/>
  <c r="AD741" i="1"/>
  <c r="V742" i="1" s="1"/>
  <c r="AB742" i="1" s="1"/>
  <c r="Z742" i="1" l="1"/>
  <c r="Y742" i="1"/>
  <c r="X742" i="1"/>
  <c r="AA742" i="1"/>
  <c r="W742" i="1"/>
  <c r="AD742" i="1" l="1"/>
  <c r="V743" i="1" s="1"/>
  <c r="AA743" i="1" s="1"/>
  <c r="Z743" i="1"/>
  <c r="AB743" i="1" l="1"/>
  <c r="X743" i="1"/>
  <c r="W743" i="1"/>
  <c r="Y743" i="1"/>
  <c r="AD743" i="1" l="1"/>
  <c r="V744" i="1" s="1"/>
  <c r="Y744" i="1"/>
  <c r="AA744" i="1"/>
  <c r="Z744" i="1"/>
  <c r="AB744" i="1"/>
  <c r="X744" i="1"/>
  <c r="W744" i="1"/>
  <c r="AD744" i="1" l="1"/>
  <c r="V745" i="1" s="1"/>
  <c r="AA745" i="1" s="1"/>
  <c r="AB745" i="1"/>
  <c r="Z745" i="1"/>
  <c r="X745" i="1" l="1"/>
  <c r="W745" i="1"/>
  <c r="Y745" i="1"/>
  <c r="AD745" i="1" l="1"/>
  <c r="V746" i="1" s="1"/>
  <c r="Y746" i="1" s="1"/>
  <c r="Z746" i="1"/>
  <c r="AA746" i="1"/>
  <c r="AB746" i="1" l="1"/>
  <c r="W746" i="1"/>
  <c r="X746" i="1"/>
  <c r="AD746" i="1" l="1"/>
  <c r="V747" i="1" s="1"/>
  <c r="AA747" i="1" s="1"/>
  <c r="Z747" i="1"/>
  <c r="Y747" i="1"/>
  <c r="AB747" i="1" l="1"/>
  <c r="X747" i="1"/>
  <c r="W747" i="1"/>
  <c r="AD747" i="1" l="1"/>
  <c r="V748" i="1" s="1"/>
  <c r="W748" i="1"/>
  <c r="AB748" i="1"/>
  <c r="X748" i="1" l="1"/>
  <c r="AA748" i="1"/>
  <c r="Z748" i="1"/>
  <c r="Y748" i="1"/>
  <c r="AD748" i="1" l="1"/>
  <c r="V749" i="1" s="1"/>
  <c r="Z749" i="1"/>
  <c r="X749" i="1"/>
  <c r="W749" i="1"/>
  <c r="AB749" i="1"/>
  <c r="Y749" i="1"/>
  <c r="AA749" i="1"/>
  <c r="AD749" i="1" l="1"/>
  <c r="V750" i="1" s="1"/>
  <c r="AA750" i="1" s="1"/>
  <c r="X750" i="1"/>
  <c r="W750" i="1"/>
  <c r="AB750" i="1"/>
  <c r="Z750" i="1"/>
  <c r="Y750" i="1"/>
  <c r="AD750" i="1" l="1"/>
  <c r="V751" i="1" s="1"/>
  <c r="X751" i="1" s="1"/>
  <c r="Y751" i="1"/>
  <c r="Z751" i="1"/>
  <c r="W751" i="1"/>
  <c r="AA751" i="1" l="1"/>
  <c r="AB751" i="1"/>
  <c r="AD751" i="1" s="1"/>
  <c r="V752" i="1" s="1"/>
  <c r="W752" i="1" l="1"/>
  <c r="AB752" i="1"/>
  <c r="AA752" i="1"/>
  <c r="Z752" i="1"/>
  <c r="Y752" i="1"/>
  <c r="X752" i="1"/>
  <c r="AD752" i="1" s="1"/>
  <c r="V753" i="1" s="1"/>
  <c r="AA753" i="1" l="1"/>
  <c r="W753" i="1"/>
  <c r="AB753" i="1"/>
  <c r="Y753" i="1"/>
  <c r="Z753" i="1"/>
  <c r="X753" i="1"/>
  <c r="AD753" i="1" s="1"/>
  <c r="V754" i="1" s="1"/>
  <c r="W754" i="1" s="1"/>
  <c r="AA754" i="1" l="1"/>
  <c r="Z754" i="1"/>
  <c r="X754" i="1"/>
  <c r="AB754" i="1"/>
  <c r="Y754" i="1"/>
  <c r="AD754" i="1" l="1"/>
  <c r="V755" i="1" s="1"/>
  <c r="AB755" i="1"/>
  <c r="Z755" i="1"/>
  <c r="X755" i="1"/>
  <c r="Y755" i="1"/>
  <c r="AA755" i="1"/>
  <c r="W755" i="1"/>
  <c r="AD755" i="1" l="1"/>
  <c r="V756" i="1" s="1"/>
  <c r="W756" i="1" s="1"/>
  <c r="Z756" i="1"/>
  <c r="AB756" i="1"/>
  <c r="AA756" i="1"/>
  <c r="Y756" i="1"/>
  <c r="X756" i="1" l="1"/>
  <c r="AD756" i="1" s="1"/>
  <c r="V757" i="1" s="1"/>
  <c r="AA757" i="1" l="1"/>
  <c r="Y757" i="1"/>
  <c r="X757" i="1"/>
  <c r="AB757" i="1"/>
  <c r="Z757" i="1"/>
  <c r="W757" i="1"/>
  <c r="AD757" i="1" l="1"/>
  <c r="V758" i="1" s="1"/>
  <c r="X758" i="1" s="1"/>
  <c r="Z758" i="1"/>
  <c r="AB758" i="1"/>
  <c r="Y758" i="1"/>
  <c r="AA758" i="1"/>
  <c r="W758" i="1" l="1"/>
  <c r="AD758" i="1"/>
  <c r="V759" i="1" s="1"/>
  <c r="Y759" i="1" s="1"/>
  <c r="AA759" i="1" l="1"/>
  <c r="X759" i="1"/>
  <c r="W759" i="1"/>
  <c r="AB759" i="1"/>
  <c r="Z759" i="1"/>
  <c r="AD759" i="1" l="1"/>
  <c r="V760" i="1" s="1"/>
  <c r="AA760" i="1" s="1"/>
  <c r="Z760" i="1"/>
  <c r="AB760" i="1"/>
  <c r="Y760" i="1"/>
  <c r="W760" i="1" l="1"/>
  <c r="X760" i="1"/>
  <c r="AD760" i="1" l="1"/>
  <c r="V761" i="1" s="1"/>
  <c r="AA761" i="1" l="1"/>
  <c r="X761" i="1"/>
  <c r="W761" i="1"/>
  <c r="Z761" i="1"/>
  <c r="Y761" i="1"/>
  <c r="AB761" i="1"/>
  <c r="AD761" i="1" l="1"/>
  <c r="V762" i="1" s="1"/>
  <c r="X762" i="1" s="1"/>
  <c r="Z762" i="1"/>
  <c r="AB762" i="1"/>
  <c r="Y762" i="1"/>
  <c r="AA762" i="1" l="1"/>
  <c r="W762" i="1"/>
  <c r="AD762" i="1" l="1"/>
  <c r="V763" i="1" s="1"/>
  <c r="AA763" i="1" s="1"/>
  <c r="Y763" i="1"/>
  <c r="Z763" i="1"/>
  <c r="AB763" i="1" l="1"/>
  <c r="X763" i="1"/>
  <c r="W763" i="1"/>
  <c r="AD763" i="1" l="1"/>
  <c r="V764" i="1" s="1"/>
  <c r="AB764" i="1" s="1"/>
  <c r="Z764" i="1"/>
  <c r="AA764" i="1"/>
  <c r="Y764" i="1"/>
  <c r="W764" i="1" l="1"/>
  <c r="X764" i="1"/>
  <c r="AD764" i="1" l="1"/>
  <c r="V765" i="1" s="1"/>
  <c r="AB765" i="1"/>
  <c r="W765" i="1" l="1"/>
  <c r="AA765" i="1"/>
  <c r="Z765" i="1"/>
  <c r="Y765" i="1"/>
  <c r="X765" i="1"/>
  <c r="AD765" i="1" l="1"/>
  <c r="V766" i="1" s="1"/>
  <c r="AA766" i="1"/>
  <c r="Y766" i="1"/>
  <c r="AB766" i="1"/>
  <c r="X766" i="1"/>
  <c r="Z766" i="1"/>
  <c r="W766" i="1"/>
  <c r="AD766" i="1"/>
  <c r="V767" i="1" s="1"/>
  <c r="W767" i="1" s="1"/>
  <c r="AB767" i="1"/>
  <c r="AA767" i="1"/>
  <c r="Z767" i="1" l="1"/>
  <c r="X767" i="1"/>
  <c r="Y767" i="1"/>
  <c r="AD767" i="1" l="1"/>
  <c r="V768" i="1" s="1"/>
  <c r="W768" i="1" s="1"/>
  <c r="Z768" i="1"/>
  <c r="X768" i="1"/>
  <c r="AA768" i="1"/>
  <c r="Y768" i="1"/>
  <c r="AB768" i="1"/>
  <c r="AD768" i="1" l="1"/>
  <c r="V769" i="1" s="1"/>
  <c r="Y769" i="1" s="1"/>
  <c r="Z769" i="1" l="1"/>
  <c r="AB769" i="1"/>
  <c r="X769" i="1"/>
  <c r="AA769" i="1"/>
  <c r="W769" i="1"/>
  <c r="AD769" i="1" l="1"/>
  <c r="V770" i="1" s="1"/>
  <c r="W770" i="1" s="1"/>
  <c r="Y770" i="1"/>
  <c r="Z770" i="1"/>
  <c r="AA770" i="1"/>
  <c r="AB770" i="1" l="1"/>
  <c r="X770" i="1"/>
  <c r="AD770" i="1" l="1"/>
  <c r="V771" i="1" s="1"/>
  <c r="X771" i="1" s="1"/>
  <c r="AB771" i="1"/>
  <c r="AA771" i="1"/>
  <c r="Y771" i="1"/>
  <c r="Z771" i="1"/>
  <c r="W771" i="1" l="1"/>
  <c r="AD771" i="1"/>
  <c r="V772" i="1" s="1"/>
  <c r="Y772" i="1" s="1"/>
  <c r="AA772" i="1"/>
  <c r="Z772" i="1"/>
  <c r="AB772" i="1"/>
  <c r="X772" i="1"/>
  <c r="W772" i="1" l="1"/>
  <c r="AD772" i="1"/>
  <c r="V773" i="1" s="1"/>
  <c r="W773" i="1" s="1"/>
  <c r="AA773" i="1"/>
  <c r="Z773" i="1"/>
  <c r="Y773" i="1"/>
  <c r="X773" i="1" l="1"/>
  <c r="AB773" i="1"/>
  <c r="AD773" i="1" l="1"/>
  <c r="V774" i="1" s="1"/>
  <c r="W774" i="1" s="1"/>
  <c r="AA774" i="1"/>
  <c r="Y774" i="1"/>
  <c r="Z774" i="1"/>
  <c r="AB774" i="1" l="1"/>
  <c r="X774" i="1"/>
  <c r="AD774" i="1" l="1"/>
  <c r="V775" i="1" s="1"/>
  <c r="X775" i="1" s="1"/>
  <c r="Y775" i="1"/>
  <c r="Z775" i="1"/>
  <c r="AA775" i="1"/>
  <c r="W775" i="1" l="1"/>
  <c r="AB775" i="1"/>
  <c r="AD775" i="1"/>
  <c r="V776" i="1" s="1"/>
  <c r="AA776" i="1" s="1"/>
  <c r="Y776" i="1" l="1"/>
  <c r="Z776" i="1"/>
  <c r="W776" i="1"/>
  <c r="AB776" i="1"/>
  <c r="X776" i="1"/>
  <c r="AD776" i="1" l="1"/>
  <c r="V777" i="1" s="1"/>
  <c r="Y777" i="1" s="1"/>
  <c r="AA777" i="1" l="1"/>
  <c r="Z777" i="1"/>
  <c r="AB777" i="1"/>
  <c r="W777" i="1"/>
  <c r="X777" i="1"/>
  <c r="AD777" i="1" l="1"/>
  <c r="V778" i="1" s="1"/>
  <c r="AA778" i="1" s="1"/>
  <c r="Z778" i="1"/>
  <c r="Y778" i="1" l="1"/>
  <c r="AB778" i="1"/>
  <c r="W778" i="1"/>
  <c r="X778" i="1"/>
  <c r="AD778" i="1" l="1"/>
  <c r="V779" i="1" s="1"/>
  <c r="W779" i="1" s="1"/>
  <c r="Z779" i="1"/>
  <c r="AB779" i="1"/>
  <c r="AA779" i="1"/>
  <c r="Y779" i="1"/>
  <c r="X779" i="1" l="1"/>
  <c r="AD779" i="1"/>
  <c r="V780" i="1" s="1"/>
  <c r="W780" i="1" s="1"/>
  <c r="AB780" i="1"/>
  <c r="X780" i="1"/>
  <c r="AA780" i="1"/>
  <c r="Z780" i="1"/>
  <c r="Y780" i="1"/>
  <c r="AD780" i="1" l="1"/>
  <c r="V781" i="1" s="1"/>
  <c r="Z781" i="1" s="1"/>
  <c r="AA781" i="1" l="1"/>
  <c r="Y781" i="1"/>
  <c r="W781" i="1"/>
  <c r="X781" i="1"/>
  <c r="AB781" i="1"/>
  <c r="AD781" i="1" l="1"/>
  <c r="V782" i="1" s="1"/>
  <c r="W782" i="1" s="1"/>
  <c r="Z782" i="1"/>
  <c r="AB782" i="1"/>
  <c r="Y782" i="1" l="1"/>
  <c r="AA782" i="1"/>
  <c r="X782" i="1"/>
  <c r="AD782" i="1"/>
  <c r="V783" i="1" s="1"/>
  <c r="W783" i="1" s="1"/>
  <c r="AB783" i="1"/>
  <c r="X783" i="1"/>
  <c r="Z783" i="1" l="1"/>
  <c r="AA783" i="1"/>
  <c r="Y783" i="1"/>
  <c r="AD783" i="1" s="1"/>
  <c r="V784" i="1" s="1"/>
  <c r="Z784" i="1" s="1"/>
  <c r="Y784" i="1" l="1"/>
  <c r="AA784" i="1"/>
  <c r="AB784" i="1"/>
  <c r="X784" i="1"/>
  <c r="W784" i="1"/>
  <c r="AD784" i="1" s="1"/>
</calcChain>
</file>

<file path=xl/sharedStrings.xml><?xml version="1.0" encoding="utf-8"?>
<sst xmlns="http://schemas.openxmlformats.org/spreadsheetml/2006/main" count="789" uniqueCount="153">
  <si>
    <t>Purchase amount</t>
  </si>
  <si>
    <t>SA85-90 Light</t>
  </si>
  <si>
    <t>Start</t>
  </si>
  <si>
    <t>Interest</t>
  </si>
  <si>
    <t>End</t>
  </si>
  <si>
    <t>Mort</t>
  </si>
  <si>
    <t>Annual</t>
  </si>
  <si>
    <t>Month</t>
  </si>
  <si>
    <t>Year</t>
  </si>
  <si>
    <t>Tpx</t>
  </si>
  <si>
    <t>TpxVt</t>
  </si>
  <si>
    <t>Annual interest</t>
  </si>
  <si>
    <t>Interest Accrual</t>
  </si>
  <si>
    <t>Monthly interest</t>
  </si>
  <si>
    <t>Age at start</t>
  </si>
  <si>
    <t>Annual Amount</t>
  </si>
  <si>
    <t xml:space="preserve">From </t>
  </si>
  <si>
    <t>To</t>
  </si>
  <si>
    <t>Tax Rate</t>
  </si>
  <si>
    <t>P 0 + 5% of the excess of P 48 000</t>
  </si>
  <si>
    <t>P 1 800 + 12.5% of the excess of P 84 000</t>
  </si>
  <si>
    <t>P 6 300 + 18.75% of the excess of P 120 000</t>
  </si>
  <si>
    <t>P 13 050 + 25% of the excess of P 156 000</t>
  </si>
  <si>
    <t>P 4 200 + 12.5% of the excess of P 84 000</t>
  </si>
  <si>
    <t>P 8 700 + 18.75% of the excess of P 120 000</t>
  </si>
  <si>
    <t>P 15 450 + 25% of the excess of P 156 000</t>
  </si>
  <si>
    <t>Fixed amount</t>
  </si>
  <si>
    <t>-</t>
  </si>
  <si>
    <t>Lowe end</t>
  </si>
  <si>
    <t>VAT</t>
  </si>
  <si>
    <t>Funeral Premium</t>
  </si>
  <si>
    <t>Administration fee (p.a.)</t>
  </si>
  <si>
    <t>Ongoing Commission (2nd yr+)</t>
  </si>
  <si>
    <t>Upfront Commission (yr 1 only)</t>
  </si>
  <si>
    <t>Annual or Month</t>
  </si>
  <si>
    <t xml:space="preserve">	Purchase premium charge</t>
  </si>
  <si>
    <t>Allocation Amt</t>
  </si>
  <si>
    <t>Funeral</t>
  </si>
  <si>
    <t>Sum of benefits to Annuitant</t>
  </si>
  <si>
    <t>Present value of benefits to annuitant</t>
  </si>
  <si>
    <t>Amount invested</t>
  </si>
  <si>
    <t>Sum of fees to Insurer</t>
  </si>
  <si>
    <t>No of full pmts to annuitant</t>
  </si>
  <si>
    <t>Remainder paid in final payment</t>
  </si>
  <si>
    <t>Expected payment period</t>
  </si>
  <si>
    <t>Expected life years remaining</t>
  </si>
  <si>
    <t>Assumption Set</t>
  </si>
  <si>
    <t>Present value of fees to Insurer</t>
  </si>
  <si>
    <t>SA85-90</t>
  </si>
  <si>
    <t>Note: Tax not incoprated in model yet</t>
  </si>
  <si>
    <t>Sum of Asset management charges</t>
  </si>
  <si>
    <t>Present value of asset management charges</t>
  </si>
  <si>
    <t>Present value of Commission payments</t>
  </si>
  <si>
    <t>Sum of Commission payments</t>
  </si>
  <si>
    <t>Present value of all charges</t>
  </si>
  <si>
    <t>Present value of benefits to annuitant (excl funeral)</t>
  </si>
  <si>
    <t>Check total</t>
  </si>
  <si>
    <t>Admin
fee</t>
  </si>
  <si>
    <t>Asset
Man Fee</t>
  </si>
  <si>
    <t>Ongoing
Comm</t>
  </si>
  <si>
    <t>Annuity
Amount</t>
  </si>
  <si>
    <t>PV of Fees as % of assets managed</t>
  </si>
  <si>
    <t>Model Point</t>
  </si>
  <si>
    <t>Age</t>
  </si>
  <si>
    <t>Monthly</t>
  </si>
  <si>
    <t>Recommended Drawdown Percentage</t>
  </si>
  <si>
    <t>Annual or Monthly</t>
  </si>
  <si>
    <t>INPUT</t>
  </si>
  <si>
    <t>OUTPUT</t>
  </si>
  <si>
    <t>10.98 Years</t>
  </si>
  <si>
    <t>Amount
Invested</t>
  </si>
  <si>
    <t>Monthly
benefit</t>
  </si>
  <si>
    <t>Total Model Points</t>
  </si>
  <si>
    <t>25.46 Years</t>
  </si>
  <si>
    <t>21.36 Years</t>
  </si>
  <si>
    <t>17.53 Years</t>
  </si>
  <si>
    <t>14.05 Years</t>
  </si>
  <si>
    <t>9.00 Years</t>
  </si>
  <si>
    <t>8.34 Years</t>
  </si>
  <si>
    <t>6.12 Years</t>
  </si>
  <si>
    <t>4.31 Years</t>
  </si>
  <si>
    <t>21.00 Years</t>
  </si>
  <si>
    <t>14.00 Years</t>
  </si>
  <si>
    <t>Recommended Drawdown</t>
  </si>
  <si>
    <t>9.08 Years</t>
  </si>
  <si>
    <t>9.17 Years</t>
  </si>
  <si>
    <t>25.00 Years</t>
  </si>
  <si>
    <t>17.00 Years</t>
  </si>
  <si>
    <t>11.00 Years</t>
  </si>
  <si>
    <t>15.00 Years</t>
  </si>
  <si>
    <t>24.67 Years</t>
  </si>
  <si>
    <t>20.83 Years</t>
  </si>
  <si>
    <t>17.50 Years</t>
  </si>
  <si>
    <t>14.75 Years</t>
  </si>
  <si>
    <t>11.25 Years</t>
  </si>
  <si>
    <t>24.75 Years</t>
  </si>
  <si>
    <t>17.58 Years</t>
  </si>
  <si>
    <t>14.83 Years</t>
  </si>
  <si>
    <t>24.83 Years</t>
  </si>
  <si>
    <t>20.92 Years</t>
  </si>
  <si>
    <t>11.33 Years</t>
  </si>
  <si>
    <t>24.92 Years</t>
  </si>
  <si>
    <t>17.67 Years</t>
  </si>
  <si>
    <t>14.92 Years</t>
  </si>
  <si>
    <t>21.08 Years</t>
  </si>
  <si>
    <t>25.08 Years</t>
  </si>
  <si>
    <t>Living Annuity Drawdown Percentage</t>
  </si>
  <si>
    <t>Expected life years remaining after start of Longevity insurance</t>
  </si>
  <si>
    <t>Asset Management fee (p.a.)</t>
  </si>
  <si>
    <t>Qx</t>
  </si>
  <si>
    <t>Age at which Annuity Drawdown stopped</t>
  </si>
  <si>
    <t>Starting
Age</t>
  </si>
  <si>
    <t>Age at which Life Guaranteed amount starts for Life</t>
  </si>
  <si>
    <t>Age at start of Living Annuity</t>
  </si>
  <si>
    <t>Total Fees</t>
  </si>
  <si>
    <t>Find 100</t>
  </si>
  <si>
    <t>Zero at Aged 100</t>
  </si>
  <si>
    <t>Zero at Aged 100 x 10,000</t>
  </si>
  <si>
    <t>Inputs</t>
  </si>
  <si>
    <t>Life Cover
Amount</t>
  </si>
  <si>
    <t>Annuity Certain (undecremented)</t>
  </si>
  <si>
    <t>Annuity Life (decremented)</t>
  </si>
  <si>
    <t>No</t>
  </si>
  <si>
    <t>If a Retirement annuity is selected to commence form the start.</t>
  </si>
  <si>
    <t>This is the calculation of the Life long annuity that would be starting, as soon as the Living annuity and Term for Living annuit had been selected</t>
  </si>
  <si>
    <t>Is a Life cover added for the "unused funds" after RA is taken</t>
  </si>
  <si>
    <t>This is a good guidline to what Living annuity can be afforded such that the same living standards can be maintained after the Longevity Guarantee (Retirement Annuity Starts)</t>
  </si>
  <si>
    <t>Premium Details</t>
  </si>
  <si>
    <t>Description</t>
  </si>
  <si>
    <t>Rate</t>
  </si>
  <si>
    <t>Amount (BWP)</t>
  </si>
  <si>
    <t>Purchase Premium</t>
  </si>
  <si>
    <t>Less:</t>
  </si>
  <si>
    <t>Upfront Commision</t>
  </si>
  <si>
    <t>Purchase Premium Charge</t>
  </si>
  <si>
    <t>Investment Amount</t>
  </si>
  <si>
    <t>Investment Portfolio Details</t>
  </si>
  <si>
    <t>Investment Portfolio</t>
  </si>
  <si>
    <t>Allocation %</t>
  </si>
  <si>
    <t>Amount Allocated (BWP)</t>
  </si>
  <si>
    <t>Vunani Botswana Managed Prudential Fund</t>
  </si>
  <si>
    <t>Vunani Botswana Money Market Fund</t>
  </si>
  <si>
    <t>Total</t>
  </si>
  <si>
    <t>Annual Administration Fee</t>
  </si>
  <si>
    <t>Annual Management Fees</t>
  </si>
  <si>
    <t>Annual Ongoing Commission</t>
  </si>
  <si>
    <t>Pension Income</t>
  </si>
  <si>
    <t>Net Purchase Amount</t>
  </si>
  <si>
    <t>Living Annuity Drawdown Frequency</t>
  </si>
  <si>
    <t>Income Tax Amount</t>
  </si>
  <si>
    <t>Net Living Annuity Income after Tax</t>
  </si>
  <si>
    <t>Net Life Annuity Income after Tax</t>
  </si>
  <si>
    <t>Ongoing Charges and Fees- Living Annuity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</si>
</sst>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#,##0.00000_);\(#,##0.00000\)"/>
    <numFmt numFmtId="165" formatCode="_-* #,##0_-;\-* #,##0_-;_-* &quot;-&quot;??_-;_-@_-"/>
    <numFmt numFmtId="166" formatCode="_-* #,##0.0000_-;\-* #,##0.0000_-;_-* &quot;-&quot;??_-;_-@_-"/>
    <numFmt numFmtId="167" formatCode="0.000%"/>
    <numFmt numFmtId="168" formatCode="_-* #,##0.0000000_-;\-* #,##0.0000000_-;_-* &quot;-&quot;??_-;_-@_-"/>
    <numFmt numFmtId="169" formatCode="0.0000000"/>
    <numFmt numFmtId="170" formatCode="#,##0.0000_ ;\-#,##0.0000\ "/>
    <numFmt numFmtId="171" formatCode="#,##0_ ;\-#,##0\ "/>
    <numFmt numFmtId="172" formatCode="0.0000%"/>
    <numFmt numFmtId="173" formatCode="_-* #,##0.0000000000_-;\-* #,##0.0000000000_-;_-* &quot;-&quot;??_-;_-@_-"/>
    <numFmt numFmtId="174" formatCode="0.0000000000"/>
    <numFmt numFmtId="175" formatCode="#,##0.00_ ;\-#,##0.00\ 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wissReSans"/>
      <family val="2"/>
    </font>
    <font>
      <sz val="11"/>
      <color rgb="FF0000FF"/>
      <name val="Calibri"/>
      <family val="2"/>
      <scheme val="minor"/>
    </font>
    <font>
      <sz val="11"/>
      <color rgb="FF0000FF"/>
      <name val="SwissReSans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 style="thin">
        <color indexed="64"/>
      </left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theme="4"/>
      </top>
      <bottom style="double">
        <color theme="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" fillId="0" borderId="26" applyNumberFormat="0" applyFill="0" applyAlignment="0" applyProtection="0"/>
  </cellStyleXfs>
  <cellXfs count="215">
    <xf numFmtId="0" fontId="0" fillId="0" borderId="0" xfId="0"/>
    <xf numFmtId="0" fontId="2" fillId="0" borderId="0" xfId="0" applyFont="1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165" fontId="0" fillId="0" borderId="0" xfId="0" applyNumberFormat="1"/>
    <xf numFmtId="166" fontId="3" fillId="0" borderId="0" xfId="1" applyNumberFormat="1" applyFont="1"/>
    <xf numFmtId="167" fontId="3" fillId="0" borderId="0" xfId="3" applyNumberFormat="1"/>
    <xf numFmtId="43" fontId="3" fillId="0" borderId="0" xfId="3" applyNumberFormat="1"/>
    <xf numFmtId="43" fontId="0" fillId="0" borderId="0" xfId="0" applyNumberFormat="1"/>
    <xf numFmtId="168" fontId="0" fillId="0" borderId="0" xfId="0" applyNumberFormat="1"/>
    <xf numFmtId="0" fontId="8" fillId="3" borderId="1" xfId="0" applyFont="1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3" fontId="10" fillId="0" borderId="0" xfId="1" applyFont="1" applyAlignment="1">
      <alignment vertical="center"/>
    </xf>
    <xf numFmtId="43" fontId="0" fillId="0" borderId="0" xfId="1" applyFont="1" applyAlignment="1"/>
    <xf numFmtId="171" fontId="9" fillId="4" borderId="5" xfId="1" applyNumberFormat="1" applyFont="1" applyFill="1" applyBorder="1" applyAlignment="1">
      <alignment horizontal="center" vertical="center"/>
    </xf>
    <xf numFmtId="171" fontId="9" fillId="4" borderId="6" xfId="1" applyNumberFormat="1" applyFont="1" applyFill="1" applyBorder="1" applyAlignment="1">
      <alignment horizontal="center" vertical="center"/>
    </xf>
    <xf numFmtId="171" fontId="9" fillId="4" borderId="7" xfId="1" applyNumberFormat="1" applyFont="1" applyFill="1" applyBorder="1" applyAlignment="1">
      <alignment horizontal="center" vertical="center"/>
    </xf>
    <xf numFmtId="171" fontId="9" fillId="4" borderId="8" xfId="1" applyNumberFormat="1" applyFont="1" applyFill="1" applyBorder="1" applyAlignment="1">
      <alignment horizontal="center" vertical="center"/>
    </xf>
    <xf numFmtId="171" fontId="9" fillId="4" borderId="7" xfId="1" applyNumberFormat="1" applyFont="1" applyFill="1" applyBorder="1" applyAlignment="1">
      <alignment horizontal="center" vertical="center" wrapText="1"/>
    </xf>
    <xf numFmtId="171" fontId="0" fillId="0" borderId="0" xfId="0" applyNumberFormat="1"/>
    <xf numFmtId="10" fontId="0" fillId="0" borderId="0" xfId="2" applyNumberFormat="1" applyFont="1"/>
    <xf numFmtId="3" fontId="0" fillId="5" borderId="0" xfId="0" applyNumberForma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0" borderId="12" xfId="0" applyFont="1" applyBorder="1"/>
    <xf numFmtId="0" fontId="2" fillId="0" borderId="13" xfId="0" applyFont="1" applyBorder="1" applyAlignment="1">
      <alignment horizontal="center"/>
    </xf>
    <xf numFmtId="37" fontId="0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0" borderId="11" xfId="0" applyFont="1" applyBorder="1"/>
    <xf numFmtId="0" fontId="0" fillId="0" borderId="12" xfId="0" applyBorder="1"/>
    <xf numFmtId="0" fontId="0" fillId="0" borderId="13" xfId="0" applyBorder="1"/>
    <xf numFmtId="10" fontId="0" fillId="0" borderId="13" xfId="0" applyNumberFormat="1" applyBorder="1"/>
    <xf numFmtId="37" fontId="0" fillId="0" borderId="12" xfId="0" applyNumberFormat="1" applyBorder="1"/>
    <xf numFmtId="165" fontId="0" fillId="0" borderId="13" xfId="0" applyNumberFormat="1" applyBorder="1"/>
    <xf numFmtId="0" fontId="0" fillId="0" borderId="16" xfId="0" applyBorder="1"/>
    <xf numFmtId="43" fontId="0" fillId="0" borderId="0" xfId="1" applyFont="1" applyBorder="1"/>
    <xf numFmtId="43" fontId="0" fillId="0" borderId="17" xfId="0" applyNumberFormat="1" applyBorder="1"/>
    <xf numFmtId="0" fontId="0" fillId="0" borderId="18" xfId="0" applyBorder="1"/>
    <xf numFmtId="164" fontId="0" fillId="0" borderId="13" xfId="0" applyNumberFormat="1" applyBorder="1"/>
    <xf numFmtId="43" fontId="0" fillId="0" borderId="13" xfId="1" applyFont="1" applyBorder="1"/>
    <xf numFmtId="43" fontId="0" fillId="0" borderId="19" xfId="0" applyNumberFormat="1" applyBorder="1"/>
    <xf numFmtId="0" fontId="4" fillId="0" borderId="14" xfId="0" applyFont="1" applyBorder="1"/>
    <xf numFmtId="0" fontId="4" fillId="0" borderId="12" xfId="0" applyFont="1" applyBorder="1"/>
    <xf numFmtId="0" fontId="5" fillId="0" borderId="12" xfId="3" applyFont="1" applyBorder="1"/>
    <xf numFmtId="0" fontId="5" fillId="0" borderId="15" xfId="3" applyFont="1" applyBorder="1"/>
    <xf numFmtId="0" fontId="4" fillId="0" borderId="16" xfId="0" applyFont="1" applyBorder="1"/>
    <xf numFmtId="0" fontId="4" fillId="0" borderId="0" xfId="0" applyFont="1"/>
    <xf numFmtId="167" fontId="5" fillId="0" borderId="0" xfId="3" applyNumberFormat="1" applyFont="1"/>
    <xf numFmtId="170" fontId="5" fillId="0" borderId="0" xfId="1" applyNumberFormat="1" applyFont="1" applyBorder="1" applyAlignment="1">
      <alignment horizontal="center"/>
    </xf>
    <xf numFmtId="170" fontId="5" fillId="0" borderId="0" xfId="1" applyNumberFormat="1" applyFont="1" applyBorder="1" applyAlignment="1">
      <alignment horizontal="center" vertical="center"/>
    </xf>
    <xf numFmtId="170" fontId="5" fillId="0" borderId="17" xfId="1" applyNumberFormat="1" applyFont="1" applyBorder="1" applyAlignment="1">
      <alignment horizontal="center" vertical="center"/>
    </xf>
    <xf numFmtId="0" fontId="4" fillId="0" borderId="18" xfId="0" applyFont="1" applyBorder="1"/>
    <xf numFmtId="0" fontId="4" fillId="0" borderId="13" xfId="0" applyFont="1" applyBorder="1"/>
    <xf numFmtId="167" fontId="5" fillId="0" borderId="13" xfId="3" applyNumberFormat="1" applyFont="1" applyBorder="1"/>
    <xf numFmtId="170" fontId="5" fillId="0" borderId="13" xfId="1" applyNumberFormat="1" applyFont="1" applyBorder="1" applyAlignment="1">
      <alignment horizontal="center"/>
    </xf>
    <xf numFmtId="170" fontId="5" fillId="0" borderId="13" xfId="1" applyNumberFormat="1" applyFont="1" applyBorder="1" applyAlignment="1">
      <alignment horizontal="center" vertical="center"/>
    </xf>
    <xf numFmtId="170" fontId="5" fillId="0" borderId="19" xfId="1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/>
    </xf>
    <xf numFmtId="0" fontId="6" fillId="0" borderId="12" xfId="0" applyFont="1" applyBorder="1"/>
    <xf numFmtId="169" fontId="7" fillId="0" borderId="12" xfId="0" applyNumberFormat="1" applyFont="1" applyBorder="1"/>
    <xf numFmtId="169" fontId="7" fillId="0" borderId="15" xfId="0" applyNumberFormat="1" applyFont="1" applyBorder="1"/>
    <xf numFmtId="0" fontId="6" fillId="0" borderId="16" xfId="0" applyFont="1" applyBorder="1" applyAlignment="1">
      <alignment horizontal="center"/>
    </xf>
    <xf numFmtId="169" fontId="6" fillId="0" borderId="0" xfId="0" applyNumberFormat="1" applyFont="1"/>
    <xf numFmtId="43" fontId="6" fillId="0" borderId="17" xfId="1" applyFont="1" applyBorder="1"/>
    <xf numFmtId="0" fontId="6" fillId="0" borderId="18" xfId="0" applyFont="1" applyBorder="1" applyAlignment="1">
      <alignment horizontal="center"/>
    </xf>
    <xf numFmtId="169" fontId="6" fillId="0" borderId="13" xfId="0" applyNumberFormat="1" applyFont="1" applyBorder="1"/>
    <xf numFmtId="43" fontId="6" fillId="0" borderId="19" xfId="1" applyFont="1" applyBorder="1"/>
    <xf numFmtId="0" fontId="2" fillId="0" borderId="14" xfId="0" applyFont="1" applyBorder="1"/>
    <xf numFmtId="0" fontId="2" fillId="0" borderId="15" xfId="0" applyFont="1" applyBorder="1"/>
    <xf numFmtId="165" fontId="0" fillId="2" borderId="12" xfId="1" applyNumberFormat="1" applyFont="1" applyFill="1" applyBorder="1" applyProtection="1">
      <protection locked="0"/>
    </xf>
    <xf numFmtId="165" fontId="12" fillId="0" borderId="12" xfId="1" applyNumberFormat="1" applyFont="1" applyBorder="1" applyAlignment="1">
      <alignment horizontal="right"/>
    </xf>
    <xf numFmtId="165" fontId="12" fillId="0" borderId="13" xfId="1" applyNumberFormat="1" applyFont="1" applyBorder="1" applyAlignment="1">
      <alignment horizontal="right"/>
    </xf>
    <xf numFmtId="165" fontId="0" fillId="0" borderId="12" xfId="0" applyNumberFormat="1" applyBorder="1"/>
    <xf numFmtId="37" fontId="4" fillId="5" borderId="0" xfId="1" applyNumberFormat="1" applyFont="1" applyFill="1" applyAlignment="1">
      <alignment horizontal="center" vertical="center"/>
    </xf>
    <xf numFmtId="37" fontId="4" fillId="0" borderId="0" xfId="1" applyNumberFormat="1" applyFont="1" applyAlignment="1">
      <alignment horizontal="center" vertical="center"/>
    </xf>
    <xf numFmtId="0" fontId="14" fillId="0" borderId="12" xfId="0" applyFont="1" applyBorder="1" applyAlignment="1">
      <alignment horizontal="left"/>
    </xf>
    <xf numFmtId="0" fontId="14" fillId="0" borderId="13" xfId="0" applyFont="1" applyBorder="1" applyAlignment="1">
      <alignment horizontal="left"/>
    </xf>
    <xf numFmtId="37" fontId="14" fillId="0" borderId="12" xfId="0" applyNumberFormat="1" applyFont="1" applyBorder="1"/>
    <xf numFmtId="165" fontId="14" fillId="0" borderId="13" xfId="0" applyNumberFormat="1" applyFont="1" applyBorder="1"/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4" fillId="0" borderId="0" xfId="0" applyFont="1" applyAlignment="1">
      <alignment horizontal="left"/>
    </xf>
    <xf numFmtId="165" fontId="14" fillId="0" borderId="0" xfId="0" applyNumberFormat="1" applyFont="1"/>
    <xf numFmtId="10" fontId="14" fillId="0" borderId="13" xfId="2" applyNumberFormat="1" applyFont="1" applyBorder="1"/>
    <xf numFmtId="165" fontId="0" fillId="0" borderId="12" xfId="1" applyNumberFormat="1" applyFont="1" applyBorder="1"/>
    <xf numFmtId="165" fontId="0" fillId="0" borderId="0" xfId="1" applyNumberFormat="1" applyFont="1" applyBorder="1"/>
    <xf numFmtId="165" fontId="0" fillId="0" borderId="13" xfId="1" applyNumberFormat="1" applyFont="1" applyBorder="1"/>
    <xf numFmtId="0" fontId="2" fillId="0" borderId="11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0" fillId="0" borderId="23" xfId="0" applyBorder="1"/>
    <xf numFmtId="0" fontId="0" fillId="0" borderId="24" xfId="0" applyBorder="1"/>
    <xf numFmtId="10" fontId="0" fillId="0" borderId="24" xfId="0" applyNumberFormat="1" applyBorder="1"/>
    <xf numFmtId="0" fontId="0" fillId="0" borderId="25" xfId="0" applyBorder="1"/>
    <xf numFmtId="10" fontId="0" fillId="0" borderId="25" xfId="0" applyNumberFormat="1" applyBorder="1"/>
    <xf numFmtId="37" fontId="0" fillId="0" borderId="0" xfId="0" applyNumberFormat="1"/>
    <xf numFmtId="165" fontId="12" fillId="0" borderId="0" xfId="1" applyNumberFormat="1" applyFont="1" applyBorder="1" applyAlignment="1">
      <alignment horizontal="right"/>
    </xf>
    <xf numFmtId="37" fontId="14" fillId="0" borderId="0" xfId="0" applyNumberFormat="1" applyFont="1"/>
    <xf numFmtId="0" fontId="12" fillId="0" borderId="11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165" fontId="2" fillId="0" borderId="11" xfId="0" applyNumberFormat="1" applyFont="1" applyBorder="1" applyAlignment="1">
      <alignment horizontal="center" vertical="center" wrapText="1"/>
    </xf>
    <xf numFmtId="165" fontId="14" fillId="0" borderId="12" xfId="0" applyNumberFormat="1" applyFont="1" applyBorder="1"/>
    <xf numFmtId="10" fontId="14" fillId="0" borderId="12" xfId="2" applyNumberFormat="1" applyFont="1" applyBorder="1"/>
    <xf numFmtId="10" fontId="14" fillId="0" borderId="0" xfId="2" applyNumberFormat="1" applyFont="1" applyBorder="1"/>
    <xf numFmtId="37" fontId="0" fillId="0" borderId="13" xfId="0" applyNumberFormat="1" applyBorder="1"/>
    <xf numFmtId="37" fontId="14" fillId="0" borderId="13" xfId="0" applyNumberFormat="1" applyFont="1" applyBorder="1"/>
    <xf numFmtId="165" fontId="0" fillId="2" borderId="13" xfId="1" applyNumberFormat="1" applyFont="1" applyFill="1" applyBorder="1" applyProtection="1">
      <protection locked="0"/>
    </xf>
    <xf numFmtId="10" fontId="0" fillId="6" borderId="12" xfId="0" applyNumberFormat="1" applyFill="1" applyBorder="1" applyProtection="1">
      <protection locked="0"/>
    </xf>
    <xf numFmtId="10" fontId="0" fillId="6" borderId="0" xfId="0" applyNumberFormat="1" applyFill="1" applyProtection="1">
      <protection locked="0"/>
    </xf>
    <xf numFmtId="43" fontId="0" fillId="6" borderId="0" xfId="1" applyFont="1" applyFill="1" applyBorder="1" applyProtection="1">
      <protection locked="0"/>
    </xf>
    <xf numFmtId="10" fontId="0" fillId="0" borderId="23" xfId="0" applyNumberFormat="1" applyBorder="1"/>
    <xf numFmtId="165" fontId="0" fillId="0" borderId="15" xfId="0" applyNumberFormat="1" applyBorder="1"/>
    <xf numFmtId="165" fontId="0" fillId="0" borderId="17" xfId="0" applyNumberFormat="1" applyBorder="1"/>
    <xf numFmtId="165" fontId="0" fillId="0" borderId="19" xfId="0" applyNumberFormat="1" applyBorder="1"/>
    <xf numFmtId="165" fontId="2" fillId="0" borderId="22" xfId="0" applyNumberFormat="1" applyFont="1" applyBorder="1" applyAlignment="1">
      <alignment horizontal="center" vertical="center" wrapText="1"/>
    </xf>
    <xf numFmtId="10" fontId="0" fillId="0" borderId="12" xfId="2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0" fontId="0" fillId="0" borderId="13" xfId="2" applyNumberFormat="1" applyFont="1" applyBorder="1" applyAlignment="1">
      <alignment horizontal="center"/>
    </xf>
    <xf numFmtId="3" fontId="2" fillId="0" borderId="0" xfId="0" applyNumberFormat="1" applyFont="1"/>
    <xf numFmtId="9" fontId="0" fillId="0" borderId="0" xfId="0" applyNumberFormat="1"/>
    <xf numFmtId="43" fontId="2" fillId="0" borderId="0" xfId="0" applyNumberFormat="1" applyFont="1"/>
    <xf numFmtId="0" fontId="13" fillId="0" borderId="13" xfId="0" applyFont="1" applyBorder="1" applyAlignment="1">
      <alignment horizontal="center"/>
    </xf>
    <xf numFmtId="43" fontId="13" fillId="0" borderId="0" xfId="0" applyNumberFormat="1" applyFont="1"/>
    <xf numFmtId="166" fontId="4" fillId="0" borderId="0" xfId="0" applyNumberFormat="1" applyFont="1"/>
    <xf numFmtId="43" fontId="4" fillId="0" borderId="0" xfId="0" applyNumberFormat="1" applyFont="1"/>
    <xf numFmtId="172" fontId="0" fillId="0" borderId="23" xfId="0" applyNumberFormat="1" applyBorder="1"/>
    <xf numFmtId="43" fontId="0" fillId="0" borderId="24" xfId="0" applyNumberFormat="1" applyBorder="1"/>
    <xf numFmtId="165" fontId="0" fillId="0" borderId="24" xfId="0" applyNumberFormat="1" applyBorder="1"/>
    <xf numFmtId="43" fontId="0" fillId="0" borderId="20" xfId="0" applyNumberFormat="1" applyBorder="1"/>
    <xf numFmtId="0" fontId="0" fillId="5" borderId="0" xfId="0" applyFill="1"/>
    <xf numFmtId="0" fontId="2" fillId="0" borderId="12" xfId="0" applyFont="1" applyBorder="1" applyAlignment="1">
      <alignment horizontal="center" wrapText="1"/>
    </xf>
    <xf numFmtId="165" fontId="16" fillId="5" borderId="25" xfId="0" applyNumberFormat="1" applyFont="1" applyFill="1" applyBorder="1"/>
    <xf numFmtId="0" fontId="0" fillId="0" borderId="14" xfId="0" applyBorder="1"/>
    <xf numFmtId="0" fontId="16" fillId="5" borderId="16" xfId="0" applyFont="1" applyFill="1" applyBorder="1"/>
    <xf numFmtId="165" fontId="16" fillId="5" borderId="24" xfId="0" applyNumberFormat="1" applyFont="1" applyFill="1" applyBorder="1"/>
    <xf numFmtId="0" fontId="16" fillId="5" borderId="18" xfId="0" applyFont="1" applyFill="1" applyBorder="1"/>
    <xf numFmtId="0" fontId="12" fillId="0" borderId="12" xfId="0" applyFont="1" applyBorder="1"/>
    <xf numFmtId="165" fontId="12" fillId="0" borderId="12" xfId="1" applyNumberFormat="1" applyFont="1" applyBorder="1"/>
    <xf numFmtId="0" fontId="12" fillId="0" borderId="0" xfId="0" applyFont="1"/>
    <xf numFmtId="165" fontId="12" fillId="0" borderId="0" xfId="1" applyNumberFormat="1" applyFont="1" applyBorder="1"/>
    <xf numFmtId="0" fontId="12" fillId="0" borderId="13" xfId="0" applyFont="1" applyBorder="1"/>
    <xf numFmtId="165" fontId="12" fillId="0" borderId="13" xfId="1" applyNumberFormat="1" applyFont="1" applyBorder="1"/>
    <xf numFmtId="165" fontId="17" fillId="0" borderId="0" xfId="0" applyNumberFormat="1" applyFont="1"/>
    <xf numFmtId="168" fontId="17" fillId="0" borderId="0" xfId="0" applyNumberFormat="1" applyFont="1"/>
    <xf numFmtId="0" fontId="2" fillId="0" borderId="11" xfId="0" applyFont="1" applyBorder="1" applyAlignment="1">
      <alignment horizontal="center"/>
    </xf>
    <xf numFmtId="165" fontId="0" fillId="7" borderId="12" xfId="1" applyNumberFormat="1" applyFont="1" applyFill="1" applyBorder="1" applyProtection="1">
      <protection locked="0"/>
    </xf>
    <xf numFmtId="165" fontId="0" fillId="7" borderId="0" xfId="1" applyNumberFormat="1" applyFont="1" applyFill="1" applyBorder="1" applyProtection="1">
      <protection locked="0"/>
    </xf>
    <xf numFmtId="10" fontId="0" fillId="7" borderId="0" xfId="0" applyNumberFormat="1" applyFill="1" applyProtection="1"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3" xfId="0" applyFill="1" applyBorder="1" applyAlignment="1">
      <alignment horizontal="center"/>
    </xf>
    <xf numFmtId="171" fontId="0" fillId="5" borderId="0" xfId="1" applyNumberFormat="1" applyFont="1" applyFill="1" applyAlignment="1">
      <alignment horizontal="center" vertical="center"/>
    </xf>
    <xf numFmtId="3" fontId="0" fillId="0" borderId="0" xfId="1" applyNumberFormat="1" applyFont="1" applyAlignment="1">
      <alignment horizontal="center" vertical="center"/>
    </xf>
    <xf numFmtId="0" fontId="18" fillId="0" borderId="0" xfId="0" applyFont="1"/>
    <xf numFmtId="37" fontId="18" fillId="5" borderId="0" xfId="1" applyNumberFormat="1" applyFont="1" applyFill="1" applyAlignment="1">
      <alignment horizontal="center" vertical="center"/>
    </xf>
    <xf numFmtId="37" fontId="18" fillId="0" borderId="0" xfId="1" applyNumberFormat="1" applyFont="1" applyAlignment="1">
      <alignment horizontal="center" vertical="center"/>
    </xf>
    <xf numFmtId="43" fontId="13" fillId="5" borderId="0" xfId="0" applyNumberFormat="1" applyFont="1" applyFill="1"/>
    <xf numFmtId="173" fontId="0" fillId="0" borderId="0" xfId="0" applyNumberFormat="1"/>
    <xf numFmtId="174" fontId="0" fillId="0" borderId="0" xfId="0" applyNumberFormat="1"/>
    <xf numFmtId="165" fontId="0" fillId="5" borderId="0" xfId="0" applyNumberFormat="1" applyFill="1" applyAlignment="1">
      <alignment horizontal="center"/>
    </xf>
    <xf numFmtId="167" fontId="0" fillId="0" borderId="0" xfId="2" applyNumberFormat="1" applyFont="1"/>
    <xf numFmtId="165" fontId="0" fillId="0" borderId="15" xfId="1" applyNumberFormat="1" applyFont="1" applyBorder="1"/>
    <xf numFmtId="43" fontId="0" fillId="0" borderId="15" xfId="1" applyFont="1" applyBorder="1"/>
    <xf numFmtId="0" fontId="0" fillId="0" borderId="15" xfId="0" applyBorder="1"/>
    <xf numFmtId="0" fontId="20" fillId="8" borderId="14" xfId="0" applyFont="1" applyFill="1" applyBorder="1"/>
    <xf numFmtId="0" fontId="20" fillId="8" borderId="12" xfId="0" applyFont="1" applyFill="1" applyBorder="1"/>
    <xf numFmtId="43" fontId="20" fillId="8" borderId="15" xfId="1" applyFont="1" applyFill="1" applyBorder="1"/>
    <xf numFmtId="0" fontId="0" fillId="0" borderId="17" xfId="0" applyBorder="1"/>
    <xf numFmtId="43" fontId="0" fillId="0" borderId="17" xfId="1" applyFont="1" applyBorder="1"/>
    <xf numFmtId="0" fontId="2" fillId="0" borderId="16" xfId="0" applyFont="1" applyBorder="1"/>
    <xf numFmtId="0" fontId="2" fillId="0" borderId="27" xfId="4" applyBorder="1"/>
    <xf numFmtId="0" fontId="2" fillId="0" borderId="28" xfId="4" applyBorder="1"/>
    <xf numFmtId="43" fontId="2" fillId="0" borderId="29" xfId="4" applyNumberFormat="1" applyBorder="1"/>
    <xf numFmtId="0" fontId="20" fillId="8" borderId="15" xfId="0" applyFont="1" applyFill="1" applyBorder="1"/>
    <xf numFmtId="172" fontId="0" fillId="0" borderId="0" xfId="0" applyNumberFormat="1"/>
    <xf numFmtId="172" fontId="0" fillId="0" borderId="0" xfId="2" applyNumberFormat="1" applyFont="1" applyBorder="1"/>
    <xf numFmtId="172" fontId="0" fillId="0" borderId="17" xfId="0" applyNumberFormat="1" applyBorder="1"/>
    <xf numFmtId="172" fontId="2" fillId="0" borderId="28" xfId="4" applyNumberFormat="1" applyBorder="1"/>
    <xf numFmtId="172" fontId="2" fillId="0" borderId="29" xfId="4" applyNumberFormat="1" applyBorder="1"/>
    <xf numFmtId="43" fontId="0" fillId="0" borderId="15" xfId="0" applyNumberFormat="1" applyBorder="1" applyAlignment="1">
      <alignment horizontal="right"/>
    </xf>
    <xf numFmtId="0" fontId="0" fillId="0" borderId="17" xfId="0" applyBorder="1" applyAlignment="1">
      <alignment horizontal="right"/>
    </xf>
    <xf numFmtId="0" fontId="2" fillId="0" borderId="30" xfId="4" applyBorder="1"/>
    <xf numFmtId="43" fontId="2" fillId="0" borderId="31" xfId="4" applyNumberFormat="1" applyBorder="1"/>
    <xf numFmtId="175" fontId="0" fillId="0" borderId="17" xfId="1" applyNumberFormat="1" applyFont="1" applyBorder="1"/>
    <xf numFmtId="0" fontId="0" fillId="0" borderId="19" xfId="0" applyBorder="1"/>
    <xf numFmtId="10" fontId="0" fillId="0" borderId="17" xfId="0" applyNumberFormat="1" applyBorder="1" applyAlignment="1">
      <alignment horizontal="right"/>
    </xf>
    <xf numFmtId="0" fontId="2" fillId="5" borderId="21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wrapText="1"/>
    </xf>
    <xf numFmtId="0" fontId="12" fillId="0" borderId="11" xfId="0" applyFont="1" applyBorder="1" applyAlignment="1">
      <alignment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2" fillId="0" borderId="12" xfId="0" applyFont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</cellXfs>
  <cellStyles count="5">
    <cellStyle name="Comma" xfId="1" builtinId="3"/>
    <cellStyle name="Normal" xfId="0" builtinId="0"/>
    <cellStyle name="Normal 3" xfId="3" xr:uid="{2EE152C3-315B-4BA8-A8C5-7CE25F033B4B}"/>
    <cellStyle name="Percent" xfId="2" builtinId="5"/>
    <cellStyle name="Total" xfId="4" builtinId="25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2880360</xdr:colOff>
          <xdr:row>23</xdr:row>
          <xdr:rowOff>38100</xdr:rowOff>
        </xdr:from>
        <xdr:to>
          <xdr:col>2</xdr:col>
          <xdr:colOff>670560</xdr:colOff>
          <xdr:row>25</xdr:row>
          <xdr:rowOff>137160</xdr:rowOff>
        </xdr:to>
        <xdr:sp macro="" textlink="">
          <xdr:nvSpPr>
            <xdr:cNvPr id="8561" name="Button 548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1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 Life Annuity</a:t>
              </a:r>
            </a:p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after Living Annuity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2232660</xdr:colOff>
          <xdr:row>30</xdr:row>
          <xdr:rowOff>22860</xdr:rowOff>
        </xdr:from>
        <xdr:to>
          <xdr:col>2</xdr:col>
          <xdr:colOff>670560</xdr:colOff>
          <xdr:row>31</xdr:row>
          <xdr:rowOff>160020</xdr:rowOff>
        </xdr:to>
        <xdr:sp macro="" textlink="">
          <xdr:nvSpPr>
            <xdr:cNvPr id="11397" name="Button 6277" hidden="1">
              <a:extLst>
                <a:ext uri="{63B3BB69-23CF-44E3-9099-C40C66FF867C}">
                  <a14:compatExt spid="_x0000_s11397"/>
                </a:ext>
                <a:ext uri="{FF2B5EF4-FFF2-40B4-BE49-F238E27FC236}">
                  <a16:creationId xmlns:a16="http://schemas.microsoft.com/office/drawing/2014/main" id="{00000000-0008-0000-0100-00008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 Life Annuity From day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lexander\Dropbox\SynapseClients\Clients\ExclusiveLife_Botswana\2024%20RetirementAnnuity\Analysis\DiscRateCalc%202023-12-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 - Nominal (PA)"/>
      <sheetName val="Bond - Real (PA)"/>
      <sheetName val="Interest rate curve shocks"/>
      <sheetName val="Nominal"/>
      <sheetName val="Real"/>
      <sheetName val="BEL Rates"/>
      <sheetName val="Alex DiscCalc"/>
    </sheetNames>
    <sheetDataSet>
      <sheetData sheetId="0"/>
      <sheetData sheetId="1"/>
      <sheetData sheetId="2"/>
      <sheetData sheetId="3">
        <row r="4">
          <cell r="L4" t="str">
            <v>Disc factor Base</v>
          </cell>
          <cell r="P4" t="str">
            <v>Int in period
Base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A9B7C-555E-4060-9EF4-B3A727CA56D2}">
  <sheetPr codeName="Sheet3">
    <tabColor rgb="FFFFFFCC"/>
  </sheetPr>
  <dimension ref="C2:AC213"/>
  <sheetViews>
    <sheetView showGridLines="0" zoomScale="70" zoomScaleNormal="70" workbookViewId="0">
      <selection activeCell="AB15" sqref="AB15:AC18"/>
    </sheetView>
  </sheetViews>
  <sheetFormatPr defaultRowHeight="14.4"/>
  <cols>
    <col min="3" max="4" width="8.6640625" customWidth="1"/>
    <col min="5" max="5" width="11.33203125" customWidth="1"/>
    <col min="6" max="6" width="12.88671875" customWidth="1"/>
    <col min="7" max="7" width="8.6640625" customWidth="1"/>
    <col min="8" max="8" width="2.5546875" customWidth="1"/>
    <col min="9" max="9" width="13.6640625" bestFit="1" customWidth="1"/>
    <col min="10" max="10" width="12" bestFit="1" customWidth="1"/>
    <col min="11" max="11" width="10.33203125" bestFit="1" customWidth="1"/>
    <col min="12" max="12" width="8.6640625" bestFit="1" customWidth="1"/>
    <col min="13" max="13" width="12.88671875" bestFit="1" customWidth="1"/>
    <col min="14" max="14" width="14.109375" bestFit="1" customWidth="1"/>
    <col min="15" max="16" width="11.6640625" bestFit="1" customWidth="1"/>
    <col min="17" max="17" width="8.109375" bestFit="1" customWidth="1"/>
    <col min="18" max="18" width="12" bestFit="1" customWidth="1"/>
    <col min="19" max="19" width="13.44140625" bestFit="1" customWidth="1"/>
    <col min="20" max="20" width="11.5546875" hidden="1" customWidth="1"/>
    <col min="21" max="21" width="8.88671875" hidden="1" customWidth="1"/>
    <col min="22" max="22" width="10.6640625" hidden="1" customWidth="1"/>
    <col min="23" max="23" width="14.33203125" hidden="1" customWidth="1"/>
    <col min="24" max="24" width="10.33203125" hidden="1" customWidth="1"/>
    <col min="25" max="25" width="12.88671875" hidden="1" customWidth="1"/>
    <col min="26" max="26" width="10.44140625" hidden="1" customWidth="1"/>
    <col min="29" max="29" width="18.44140625" customWidth="1"/>
  </cols>
  <sheetData>
    <row r="2" spans="3:29">
      <c r="M2" s="9"/>
    </row>
    <row r="4" spans="3:29">
      <c r="C4" s="194" t="s">
        <v>67</v>
      </c>
      <c r="D4" s="195"/>
      <c r="E4" s="195"/>
      <c r="F4" s="195"/>
      <c r="G4" s="196"/>
      <c r="I4" s="195" t="s">
        <v>68</v>
      </c>
      <c r="J4" s="195"/>
      <c r="K4" s="195"/>
      <c r="L4" s="195"/>
      <c r="M4" s="195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</row>
    <row r="5" spans="3:29" ht="54.45" customHeight="1">
      <c r="C5" s="97" t="s">
        <v>62</v>
      </c>
      <c r="D5" s="97" t="s">
        <v>14</v>
      </c>
      <c r="E5" s="97" t="s">
        <v>0</v>
      </c>
      <c r="F5" s="97" t="s">
        <v>83</v>
      </c>
      <c r="G5" s="97" t="s">
        <v>66</v>
      </c>
      <c r="I5" s="97" t="s">
        <v>38</v>
      </c>
      <c r="J5" s="97" t="s">
        <v>39</v>
      </c>
      <c r="K5" s="97" t="s">
        <v>70</v>
      </c>
      <c r="L5" s="97" t="s">
        <v>71</v>
      </c>
      <c r="M5" s="97" t="s">
        <v>42</v>
      </c>
      <c r="N5" s="97" t="s">
        <v>43</v>
      </c>
      <c r="O5" s="107" t="s">
        <v>44</v>
      </c>
      <c r="P5" s="107" t="s">
        <v>45</v>
      </c>
      <c r="Q5" s="108" t="s">
        <v>41</v>
      </c>
      <c r="R5" s="108" t="s">
        <v>47</v>
      </c>
      <c r="S5" s="108" t="s">
        <v>61</v>
      </c>
      <c r="T5" s="97" t="s">
        <v>50</v>
      </c>
      <c r="U5" s="97" t="s">
        <v>51</v>
      </c>
      <c r="V5" s="97" t="s">
        <v>53</v>
      </c>
      <c r="W5" s="97" t="s">
        <v>52</v>
      </c>
      <c r="X5" s="109" t="s">
        <v>54</v>
      </c>
      <c r="Y5" s="109" t="s">
        <v>55</v>
      </c>
      <c r="Z5" s="123" t="s">
        <v>56</v>
      </c>
      <c r="AB5" s="98" t="s">
        <v>63</v>
      </c>
      <c r="AC5" s="98" t="s">
        <v>65</v>
      </c>
    </row>
    <row r="6" spans="3:29">
      <c r="C6" s="39">
        <v>1</v>
      </c>
      <c r="D6" s="39">
        <v>50</v>
      </c>
      <c r="E6" s="94">
        <v>300000</v>
      </c>
      <c r="F6" s="124">
        <f t="shared" ref="F6:F69" si="0">VLOOKUP(D6,$AB$6:$AC$13,2,FALSE)</f>
        <v>5.45E-2</v>
      </c>
      <c r="G6" s="39" t="s">
        <v>6</v>
      </c>
      <c r="I6" s="42">
        <v>410063.8981689536</v>
      </c>
      <c r="J6" s="82">
        <v>208713.07137509371</v>
      </c>
      <c r="K6" s="82">
        <v>300000</v>
      </c>
      <c r="L6" s="82">
        <v>16350</v>
      </c>
      <c r="M6" s="82">
        <v>25</v>
      </c>
      <c r="N6" s="82">
        <v>1313.8981689536013</v>
      </c>
      <c r="O6" s="80" t="s">
        <v>86</v>
      </c>
      <c r="P6" s="80" t="s">
        <v>73</v>
      </c>
      <c r="Q6" s="87">
        <v>48777.402227793064</v>
      </c>
      <c r="R6" s="110">
        <v>32726.210133220815</v>
      </c>
      <c r="S6" s="111">
        <v>0.10908736711073605</v>
      </c>
      <c r="T6" s="42">
        <v>32612.863140931018</v>
      </c>
      <c r="U6" s="82">
        <v>19838.626517907207</v>
      </c>
      <c r="V6" s="42">
        <v>53266.238539684084</v>
      </c>
      <c r="W6" s="82">
        <v>34967.879551871738</v>
      </c>
      <c r="X6" s="82">
        <v>139171.50390840817</v>
      </c>
      <c r="Y6" s="82">
        <v>89893.341353565251</v>
      </c>
      <c r="Z6" s="120">
        <v>298606.41272865899</v>
      </c>
      <c r="AB6" s="99">
        <v>50</v>
      </c>
      <c r="AC6" s="119">
        <v>5.45E-2</v>
      </c>
    </row>
    <row r="7" spans="3:29">
      <c r="C7">
        <f>C6+1</f>
        <v>2</v>
      </c>
      <c r="D7">
        <f>D6+5</f>
        <v>55</v>
      </c>
      <c r="E7" s="95">
        <v>300000</v>
      </c>
      <c r="F7" s="125">
        <f t="shared" si="0"/>
        <v>6.1499999999999999E-2</v>
      </c>
      <c r="G7" t="s">
        <v>6</v>
      </c>
      <c r="I7" s="104">
        <v>389940.23403908021</v>
      </c>
      <c r="J7" s="5">
        <v>217222.66233996401</v>
      </c>
      <c r="K7" s="5">
        <v>300000</v>
      </c>
      <c r="L7" s="5">
        <v>18450</v>
      </c>
      <c r="M7" s="5">
        <v>21</v>
      </c>
      <c r="N7" s="5">
        <v>2490.2340390802128</v>
      </c>
      <c r="O7" s="105" t="s">
        <v>81</v>
      </c>
      <c r="P7" s="105" t="s">
        <v>74</v>
      </c>
      <c r="Q7" s="106">
        <v>41684.192910101374</v>
      </c>
      <c r="R7" s="92">
        <v>29867.00030647235</v>
      </c>
      <c r="S7" s="112">
        <v>9.955666768824116E-2</v>
      </c>
      <c r="T7" s="104">
        <v>27204.129181352109</v>
      </c>
      <c r="U7" s="5">
        <v>17715.75909562259</v>
      </c>
      <c r="V7" s="104">
        <v>45179.979917515564</v>
      </c>
      <c r="W7" s="5">
        <v>31708.38034937848</v>
      </c>
      <c r="X7" s="5">
        <v>117863.30200896904</v>
      </c>
      <c r="Y7" s="5">
        <v>81465.440094003337</v>
      </c>
      <c r="Z7" s="121">
        <v>298688.10243396735</v>
      </c>
      <c r="AB7" s="100">
        <f t="shared" ref="AB7:AB13" si="1">AB6+5</f>
        <v>55</v>
      </c>
      <c r="AC7" s="101">
        <v>6.1499999999999999E-2</v>
      </c>
    </row>
    <row r="8" spans="3:29">
      <c r="C8">
        <f t="shared" ref="C8:C13" si="2">C7+1</f>
        <v>3</v>
      </c>
      <c r="D8">
        <f t="shared" ref="D8:D13" si="3">D7+5</f>
        <v>60</v>
      </c>
      <c r="E8" s="95">
        <v>300000</v>
      </c>
      <c r="F8" s="125">
        <f t="shared" si="0"/>
        <v>7.0000000000000007E-2</v>
      </c>
      <c r="G8" t="s">
        <v>6</v>
      </c>
      <c r="I8" s="104">
        <v>373090.81309189356</v>
      </c>
      <c r="J8" s="5">
        <v>225464.03836523762</v>
      </c>
      <c r="K8" s="5">
        <v>300000</v>
      </c>
      <c r="L8" s="5">
        <v>21000.000000000004</v>
      </c>
      <c r="M8" s="5">
        <v>17</v>
      </c>
      <c r="N8" s="5">
        <v>16090.813091893506</v>
      </c>
      <c r="O8" s="105" t="s">
        <v>87</v>
      </c>
      <c r="P8" s="105" t="s">
        <v>75</v>
      </c>
      <c r="Q8" s="106">
        <v>35702.639362560963</v>
      </c>
      <c r="R8" s="92">
        <v>27117.768472243912</v>
      </c>
      <c r="S8" s="112">
        <v>9.0392561574146366E-2</v>
      </c>
      <c r="T8" s="104">
        <v>22635.457497923624</v>
      </c>
      <c r="U8" s="5">
        <v>15671.785202247684</v>
      </c>
      <c r="V8" s="104">
        <v>38361.008873319508</v>
      </c>
      <c r="W8" s="5">
        <v>28574.256058358096</v>
      </c>
      <c r="X8" s="5">
        <v>99774.105733804085</v>
      </c>
      <c r="Y8" s="5">
        <v>73302.611622764685</v>
      </c>
      <c r="Z8" s="121">
        <v>298766.64998800232</v>
      </c>
      <c r="AB8" s="100">
        <f t="shared" si="1"/>
        <v>60</v>
      </c>
      <c r="AC8" s="101">
        <v>7.0000000000000007E-2</v>
      </c>
    </row>
    <row r="9" spans="3:29">
      <c r="C9">
        <f t="shared" si="2"/>
        <v>4</v>
      </c>
      <c r="D9">
        <f t="shared" si="3"/>
        <v>65</v>
      </c>
      <c r="E9" s="95">
        <v>300000</v>
      </c>
      <c r="F9" s="125">
        <f t="shared" si="0"/>
        <v>0.08</v>
      </c>
      <c r="G9" t="s">
        <v>6</v>
      </c>
      <c r="I9" s="104">
        <v>359464.49186251214</v>
      </c>
      <c r="J9" s="5">
        <v>232950.66817838961</v>
      </c>
      <c r="K9" s="5">
        <v>300000</v>
      </c>
      <c r="L9" s="5">
        <v>24000</v>
      </c>
      <c r="M9" s="5">
        <v>14</v>
      </c>
      <c r="N9" s="5">
        <v>23464.491862512135</v>
      </c>
      <c r="O9" s="105" t="s">
        <v>82</v>
      </c>
      <c r="P9" s="105" t="s">
        <v>76</v>
      </c>
      <c r="Q9" s="106">
        <v>30880.406859422154</v>
      </c>
      <c r="R9" s="92">
        <v>24621.144383499068</v>
      </c>
      <c r="S9" s="112">
        <v>8.2070481278330221E-2</v>
      </c>
      <c r="T9" s="104">
        <v>18954.403627779029</v>
      </c>
      <c r="U9" s="5">
        <v>13815.841157458588</v>
      </c>
      <c r="V9" s="104">
        <v>32863.663819741254</v>
      </c>
      <c r="W9" s="5">
        <v>25728.10459718894</v>
      </c>
      <c r="X9" s="5">
        <v>85233.474306942429</v>
      </c>
      <c r="Y9" s="5">
        <v>65887.312176544016</v>
      </c>
      <c r="Z9" s="121">
        <v>298837.98035493365</v>
      </c>
      <c r="AB9" s="100">
        <f t="shared" si="1"/>
        <v>65</v>
      </c>
      <c r="AC9" s="101">
        <v>0.08</v>
      </c>
    </row>
    <row r="10" spans="3:29">
      <c r="C10">
        <f t="shared" si="2"/>
        <v>5</v>
      </c>
      <c r="D10">
        <f t="shared" si="3"/>
        <v>70</v>
      </c>
      <c r="E10" s="95">
        <v>300000</v>
      </c>
      <c r="F10" s="125">
        <f t="shared" si="0"/>
        <v>0.1</v>
      </c>
      <c r="G10" t="s">
        <v>6</v>
      </c>
      <c r="I10" s="104">
        <v>343067.26461572055</v>
      </c>
      <c r="J10" s="5">
        <v>243070.68592569116</v>
      </c>
      <c r="K10" s="5">
        <v>300000</v>
      </c>
      <c r="L10" s="5">
        <v>30000</v>
      </c>
      <c r="M10" s="5">
        <v>11</v>
      </c>
      <c r="N10" s="5">
        <v>13067.264615720545</v>
      </c>
      <c r="O10" s="105" t="s">
        <v>88</v>
      </c>
      <c r="P10" s="105" t="s">
        <v>69</v>
      </c>
      <c r="Q10" s="106">
        <v>25118.974262405362</v>
      </c>
      <c r="R10" s="92">
        <v>21232.518213818756</v>
      </c>
      <c r="S10" s="112">
        <v>7.0775060712729182E-2</v>
      </c>
      <c r="T10" s="104">
        <v>14568.219238432275</v>
      </c>
      <c r="U10" s="5">
        <v>11302.469112086805</v>
      </c>
      <c r="V10" s="104">
        <v>26295.630659142123</v>
      </c>
      <c r="W10" s="5">
        <v>21865.070763753381</v>
      </c>
      <c r="X10" s="5">
        <v>67977.824159979762</v>
      </c>
      <c r="Y10" s="5">
        <v>55864.109944708151</v>
      </c>
      <c r="Z10" s="121">
        <v>298934.79587039934</v>
      </c>
      <c r="AB10" s="100">
        <f t="shared" si="1"/>
        <v>70</v>
      </c>
      <c r="AC10" s="101">
        <v>0.1</v>
      </c>
    </row>
    <row r="11" spans="3:29">
      <c r="C11">
        <f t="shared" si="2"/>
        <v>6</v>
      </c>
      <c r="D11">
        <f t="shared" si="3"/>
        <v>75</v>
      </c>
      <c r="E11" s="95">
        <v>300000</v>
      </c>
      <c r="F11" s="125">
        <f t="shared" si="0"/>
        <v>0.12</v>
      </c>
      <c r="G11" t="s">
        <v>6</v>
      </c>
      <c r="I11" s="104">
        <v>333144.2993054043</v>
      </c>
      <c r="J11" s="5">
        <v>249912.40881867081</v>
      </c>
      <c r="K11" s="5">
        <v>300000</v>
      </c>
      <c r="L11" s="5">
        <v>36000</v>
      </c>
      <c r="M11" s="5">
        <v>9</v>
      </c>
      <c r="N11" s="5">
        <v>9144.2993054043036</v>
      </c>
      <c r="O11" s="105" t="s">
        <v>77</v>
      </c>
      <c r="P11" s="105" t="s">
        <v>78</v>
      </c>
      <c r="Q11" s="106">
        <v>21620.603528859963</v>
      </c>
      <c r="R11" s="92">
        <v>18950.205306903696</v>
      </c>
      <c r="S11" s="112">
        <v>6.3167351023012325E-2</v>
      </c>
      <c r="T11" s="104">
        <v>11903.502188317912</v>
      </c>
      <c r="U11" s="5">
        <v>9609.2063147258959</v>
      </c>
      <c r="V11" s="104">
        <v>22307.488022900365</v>
      </c>
      <c r="W11" s="5">
        <v>19263.234049870218</v>
      </c>
      <c r="X11" s="5">
        <v>57466.593740078242</v>
      </c>
      <c r="Y11" s="5">
        <v>49087.594392247891</v>
      </c>
      <c r="Z11" s="121">
        <v>299000.00321091869</v>
      </c>
      <c r="AB11" s="100">
        <f t="shared" si="1"/>
        <v>75</v>
      </c>
      <c r="AC11" s="101">
        <v>0.12</v>
      </c>
    </row>
    <row r="12" spans="3:29">
      <c r="C12">
        <f t="shared" si="2"/>
        <v>7</v>
      </c>
      <c r="D12">
        <f t="shared" si="3"/>
        <v>80</v>
      </c>
      <c r="E12" s="95">
        <v>300000</v>
      </c>
      <c r="F12" s="125">
        <f t="shared" si="0"/>
        <v>0.12</v>
      </c>
      <c r="G12" t="s">
        <v>6</v>
      </c>
      <c r="I12" s="104">
        <v>333144.2993054043</v>
      </c>
      <c r="J12" s="5">
        <v>249912.40881867081</v>
      </c>
      <c r="K12" s="5">
        <v>300000</v>
      </c>
      <c r="L12" s="5">
        <v>36000</v>
      </c>
      <c r="M12" s="5">
        <v>9</v>
      </c>
      <c r="N12" s="5">
        <v>9144.2993054043036</v>
      </c>
      <c r="O12" s="105" t="s">
        <v>77</v>
      </c>
      <c r="P12" s="105" t="s">
        <v>79</v>
      </c>
      <c r="Q12" s="106">
        <v>21620.603528859963</v>
      </c>
      <c r="R12" s="92">
        <v>18950.205306903696</v>
      </c>
      <c r="S12" s="112">
        <v>6.3167351023012325E-2</v>
      </c>
      <c r="T12" s="104">
        <v>11903.502188317912</v>
      </c>
      <c r="U12" s="5">
        <v>9609.2063147258959</v>
      </c>
      <c r="V12" s="104">
        <v>22307.488022900365</v>
      </c>
      <c r="W12" s="5">
        <v>19263.234049870218</v>
      </c>
      <c r="X12" s="5">
        <v>57466.593740078242</v>
      </c>
      <c r="Y12" s="5">
        <v>49087.594392247891</v>
      </c>
      <c r="Z12" s="121">
        <v>299000.00321091869</v>
      </c>
      <c r="AB12" s="100">
        <f t="shared" si="1"/>
        <v>80</v>
      </c>
      <c r="AC12" s="101">
        <v>0.12</v>
      </c>
    </row>
    <row r="13" spans="3:29">
      <c r="C13" s="40">
        <f t="shared" si="2"/>
        <v>8</v>
      </c>
      <c r="D13" s="40">
        <f t="shared" si="3"/>
        <v>85</v>
      </c>
      <c r="E13" s="96">
        <v>300000</v>
      </c>
      <c r="F13" s="126">
        <f t="shared" si="0"/>
        <v>0.12</v>
      </c>
      <c r="G13" s="40" t="s">
        <v>6</v>
      </c>
      <c r="I13" s="113">
        <v>333144.2993054043</v>
      </c>
      <c r="J13" s="43">
        <v>249912.40881867081</v>
      </c>
      <c r="K13" s="43">
        <v>300000</v>
      </c>
      <c r="L13" s="43">
        <v>36000</v>
      </c>
      <c r="M13" s="43">
        <v>9</v>
      </c>
      <c r="N13" s="43">
        <v>9144.2993054043036</v>
      </c>
      <c r="O13" s="81" t="s">
        <v>77</v>
      </c>
      <c r="P13" s="81" t="s">
        <v>80</v>
      </c>
      <c r="Q13" s="114">
        <v>21620.603528859963</v>
      </c>
      <c r="R13" s="88">
        <v>18950.205306903696</v>
      </c>
      <c r="S13" s="93">
        <v>6.3167351023012325E-2</v>
      </c>
      <c r="T13" s="113">
        <v>11903.502188317912</v>
      </c>
      <c r="U13" s="43">
        <v>9609.2063147258959</v>
      </c>
      <c r="V13" s="113">
        <v>22307.488022900365</v>
      </c>
      <c r="W13" s="43">
        <v>19263.234049870218</v>
      </c>
      <c r="X13" s="43">
        <v>57466.593740078242</v>
      </c>
      <c r="Y13" s="43">
        <v>49087.594392247891</v>
      </c>
      <c r="Z13" s="122">
        <v>299000.00321091869</v>
      </c>
      <c r="AB13" s="102">
        <f t="shared" si="1"/>
        <v>85</v>
      </c>
      <c r="AC13" s="103">
        <v>0.12</v>
      </c>
    </row>
    <row r="14" spans="3:29">
      <c r="C14" s="39">
        <f>C13+1</f>
        <v>9</v>
      </c>
      <c r="D14" s="39">
        <f>D6</f>
        <v>50</v>
      </c>
      <c r="E14" s="82">
        <f>ROUND(E6*1.25/100000,0)*100000</f>
        <v>400000</v>
      </c>
      <c r="F14" s="124">
        <f t="shared" si="0"/>
        <v>5.45E-2</v>
      </c>
      <c r="G14" s="39" t="s">
        <v>6</v>
      </c>
      <c r="I14" s="42">
        <v>548970.1543764465</v>
      </c>
      <c r="J14" s="82">
        <v>278794.7949138683</v>
      </c>
      <c r="K14" s="82">
        <v>400000</v>
      </c>
      <c r="L14" s="82">
        <v>21800</v>
      </c>
      <c r="M14" s="82">
        <v>25</v>
      </c>
      <c r="N14" s="82">
        <v>3970.1543764465023</v>
      </c>
      <c r="O14" s="80" t="s">
        <v>86</v>
      </c>
      <c r="P14" s="80" t="s">
        <v>73</v>
      </c>
      <c r="Q14" s="87">
        <v>65280.576761404198</v>
      </c>
      <c r="R14" s="110">
        <v>43729.006335319442</v>
      </c>
      <c r="S14" s="111">
        <v>0.10932251583829861</v>
      </c>
      <c r="T14" s="42">
        <v>43673.735911926997</v>
      </c>
      <c r="U14" s="82">
        <v>26523.702668090871</v>
      </c>
      <c r="V14" s="42">
        <v>71299.85750800086</v>
      </c>
      <c r="W14" s="82">
        <v>46731.067222264188</v>
      </c>
      <c r="X14" s="82">
        <v>184769.17018133204</v>
      </c>
      <c r="Y14" s="82">
        <v>119344.40137624</v>
      </c>
      <c r="Z14" s="120">
        <v>398139.19629010832</v>
      </c>
    </row>
    <row r="15" spans="3:29">
      <c r="C15">
        <f t="shared" ref="C15:C21" si="4">C14+1</f>
        <v>10</v>
      </c>
      <c r="D15">
        <f t="shared" ref="D15:D79" si="5">D7</f>
        <v>55</v>
      </c>
      <c r="E15" s="5">
        <f t="shared" ref="E15:E21" si="6">ROUND(E7*1.25/100000,0)*100000</f>
        <v>400000</v>
      </c>
      <c r="F15" s="125">
        <f t="shared" si="0"/>
        <v>6.1499999999999999E-2</v>
      </c>
      <c r="G15" t="s">
        <v>6</v>
      </c>
      <c r="I15" s="104">
        <v>521666.61125869065</v>
      </c>
      <c r="J15" s="5">
        <v>290138.35638377699</v>
      </c>
      <c r="K15" s="5">
        <v>400000</v>
      </c>
      <c r="L15" s="5">
        <v>24600</v>
      </c>
      <c r="M15" s="5">
        <v>21</v>
      </c>
      <c r="N15" s="5">
        <v>5066.6112586906529</v>
      </c>
      <c r="O15" s="105" t="s">
        <v>81</v>
      </c>
      <c r="P15" s="105" t="s">
        <v>74</v>
      </c>
      <c r="Q15" s="106">
        <v>55743.830017559369</v>
      </c>
      <c r="R15" s="92">
        <v>39896.343546109398</v>
      </c>
      <c r="S15" s="112">
        <v>9.9740858865273493E-2</v>
      </c>
      <c r="T15" s="104">
        <v>36401.200656068824</v>
      </c>
      <c r="U15" s="5">
        <v>23677.866339925451</v>
      </c>
      <c r="V15" s="104">
        <v>60427.966220017748</v>
      </c>
      <c r="W15" s="5">
        <v>42361.831642564692</v>
      </c>
      <c r="X15" s="5">
        <v>156367.99689364593</v>
      </c>
      <c r="Y15" s="5">
        <v>108110.34187112947</v>
      </c>
      <c r="Z15" s="121">
        <v>398248.69825490646</v>
      </c>
    </row>
    <row r="16" spans="3:29">
      <c r="C16">
        <f t="shared" si="4"/>
        <v>11</v>
      </c>
      <c r="D16">
        <f t="shared" si="5"/>
        <v>60</v>
      </c>
      <c r="E16" s="5">
        <f t="shared" si="6"/>
        <v>400000</v>
      </c>
      <c r="F16" s="125">
        <f t="shared" si="0"/>
        <v>7.0000000000000007E-2</v>
      </c>
      <c r="G16" t="s">
        <v>6</v>
      </c>
      <c r="I16" s="104">
        <v>498781.17395347002</v>
      </c>
      <c r="J16" s="5">
        <v>301106.66550966585</v>
      </c>
      <c r="K16" s="5">
        <v>400000</v>
      </c>
      <c r="L16" s="5">
        <v>28000.000000000004</v>
      </c>
      <c r="M16" s="5">
        <v>17</v>
      </c>
      <c r="N16" s="5">
        <v>22781.173953469959</v>
      </c>
      <c r="O16" s="105" t="s">
        <v>87</v>
      </c>
      <c r="P16" s="105" t="s">
        <v>75</v>
      </c>
      <c r="Q16" s="106">
        <v>47707.129557176726</v>
      </c>
      <c r="R16" s="92">
        <v>36210.759890669942</v>
      </c>
      <c r="S16" s="112">
        <v>9.0526899726674853E-2</v>
      </c>
      <c r="T16" s="104">
        <v>30262.321903193606</v>
      </c>
      <c r="U16" s="5">
        <v>20937.504496212503</v>
      </c>
      <c r="V16" s="104">
        <v>51266.127695181487</v>
      </c>
      <c r="W16" s="5">
        <v>38160.266275363727</v>
      </c>
      <c r="X16" s="5">
        <v>132310.57915555182</v>
      </c>
      <c r="Y16" s="5">
        <v>97247.332552161155</v>
      </c>
      <c r="Z16" s="121">
        <v>398353.99806182703</v>
      </c>
      <c r="AB16" s="39" t="s">
        <v>62</v>
      </c>
      <c r="AC16" s="79">
        <v>3</v>
      </c>
    </row>
    <row r="17" spans="3:29">
      <c r="C17">
        <f t="shared" si="4"/>
        <v>12</v>
      </c>
      <c r="D17">
        <f t="shared" si="5"/>
        <v>65</v>
      </c>
      <c r="E17" s="5">
        <f t="shared" si="6"/>
        <v>400000</v>
      </c>
      <c r="F17" s="125">
        <f t="shared" si="0"/>
        <v>0.08</v>
      </c>
      <c r="G17" t="s">
        <v>6</v>
      </c>
      <c r="I17" s="104">
        <v>481014.54154651141</v>
      </c>
      <c r="J17" s="5">
        <v>310600.26502579683</v>
      </c>
      <c r="K17" s="5">
        <v>400000</v>
      </c>
      <c r="L17" s="5">
        <v>32000</v>
      </c>
      <c r="M17" s="5">
        <v>15</v>
      </c>
      <c r="N17" s="5">
        <v>1014.5415465114056</v>
      </c>
      <c r="O17" s="105" t="s">
        <v>89</v>
      </c>
      <c r="P17" s="105" t="s">
        <v>76</v>
      </c>
      <c r="Q17" s="106">
        <v>41543.14296505996</v>
      </c>
      <c r="R17" s="92">
        <v>32995.945126683553</v>
      </c>
      <c r="S17" s="112">
        <v>8.2489862816708878E-2</v>
      </c>
      <c r="T17" s="104">
        <v>25575.665911811968</v>
      </c>
      <c r="U17" s="5">
        <v>18555.578786780578</v>
      </c>
      <c r="V17" s="104">
        <v>44239.182980168393</v>
      </c>
      <c r="W17" s="5">
        <v>34495.377444419268</v>
      </c>
      <c r="X17" s="5">
        <v>114072.99185704032</v>
      </c>
      <c r="Y17" s="5">
        <v>87845.582633158192</v>
      </c>
      <c r="Z17" s="121">
        <v>398445.84765895503</v>
      </c>
      <c r="AB17" s="40" t="s">
        <v>72</v>
      </c>
      <c r="AC17" s="115">
        <f>COUNT(InputOuput!C:C)</f>
        <v>208</v>
      </c>
    </row>
    <row r="18" spans="3:29">
      <c r="C18">
        <f t="shared" si="4"/>
        <v>13</v>
      </c>
      <c r="D18">
        <f t="shared" si="5"/>
        <v>70</v>
      </c>
      <c r="E18" s="5">
        <f t="shared" si="6"/>
        <v>400000</v>
      </c>
      <c r="F18" s="125">
        <f t="shared" si="0"/>
        <v>0.1</v>
      </c>
      <c r="G18" t="s">
        <v>6</v>
      </c>
      <c r="I18" s="104">
        <v>458206.23247280979</v>
      </c>
      <c r="J18" s="5">
        <v>324503.54435752099</v>
      </c>
      <c r="K18" s="5">
        <v>400000</v>
      </c>
      <c r="L18" s="5">
        <v>40000</v>
      </c>
      <c r="M18" s="5">
        <v>11</v>
      </c>
      <c r="N18" s="5">
        <v>18206.232472809788</v>
      </c>
      <c r="O18" s="105" t="s">
        <v>88</v>
      </c>
      <c r="P18" s="105" t="s">
        <v>69</v>
      </c>
      <c r="Q18" s="106">
        <v>33532.804604593781</v>
      </c>
      <c r="R18" s="92">
        <v>28336.585551490985</v>
      </c>
      <c r="S18" s="112">
        <v>7.0841463878727459E-2</v>
      </c>
      <c r="T18" s="104">
        <v>19457.226658820407</v>
      </c>
      <c r="U18" s="5">
        <v>15091.079659729656</v>
      </c>
      <c r="V18" s="104">
        <v>35107.397249236914</v>
      </c>
      <c r="W18" s="5">
        <v>29183.707528699724</v>
      </c>
      <c r="X18" s="5">
        <v>90092.428512651095</v>
      </c>
      <c r="Y18" s="5">
        <v>74075.424594969576</v>
      </c>
      <c r="Z18" s="121">
        <v>398578.9689524906</v>
      </c>
    </row>
    <row r="19" spans="3:29">
      <c r="C19">
        <f t="shared" si="4"/>
        <v>14</v>
      </c>
      <c r="D19">
        <f t="shared" si="5"/>
        <v>75</v>
      </c>
      <c r="E19" s="5">
        <f t="shared" si="6"/>
        <v>400000</v>
      </c>
      <c r="F19" s="125">
        <f t="shared" si="0"/>
        <v>0.12</v>
      </c>
      <c r="G19" t="s">
        <v>6</v>
      </c>
      <c r="I19" s="104">
        <v>444814.75002867664</v>
      </c>
      <c r="J19" s="5">
        <v>333582.18378934049</v>
      </c>
      <c r="K19" s="5">
        <v>400000</v>
      </c>
      <c r="L19" s="5">
        <v>48000</v>
      </c>
      <c r="M19" s="5">
        <v>9</v>
      </c>
      <c r="N19" s="5">
        <v>12814.750028676644</v>
      </c>
      <c r="O19" s="105" t="s">
        <v>77</v>
      </c>
      <c r="P19" s="105" t="s">
        <v>78</v>
      </c>
      <c r="Q19" s="106">
        <v>28854.297370393935</v>
      </c>
      <c r="R19" s="92">
        <v>25285.769130206743</v>
      </c>
      <c r="S19" s="112">
        <v>6.3214422825516856E-2</v>
      </c>
      <c r="T19" s="104">
        <v>15893.269944792053</v>
      </c>
      <c r="U19" s="5">
        <v>12827.454548900321</v>
      </c>
      <c r="V19" s="104">
        <v>29773.899002249083</v>
      </c>
      <c r="W19" s="5">
        <v>25705.776808435701</v>
      </c>
      <c r="X19" s="5">
        <v>76156.466317435072</v>
      </c>
      <c r="Y19" s="5">
        <v>65083.949208290847</v>
      </c>
      <c r="Z19" s="121">
        <v>398666.13299763133</v>
      </c>
    </row>
    <row r="20" spans="3:29">
      <c r="C20">
        <f t="shared" si="4"/>
        <v>15</v>
      </c>
      <c r="D20">
        <f t="shared" si="5"/>
        <v>80</v>
      </c>
      <c r="E20" s="5">
        <f t="shared" si="6"/>
        <v>400000</v>
      </c>
      <c r="F20" s="125">
        <f t="shared" si="0"/>
        <v>0.12</v>
      </c>
      <c r="G20" t="s">
        <v>6</v>
      </c>
      <c r="I20" s="104">
        <v>444814.75002867664</v>
      </c>
      <c r="J20" s="5">
        <v>333582.18378934049</v>
      </c>
      <c r="K20" s="5">
        <v>400000</v>
      </c>
      <c r="L20" s="5">
        <v>48000</v>
      </c>
      <c r="M20" s="5">
        <v>9</v>
      </c>
      <c r="N20" s="5">
        <v>12814.750028676644</v>
      </c>
      <c r="O20" s="105" t="s">
        <v>77</v>
      </c>
      <c r="P20" s="105" t="s">
        <v>79</v>
      </c>
      <c r="Q20" s="106">
        <v>28854.297370393935</v>
      </c>
      <c r="R20" s="92">
        <v>25285.769130206743</v>
      </c>
      <c r="S20" s="112">
        <v>6.3214422825516856E-2</v>
      </c>
      <c r="T20" s="104">
        <v>15893.269944792053</v>
      </c>
      <c r="U20" s="5">
        <v>12827.454548900321</v>
      </c>
      <c r="V20" s="104">
        <v>29773.899002249083</v>
      </c>
      <c r="W20" s="5">
        <v>25705.776808435701</v>
      </c>
      <c r="X20" s="5">
        <v>76156.466317435072</v>
      </c>
      <c r="Y20" s="5">
        <v>65083.949208290847</v>
      </c>
      <c r="Z20" s="121">
        <v>398666.13299763133</v>
      </c>
    </row>
    <row r="21" spans="3:29">
      <c r="C21" s="40">
        <f t="shared" si="4"/>
        <v>16</v>
      </c>
      <c r="D21" s="40">
        <f t="shared" si="5"/>
        <v>85</v>
      </c>
      <c r="E21" s="43">
        <f t="shared" si="6"/>
        <v>400000</v>
      </c>
      <c r="F21" s="126">
        <f t="shared" si="0"/>
        <v>0.12</v>
      </c>
      <c r="G21" s="40" t="s">
        <v>6</v>
      </c>
      <c r="I21" s="113">
        <v>444814.75002867664</v>
      </c>
      <c r="J21" s="43">
        <v>333582.18378934049</v>
      </c>
      <c r="K21" s="43">
        <v>400000</v>
      </c>
      <c r="L21" s="43">
        <v>48000</v>
      </c>
      <c r="M21" s="43">
        <v>9</v>
      </c>
      <c r="N21" s="43">
        <v>12814.750028676644</v>
      </c>
      <c r="O21" s="81" t="s">
        <v>77</v>
      </c>
      <c r="P21" s="81" t="s">
        <v>80</v>
      </c>
      <c r="Q21" s="114">
        <v>28854.297370393935</v>
      </c>
      <c r="R21" s="88">
        <v>25285.769130206743</v>
      </c>
      <c r="S21" s="93">
        <v>6.3214422825516856E-2</v>
      </c>
      <c r="T21" s="113">
        <v>15893.269944792053</v>
      </c>
      <c r="U21" s="43">
        <v>12827.454548900321</v>
      </c>
      <c r="V21" s="113">
        <v>29773.899002249083</v>
      </c>
      <c r="W21" s="43">
        <v>25705.776808435701</v>
      </c>
      <c r="X21" s="43">
        <v>76156.466317435072</v>
      </c>
      <c r="Y21" s="43">
        <v>65083.949208290847</v>
      </c>
      <c r="Z21" s="122">
        <v>398666.13299763133</v>
      </c>
    </row>
    <row r="22" spans="3:29">
      <c r="C22" s="39">
        <f>C21+1</f>
        <v>17</v>
      </c>
      <c r="D22" s="39">
        <f>D14</f>
        <v>50</v>
      </c>
      <c r="E22" s="82">
        <f>ROUND(E14*1.25/100000,0)*100000</f>
        <v>500000</v>
      </c>
      <c r="F22" s="124">
        <f t="shared" si="0"/>
        <v>5.45E-2</v>
      </c>
      <c r="G22" s="39" t="s">
        <v>6</v>
      </c>
      <c r="I22" s="42">
        <v>687876.41058394103</v>
      </c>
      <c r="J22" s="82">
        <v>348876.51845264342</v>
      </c>
      <c r="K22" s="82">
        <v>500000</v>
      </c>
      <c r="L22" s="82">
        <v>27250</v>
      </c>
      <c r="M22" s="82">
        <v>25</v>
      </c>
      <c r="N22" s="82">
        <v>6626.4105839410331</v>
      </c>
      <c r="O22" s="80" t="s">
        <v>86</v>
      </c>
      <c r="P22" s="80" t="s">
        <v>73</v>
      </c>
      <c r="Q22" s="87">
        <v>81783.751295015711</v>
      </c>
      <c r="R22" s="110">
        <v>54731.802537418225</v>
      </c>
      <c r="S22" s="111">
        <v>0.10946360507483645</v>
      </c>
      <c r="T22" s="42">
        <v>54734.608682923194</v>
      </c>
      <c r="U22" s="82">
        <v>33208.778818274637</v>
      </c>
      <c r="V22" s="42">
        <v>89333.476476317897</v>
      </c>
      <c r="W22" s="82">
        <v>58494.254892656805</v>
      </c>
      <c r="X22" s="82">
        <v>230366.83645425679</v>
      </c>
      <c r="Y22" s="82">
        <v>148795.46139891515</v>
      </c>
      <c r="Z22" s="120">
        <v>497671.97985155857</v>
      </c>
    </row>
    <row r="23" spans="3:29">
      <c r="C23">
        <f t="shared" ref="C23:C29" si="7">C22+1</f>
        <v>18</v>
      </c>
      <c r="D23">
        <f t="shared" si="5"/>
        <v>55</v>
      </c>
      <c r="E23" s="5">
        <f t="shared" ref="E23:E87" si="8">ROUND(E15*1.25/100000,0)*100000</f>
        <v>500000</v>
      </c>
      <c r="F23" s="125">
        <f t="shared" si="0"/>
        <v>6.1499999999999999E-2</v>
      </c>
      <c r="G23" t="s">
        <v>6</v>
      </c>
      <c r="I23" s="104">
        <v>653392.98847830028</v>
      </c>
      <c r="J23" s="5">
        <v>363054.0504275898</v>
      </c>
      <c r="K23" s="5">
        <v>500000</v>
      </c>
      <c r="L23" s="5">
        <v>30750</v>
      </c>
      <c r="M23" s="5">
        <v>21</v>
      </c>
      <c r="N23" s="5">
        <v>7642.9884783002781</v>
      </c>
      <c r="O23" s="105" t="s">
        <v>81</v>
      </c>
      <c r="P23" s="105" t="s">
        <v>74</v>
      </c>
      <c r="Q23" s="106">
        <v>69803.4671250174</v>
      </c>
      <c r="R23" s="92">
        <v>49925.686785746424</v>
      </c>
      <c r="S23" s="112">
        <v>9.9851373571492846E-2</v>
      </c>
      <c r="T23" s="104">
        <v>45598.272130785495</v>
      </c>
      <c r="U23" s="5">
        <v>29639.973584228286</v>
      </c>
      <c r="V23" s="104">
        <v>75675.952522519845</v>
      </c>
      <c r="W23" s="5">
        <v>53015.282935750918</v>
      </c>
      <c r="X23" s="5">
        <v>194872.69177832274</v>
      </c>
      <c r="Y23" s="5">
        <v>134755.24364825556</v>
      </c>
      <c r="Z23" s="121">
        <v>497809.29407584539</v>
      </c>
    </row>
    <row r="24" spans="3:29">
      <c r="C24">
        <f t="shared" si="7"/>
        <v>19</v>
      </c>
      <c r="D24">
        <f t="shared" si="5"/>
        <v>60</v>
      </c>
      <c r="E24" s="5">
        <f t="shared" si="8"/>
        <v>500000</v>
      </c>
      <c r="F24" s="125">
        <f t="shared" si="0"/>
        <v>7.0000000000000007E-2</v>
      </c>
      <c r="G24" t="s">
        <v>6</v>
      </c>
      <c r="I24" s="104">
        <v>624471.53481504752</v>
      </c>
      <c r="J24" s="5">
        <v>376749.2926540944</v>
      </c>
      <c r="K24" s="5">
        <v>500000</v>
      </c>
      <c r="L24" s="5">
        <v>35000</v>
      </c>
      <c r="M24" s="5">
        <v>17</v>
      </c>
      <c r="N24" s="5">
        <v>29471.534815047518</v>
      </c>
      <c r="O24" s="105" t="s">
        <v>87</v>
      </c>
      <c r="P24" s="105" t="s">
        <v>75</v>
      </c>
      <c r="Q24" s="106">
        <v>59711.619751792605</v>
      </c>
      <c r="R24" s="92">
        <v>45303.751309096064</v>
      </c>
      <c r="S24" s="112">
        <v>9.0607502618192129E-2</v>
      </c>
      <c r="T24" s="104">
        <v>37889.186308463679</v>
      </c>
      <c r="U24" s="5">
        <v>26203.223790177377</v>
      </c>
      <c r="V24" s="104">
        <v>64171.246517043568</v>
      </c>
      <c r="W24" s="5">
        <v>47746.276492369543</v>
      </c>
      <c r="X24" s="5">
        <v>164847.05257729985</v>
      </c>
      <c r="Y24" s="5">
        <v>121192.05348155796</v>
      </c>
      <c r="Z24" s="121">
        <v>497941.34613565239</v>
      </c>
    </row>
    <row r="25" spans="3:29">
      <c r="C25">
        <f t="shared" si="7"/>
        <v>20</v>
      </c>
      <c r="D25">
        <f t="shared" si="5"/>
        <v>65</v>
      </c>
      <c r="E25" s="5">
        <f t="shared" si="8"/>
        <v>500000</v>
      </c>
      <c r="F25" s="125">
        <f t="shared" si="0"/>
        <v>0.08</v>
      </c>
      <c r="G25" t="s">
        <v>6</v>
      </c>
      <c r="I25" s="104">
        <v>602119.28125535266</v>
      </c>
      <c r="J25" s="5">
        <v>388602.23473360698</v>
      </c>
      <c r="K25" s="5">
        <v>500000</v>
      </c>
      <c r="L25" s="5">
        <v>40000</v>
      </c>
      <c r="M25" s="5">
        <v>15</v>
      </c>
      <c r="N25" s="5">
        <v>2119.2812553526601</v>
      </c>
      <c r="O25" s="105" t="s">
        <v>89</v>
      </c>
      <c r="P25" s="105" t="s">
        <v>76</v>
      </c>
      <c r="Q25" s="106">
        <v>51988.196448188181</v>
      </c>
      <c r="R25" s="92">
        <v>41278.066608540117</v>
      </c>
      <c r="S25" s="112">
        <v>8.2556133217080233E-2</v>
      </c>
      <c r="T25" s="104">
        <v>32016.581576460776</v>
      </c>
      <c r="U25" s="5">
        <v>23220.38432575628</v>
      </c>
      <c r="V25" s="104">
        <v>55366.543950934574</v>
      </c>
      <c r="W25" s="5">
        <v>43156.995933735721</v>
      </c>
      <c r="X25" s="5">
        <v>142086.32197558353</v>
      </c>
      <c r="Y25" s="5">
        <v>109454.12814330694</v>
      </c>
      <c r="Z25" s="121">
        <v>498056.36287691392</v>
      </c>
    </row>
    <row r="26" spans="3:29">
      <c r="C26">
        <f t="shared" si="7"/>
        <v>21</v>
      </c>
      <c r="D26">
        <f t="shared" si="5"/>
        <v>70</v>
      </c>
      <c r="E26" s="5">
        <f t="shared" si="8"/>
        <v>500000</v>
      </c>
      <c r="F26" s="125">
        <f t="shared" si="0"/>
        <v>0.1</v>
      </c>
      <c r="G26" t="s">
        <v>6</v>
      </c>
      <c r="I26" s="104">
        <v>573345.20032989793</v>
      </c>
      <c r="J26" s="5">
        <v>405936.40278935013</v>
      </c>
      <c r="K26" s="5">
        <v>500000</v>
      </c>
      <c r="L26" s="5">
        <v>50000</v>
      </c>
      <c r="M26" s="5">
        <v>11</v>
      </c>
      <c r="N26" s="5">
        <v>23345.200329897925</v>
      </c>
      <c r="O26" s="105" t="s">
        <v>88</v>
      </c>
      <c r="P26" s="105" t="s">
        <v>69</v>
      </c>
      <c r="Q26" s="106">
        <v>41946.634946782127</v>
      </c>
      <c r="R26" s="92">
        <v>35440.652889163161</v>
      </c>
      <c r="S26" s="112">
        <v>7.0881305778326326E-2</v>
      </c>
      <c r="T26" s="104">
        <v>24346.234079208491</v>
      </c>
      <c r="U26" s="5">
        <v>18879.690207372478</v>
      </c>
      <c r="V26" s="104">
        <v>43919.163839331617</v>
      </c>
      <c r="W26" s="5">
        <v>36502.34429364602</v>
      </c>
      <c r="X26" s="5">
        <v>112207.03286532222</v>
      </c>
      <c r="Y26" s="5">
        <v>92286.73924523087</v>
      </c>
      <c r="Z26" s="121">
        <v>498223.14203458099</v>
      </c>
    </row>
    <row r="27" spans="3:29">
      <c r="C27">
        <f t="shared" si="7"/>
        <v>22</v>
      </c>
      <c r="D27">
        <f t="shared" si="5"/>
        <v>75</v>
      </c>
      <c r="E27" s="5">
        <f t="shared" si="8"/>
        <v>500000</v>
      </c>
      <c r="F27" s="125">
        <f t="shared" si="0"/>
        <v>0.12</v>
      </c>
      <c r="G27" t="s">
        <v>6</v>
      </c>
      <c r="I27" s="104">
        <v>556485.2007519491</v>
      </c>
      <c r="J27" s="5">
        <v>417251.95876001019</v>
      </c>
      <c r="K27" s="5">
        <v>500000</v>
      </c>
      <c r="L27" s="5">
        <v>60000</v>
      </c>
      <c r="M27" s="5">
        <v>9</v>
      </c>
      <c r="N27" s="5">
        <v>16485.200751949102</v>
      </c>
      <c r="O27" s="105" t="s">
        <v>77</v>
      </c>
      <c r="P27" s="105" t="s">
        <v>78</v>
      </c>
      <c r="Q27" s="106">
        <v>36087.991211927911</v>
      </c>
      <c r="R27" s="92">
        <v>31621.332953509816</v>
      </c>
      <c r="S27" s="112">
        <v>6.324266590701963E-2</v>
      </c>
      <c r="T27" s="104">
        <v>19883.037701266207</v>
      </c>
      <c r="U27" s="5">
        <v>16045.70278307475</v>
      </c>
      <c r="V27" s="104">
        <v>37240.30998159782</v>
      </c>
      <c r="W27" s="5">
        <v>32148.319567001192</v>
      </c>
      <c r="X27" s="5">
        <v>94846.33889479193</v>
      </c>
      <c r="Y27" s="5">
        <v>81080.304024333847</v>
      </c>
      <c r="Z27" s="121">
        <v>498332.26278434403</v>
      </c>
    </row>
    <row r="28" spans="3:29">
      <c r="C28">
        <f t="shared" si="7"/>
        <v>23</v>
      </c>
      <c r="D28">
        <f t="shared" si="5"/>
        <v>80</v>
      </c>
      <c r="E28" s="5">
        <f t="shared" si="8"/>
        <v>500000</v>
      </c>
      <c r="F28" s="125">
        <f t="shared" si="0"/>
        <v>0.12</v>
      </c>
      <c r="G28" t="s">
        <v>6</v>
      </c>
      <c r="I28" s="104">
        <v>556485.2007519491</v>
      </c>
      <c r="J28" s="5">
        <v>417251.95876001019</v>
      </c>
      <c r="K28" s="5">
        <v>500000</v>
      </c>
      <c r="L28" s="5">
        <v>60000</v>
      </c>
      <c r="M28" s="5">
        <v>9</v>
      </c>
      <c r="N28" s="5">
        <v>16485.200751949102</v>
      </c>
      <c r="O28" s="105" t="s">
        <v>77</v>
      </c>
      <c r="P28" s="105" t="s">
        <v>79</v>
      </c>
      <c r="Q28" s="106">
        <v>36087.991211927911</v>
      </c>
      <c r="R28" s="92">
        <v>31621.332953509816</v>
      </c>
      <c r="S28" s="112">
        <v>6.324266590701963E-2</v>
      </c>
      <c r="T28" s="104">
        <v>19883.037701266207</v>
      </c>
      <c r="U28" s="5">
        <v>16045.70278307475</v>
      </c>
      <c r="V28" s="104">
        <v>37240.30998159782</v>
      </c>
      <c r="W28" s="5">
        <v>32148.319567001192</v>
      </c>
      <c r="X28" s="5">
        <v>94846.33889479193</v>
      </c>
      <c r="Y28" s="5">
        <v>81080.304024333847</v>
      </c>
      <c r="Z28" s="121">
        <v>498332.26278434403</v>
      </c>
    </row>
    <row r="29" spans="3:29">
      <c r="C29" s="40">
        <f t="shared" si="7"/>
        <v>24</v>
      </c>
      <c r="D29" s="40">
        <f t="shared" si="5"/>
        <v>85</v>
      </c>
      <c r="E29" s="43">
        <f t="shared" si="8"/>
        <v>500000</v>
      </c>
      <c r="F29" s="126">
        <f t="shared" si="0"/>
        <v>0.12</v>
      </c>
      <c r="G29" s="40" t="s">
        <v>6</v>
      </c>
      <c r="I29" s="113">
        <v>556485.2007519491</v>
      </c>
      <c r="J29" s="43">
        <v>417251.95876001019</v>
      </c>
      <c r="K29" s="43">
        <v>500000</v>
      </c>
      <c r="L29" s="43">
        <v>60000</v>
      </c>
      <c r="M29" s="43">
        <v>9</v>
      </c>
      <c r="N29" s="43">
        <v>16485.200751949102</v>
      </c>
      <c r="O29" s="81" t="s">
        <v>77</v>
      </c>
      <c r="P29" s="81" t="s">
        <v>80</v>
      </c>
      <c r="Q29" s="114">
        <v>36087.991211927911</v>
      </c>
      <c r="R29" s="88">
        <v>31621.332953509816</v>
      </c>
      <c r="S29" s="93">
        <v>6.324266590701963E-2</v>
      </c>
      <c r="T29" s="113">
        <v>19883.037701266207</v>
      </c>
      <c r="U29" s="43">
        <v>16045.70278307475</v>
      </c>
      <c r="V29" s="113">
        <v>37240.30998159782</v>
      </c>
      <c r="W29" s="43">
        <v>32148.319567001192</v>
      </c>
      <c r="X29" s="43">
        <v>94846.33889479193</v>
      </c>
      <c r="Y29" s="43">
        <v>81080.304024333847</v>
      </c>
      <c r="Z29" s="122">
        <v>498332.26278434403</v>
      </c>
    </row>
    <row r="30" spans="3:29">
      <c r="C30" s="39">
        <f>C29+1</f>
        <v>25</v>
      </c>
      <c r="D30" s="39">
        <f>D22</f>
        <v>50</v>
      </c>
      <c r="E30" s="82">
        <f>ROUND(E22*1.25/100000,0)*100000</f>
        <v>600000</v>
      </c>
      <c r="F30" s="124">
        <f t="shared" si="0"/>
        <v>5.45E-2</v>
      </c>
      <c r="G30" s="39" t="s">
        <v>6</v>
      </c>
      <c r="I30" s="42">
        <v>826782.66679143603</v>
      </c>
      <c r="J30" s="82">
        <v>418958.24199141859</v>
      </c>
      <c r="K30" s="82">
        <v>600000</v>
      </c>
      <c r="L30" s="82">
        <v>32700</v>
      </c>
      <c r="M30" s="82">
        <v>25</v>
      </c>
      <c r="N30" s="82">
        <v>9282.6667914360296</v>
      </c>
      <c r="O30" s="80" t="s">
        <v>86</v>
      </c>
      <c r="P30" s="80" t="s">
        <v>73</v>
      </c>
      <c r="Q30" s="87">
        <v>98286.925828627267</v>
      </c>
      <c r="R30" s="110">
        <v>65734.598739517052</v>
      </c>
      <c r="S30" s="111">
        <v>0.10955766456586176</v>
      </c>
      <c r="T30" s="42">
        <v>65795.481453919449</v>
      </c>
      <c r="U30" s="82">
        <v>39893.854968458436</v>
      </c>
      <c r="V30" s="42">
        <v>107367.0954446351</v>
      </c>
      <c r="W30" s="82">
        <v>70257.442563049466</v>
      </c>
      <c r="X30" s="82">
        <v>275964.50272718183</v>
      </c>
      <c r="Y30" s="82">
        <v>178246.52142159044</v>
      </c>
      <c r="Z30" s="120">
        <v>597204.763413009</v>
      </c>
    </row>
    <row r="31" spans="3:29">
      <c r="C31">
        <f t="shared" ref="C31:C37" si="9">C30+1</f>
        <v>26</v>
      </c>
      <c r="D31">
        <f t="shared" si="5"/>
        <v>55</v>
      </c>
      <c r="E31" s="5">
        <f t="shared" si="8"/>
        <v>600000</v>
      </c>
      <c r="F31" s="125">
        <f t="shared" si="0"/>
        <v>6.1499999999999999E-2</v>
      </c>
      <c r="G31" t="s">
        <v>6</v>
      </c>
      <c r="I31" s="104">
        <v>785119.36569791031</v>
      </c>
      <c r="J31" s="5">
        <v>435969.74447140272</v>
      </c>
      <c r="K31" s="5">
        <v>600000</v>
      </c>
      <c r="L31" s="5">
        <v>36900</v>
      </c>
      <c r="M31" s="5">
        <v>21</v>
      </c>
      <c r="N31" s="5">
        <v>10219.365697910311</v>
      </c>
      <c r="O31" s="105" t="s">
        <v>81</v>
      </c>
      <c r="P31" s="105" t="s">
        <v>74</v>
      </c>
      <c r="Q31" s="106">
        <v>83863.104232475394</v>
      </c>
      <c r="R31" s="92">
        <v>59955.030025383443</v>
      </c>
      <c r="S31" s="112">
        <v>9.9925050042305744E-2</v>
      </c>
      <c r="T31" s="104">
        <v>54795.343605502159</v>
      </c>
      <c r="U31" s="5">
        <v>35602.080828531121</v>
      </c>
      <c r="V31" s="104">
        <v>90923.93882502192</v>
      </c>
      <c r="W31" s="5">
        <v>63668.734228937152</v>
      </c>
      <c r="X31" s="5">
        <v>233377.38666299946</v>
      </c>
      <c r="Y31" s="5">
        <v>161400.14542538163</v>
      </c>
      <c r="Z31" s="121">
        <v>597369.88989678433</v>
      </c>
    </row>
    <row r="32" spans="3:29">
      <c r="C32">
        <f t="shared" si="9"/>
        <v>27</v>
      </c>
      <c r="D32">
        <f t="shared" si="5"/>
        <v>60</v>
      </c>
      <c r="E32" s="5">
        <f t="shared" si="8"/>
        <v>600000</v>
      </c>
      <c r="F32" s="125">
        <f t="shared" si="0"/>
        <v>7.0000000000000007E-2</v>
      </c>
      <c r="G32" t="s">
        <v>6</v>
      </c>
      <c r="I32" s="104">
        <v>750161.89567662554</v>
      </c>
      <c r="J32" s="5">
        <v>452391.91979852313</v>
      </c>
      <c r="K32" s="5">
        <v>600000</v>
      </c>
      <c r="L32" s="5">
        <v>42000.000000000007</v>
      </c>
      <c r="M32" s="5">
        <v>17</v>
      </c>
      <c r="N32" s="5">
        <v>36161.895676625427</v>
      </c>
      <c r="O32" s="105" t="s">
        <v>87</v>
      </c>
      <c r="P32" s="105" t="s">
        <v>75</v>
      </c>
      <c r="Q32" s="106">
        <v>71716.109946408455</v>
      </c>
      <c r="R32" s="92">
        <v>54396.742727522163</v>
      </c>
      <c r="S32" s="112">
        <v>9.0661237879203604E-2</v>
      </c>
      <c r="T32" s="104">
        <v>45516.050713733777</v>
      </c>
      <c r="U32" s="5">
        <v>31468.943084142258</v>
      </c>
      <c r="V32" s="104">
        <v>77076.365338905656</v>
      </c>
      <c r="W32" s="5">
        <v>57332.286709375294</v>
      </c>
      <c r="X32" s="5">
        <v>197383.52599904788</v>
      </c>
      <c r="Y32" s="5">
        <v>145136.77441095471</v>
      </c>
      <c r="Z32" s="121">
        <v>597528.69420947786</v>
      </c>
    </row>
    <row r="33" spans="3:26">
      <c r="C33">
        <f t="shared" si="9"/>
        <v>28</v>
      </c>
      <c r="D33">
        <f t="shared" si="5"/>
        <v>65</v>
      </c>
      <c r="E33" s="5">
        <f t="shared" si="8"/>
        <v>600000</v>
      </c>
      <c r="F33" s="125">
        <f t="shared" si="0"/>
        <v>0.08</v>
      </c>
      <c r="G33" t="s">
        <v>6</v>
      </c>
      <c r="I33" s="104">
        <v>723224.02096419281</v>
      </c>
      <c r="J33" s="5">
        <v>466604.20444141648</v>
      </c>
      <c r="K33" s="5">
        <v>600000</v>
      </c>
      <c r="L33" s="5">
        <v>48000</v>
      </c>
      <c r="M33" s="5">
        <v>15</v>
      </c>
      <c r="N33" s="5">
        <v>3224.0209641928086</v>
      </c>
      <c r="O33" s="105" t="s">
        <v>89</v>
      </c>
      <c r="P33" s="105" t="s">
        <v>76</v>
      </c>
      <c r="Q33" s="106">
        <v>62433.249931316292</v>
      </c>
      <c r="R33" s="92">
        <v>49560.188090396594</v>
      </c>
      <c r="S33" s="112">
        <v>8.2600313483994325E-2</v>
      </c>
      <c r="T33" s="104">
        <v>38457.497241109479</v>
      </c>
      <c r="U33" s="5">
        <v>27885.189864731929</v>
      </c>
      <c r="V33" s="104">
        <v>66493.904921700538</v>
      </c>
      <c r="W33" s="5">
        <v>51818.614423052109</v>
      </c>
      <c r="X33" s="5">
        <v>170099.6520941263</v>
      </c>
      <c r="Y33" s="5">
        <v>131062.67365345545</v>
      </c>
      <c r="Z33" s="121">
        <v>597666.87809487199</v>
      </c>
    </row>
    <row r="34" spans="3:26">
      <c r="C34">
        <f t="shared" si="9"/>
        <v>29</v>
      </c>
      <c r="D34">
        <f t="shared" si="5"/>
        <v>70</v>
      </c>
      <c r="E34" s="5">
        <f t="shared" si="8"/>
        <v>600000</v>
      </c>
      <c r="F34" s="125">
        <f t="shared" si="0"/>
        <v>0.1</v>
      </c>
      <c r="G34" t="s">
        <v>6</v>
      </c>
      <c r="I34" s="104">
        <v>688484.16818698752</v>
      </c>
      <c r="J34" s="5">
        <v>487369.26122118009</v>
      </c>
      <c r="K34" s="5">
        <v>600000</v>
      </c>
      <c r="L34" s="5">
        <v>60000</v>
      </c>
      <c r="M34" s="5">
        <v>11</v>
      </c>
      <c r="N34" s="5">
        <v>28484.168186987517</v>
      </c>
      <c r="O34" s="105" t="s">
        <v>88</v>
      </c>
      <c r="P34" s="105" t="s">
        <v>69</v>
      </c>
      <c r="Q34" s="106">
        <v>50360.465288970569</v>
      </c>
      <c r="R34" s="92">
        <v>42544.72022683543</v>
      </c>
      <c r="S34" s="112">
        <v>7.0907867044725723E-2</v>
      </c>
      <c r="T34" s="104">
        <v>29235.241499596654</v>
      </c>
      <c r="U34" s="5">
        <v>22668.300755015345</v>
      </c>
      <c r="V34" s="104">
        <v>52730.930429426429</v>
      </c>
      <c r="W34" s="5">
        <v>43820.981058592406</v>
      </c>
      <c r="X34" s="5">
        <v>134321.63721799364</v>
      </c>
      <c r="Y34" s="5">
        <v>110498.0538954924</v>
      </c>
      <c r="Z34" s="121">
        <v>597867.31511667254</v>
      </c>
    </row>
    <row r="35" spans="3:26">
      <c r="C35">
        <f t="shared" si="9"/>
        <v>30</v>
      </c>
      <c r="D35">
        <f t="shared" si="5"/>
        <v>75</v>
      </c>
      <c r="E35" s="5">
        <f t="shared" si="8"/>
        <v>600000</v>
      </c>
      <c r="F35" s="125">
        <f t="shared" si="0"/>
        <v>0.12</v>
      </c>
      <c r="G35" t="s">
        <v>6</v>
      </c>
      <c r="I35" s="104">
        <v>668155.65147522138</v>
      </c>
      <c r="J35" s="5">
        <v>500921.73373067973</v>
      </c>
      <c r="K35" s="5">
        <v>600000</v>
      </c>
      <c r="L35" s="5">
        <v>72000</v>
      </c>
      <c r="M35" s="5">
        <v>9</v>
      </c>
      <c r="N35" s="5">
        <v>20155.651475221384</v>
      </c>
      <c r="O35" s="105" t="s">
        <v>77</v>
      </c>
      <c r="P35" s="105" t="s">
        <v>78</v>
      </c>
      <c r="Q35" s="106">
        <v>43321.685053461886</v>
      </c>
      <c r="R35" s="92">
        <v>37956.89677681285</v>
      </c>
      <c r="S35" s="112">
        <v>6.3261494628021414E-2</v>
      </c>
      <c r="T35" s="104">
        <v>23872.805457740349</v>
      </c>
      <c r="U35" s="5">
        <v>19263.951017249179</v>
      </c>
      <c r="V35" s="104">
        <v>44706.720960946535</v>
      </c>
      <c r="W35" s="5">
        <v>38590.862325566646</v>
      </c>
      <c r="X35" s="5">
        <v>113536.21147214877</v>
      </c>
      <c r="Y35" s="5">
        <v>97076.658840376753</v>
      </c>
      <c r="Z35" s="121">
        <v>597998.39257105649</v>
      </c>
    </row>
    <row r="36" spans="3:26">
      <c r="C36">
        <f t="shared" si="9"/>
        <v>31</v>
      </c>
      <c r="D36">
        <f t="shared" si="5"/>
        <v>80</v>
      </c>
      <c r="E36" s="5">
        <f t="shared" si="8"/>
        <v>600000</v>
      </c>
      <c r="F36" s="125">
        <f t="shared" si="0"/>
        <v>0.12</v>
      </c>
      <c r="G36" t="s">
        <v>6</v>
      </c>
      <c r="I36" s="104">
        <v>668155.65147522138</v>
      </c>
      <c r="J36" s="5">
        <v>500921.73373067973</v>
      </c>
      <c r="K36" s="5">
        <v>600000</v>
      </c>
      <c r="L36" s="5">
        <v>72000</v>
      </c>
      <c r="M36" s="5">
        <v>9</v>
      </c>
      <c r="N36" s="5">
        <v>20155.651475221384</v>
      </c>
      <c r="O36" s="105" t="s">
        <v>77</v>
      </c>
      <c r="P36" s="105" t="s">
        <v>79</v>
      </c>
      <c r="Q36" s="106">
        <v>43321.685053461886</v>
      </c>
      <c r="R36" s="92">
        <v>37956.89677681285</v>
      </c>
      <c r="S36" s="112">
        <v>6.3261494628021414E-2</v>
      </c>
      <c r="T36" s="104">
        <v>23872.805457740349</v>
      </c>
      <c r="U36" s="5">
        <v>19263.951017249179</v>
      </c>
      <c r="V36" s="104">
        <v>44706.720960946535</v>
      </c>
      <c r="W36" s="5">
        <v>38590.862325566646</v>
      </c>
      <c r="X36" s="5">
        <v>113536.21147214877</v>
      </c>
      <c r="Y36" s="5">
        <v>97076.658840376753</v>
      </c>
      <c r="Z36" s="121">
        <v>597998.39257105649</v>
      </c>
    </row>
    <row r="37" spans="3:26">
      <c r="C37" s="40">
        <f t="shared" si="9"/>
        <v>32</v>
      </c>
      <c r="D37" s="40">
        <f t="shared" si="5"/>
        <v>85</v>
      </c>
      <c r="E37" s="43">
        <f t="shared" si="8"/>
        <v>600000</v>
      </c>
      <c r="F37" s="126">
        <f t="shared" si="0"/>
        <v>0.12</v>
      </c>
      <c r="G37" s="40" t="s">
        <v>6</v>
      </c>
      <c r="I37" s="113">
        <v>668155.65147522138</v>
      </c>
      <c r="J37" s="43">
        <v>500921.73373067973</v>
      </c>
      <c r="K37" s="43">
        <v>600000</v>
      </c>
      <c r="L37" s="43">
        <v>72000</v>
      </c>
      <c r="M37" s="43">
        <v>9</v>
      </c>
      <c r="N37" s="43">
        <v>20155.651475221384</v>
      </c>
      <c r="O37" s="81" t="s">
        <v>77</v>
      </c>
      <c r="P37" s="81" t="s">
        <v>80</v>
      </c>
      <c r="Q37" s="114">
        <v>43321.685053461886</v>
      </c>
      <c r="R37" s="88">
        <v>37956.89677681285</v>
      </c>
      <c r="S37" s="93">
        <v>6.3261494628021414E-2</v>
      </c>
      <c r="T37" s="113">
        <v>23872.805457740349</v>
      </c>
      <c r="U37" s="43">
        <v>19263.951017249179</v>
      </c>
      <c r="V37" s="113">
        <v>44706.720960946535</v>
      </c>
      <c r="W37" s="43">
        <v>38590.862325566646</v>
      </c>
      <c r="X37" s="43">
        <v>113536.21147214877</v>
      </c>
      <c r="Y37" s="43">
        <v>97076.658840376753</v>
      </c>
      <c r="Z37" s="122">
        <v>597998.39257105649</v>
      </c>
    </row>
    <row r="38" spans="3:26">
      <c r="C38" s="39">
        <f>C37+1</f>
        <v>33</v>
      </c>
      <c r="D38" s="39">
        <f>D30</f>
        <v>50</v>
      </c>
      <c r="E38" s="82">
        <f>ROUND(E30*1.25/100000,0)*100000</f>
        <v>800000</v>
      </c>
      <c r="F38" s="124">
        <f t="shared" si="0"/>
        <v>5.45E-2</v>
      </c>
      <c r="G38" s="39" t="s">
        <v>6</v>
      </c>
      <c r="I38" s="42">
        <v>1104595.1792064235</v>
      </c>
      <c r="J38" s="82">
        <v>559121.68906896817</v>
      </c>
      <c r="K38" s="82">
        <v>800000</v>
      </c>
      <c r="L38" s="82">
        <v>43600</v>
      </c>
      <c r="M38" s="82">
        <v>25</v>
      </c>
      <c r="N38" s="82">
        <v>14595.179206423461</v>
      </c>
      <c r="O38" s="80" t="s">
        <v>86</v>
      </c>
      <c r="P38" s="80" t="s">
        <v>73</v>
      </c>
      <c r="Q38" s="87">
        <v>131293.27489584996</v>
      </c>
      <c r="R38" s="110">
        <v>87740.191143714401</v>
      </c>
      <c r="S38" s="111">
        <v>0.109675238929643</v>
      </c>
      <c r="T38" s="42">
        <v>87917.226995911609</v>
      </c>
      <c r="U38" s="82">
        <v>53264.007268825866</v>
      </c>
      <c r="V38" s="42">
        <v>143434.33338126898</v>
      </c>
      <c r="W38" s="82">
        <v>93783.817903834337</v>
      </c>
      <c r="X38" s="82">
        <v>367159.83527303056</v>
      </c>
      <c r="Y38" s="82">
        <v>237148.64146694008</v>
      </c>
      <c r="Z38" s="120">
        <v>796270.33053590823</v>
      </c>
    </row>
    <row r="39" spans="3:26">
      <c r="C39">
        <f t="shared" ref="C39:C45" si="10">C38+1</f>
        <v>34</v>
      </c>
      <c r="D39">
        <f t="shared" si="5"/>
        <v>55</v>
      </c>
      <c r="E39" s="5">
        <f t="shared" si="8"/>
        <v>800000</v>
      </c>
      <c r="F39" s="125">
        <f t="shared" si="0"/>
        <v>6.1499999999999999E-2</v>
      </c>
      <c r="G39" t="s">
        <v>6</v>
      </c>
      <c r="I39" s="104">
        <v>1048572.1201371338</v>
      </c>
      <c r="J39" s="5">
        <v>581801.13255902962</v>
      </c>
      <c r="K39" s="5">
        <v>800000</v>
      </c>
      <c r="L39" s="5">
        <v>49200</v>
      </c>
      <c r="M39" s="5">
        <v>21</v>
      </c>
      <c r="N39" s="5">
        <v>15372.120137133752</v>
      </c>
      <c r="O39" s="105" t="s">
        <v>81</v>
      </c>
      <c r="P39" s="105" t="s">
        <v>74</v>
      </c>
      <c r="Q39" s="106">
        <v>111982.37844739191</v>
      </c>
      <c r="R39" s="92">
        <v>80013.716504657787</v>
      </c>
      <c r="S39" s="112">
        <v>0.10001714563082223</v>
      </c>
      <c r="T39" s="104">
        <v>73189.486554935895</v>
      </c>
      <c r="U39" s="5">
        <v>47526.295317136988</v>
      </c>
      <c r="V39" s="104">
        <v>121419.91143002675</v>
      </c>
      <c r="W39" s="5">
        <v>84975.636815309859</v>
      </c>
      <c r="X39" s="5">
        <v>310386.77643235459</v>
      </c>
      <c r="Y39" s="5">
        <v>214689.94897963456</v>
      </c>
      <c r="Z39" s="121">
        <v>796491.08153866418</v>
      </c>
    </row>
    <row r="40" spans="3:26">
      <c r="C40">
        <f t="shared" si="10"/>
        <v>35</v>
      </c>
      <c r="D40">
        <f t="shared" si="5"/>
        <v>60</v>
      </c>
      <c r="E40" s="5">
        <f t="shared" si="8"/>
        <v>800000</v>
      </c>
      <c r="F40" s="125">
        <f t="shared" si="0"/>
        <v>7.0000000000000007E-2</v>
      </c>
      <c r="G40" t="s">
        <v>6</v>
      </c>
      <c r="I40" s="104">
        <v>1001542.6173997822</v>
      </c>
      <c r="J40" s="5">
        <v>603677.17408738087</v>
      </c>
      <c r="K40" s="5">
        <v>800000</v>
      </c>
      <c r="L40" s="5">
        <v>56000.000000000007</v>
      </c>
      <c r="M40" s="5">
        <v>17</v>
      </c>
      <c r="N40" s="5">
        <v>49542.617399782059</v>
      </c>
      <c r="O40" s="105" t="s">
        <v>87</v>
      </c>
      <c r="P40" s="105" t="s">
        <v>75</v>
      </c>
      <c r="Q40" s="106">
        <v>95725.090335640445</v>
      </c>
      <c r="R40" s="92">
        <v>72582.725564374501</v>
      </c>
      <c r="S40" s="112">
        <v>9.0728406955468133E-2</v>
      </c>
      <c r="T40" s="104">
        <v>60769.779524274032</v>
      </c>
      <c r="U40" s="5">
        <v>42000.38167207205</v>
      </c>
      <c r="V40" s="104">
        <v>102886.60298262996</v>
      </c>
      <c r="W40" s="5">
        <v>76504.307143386919</v>
      </c>
      <c r="X40" s="5">
        <v>262456.47284254443</v>
      </c>
      <c r="Y40" s="5">
        <v>193026.21626974846</v>
      </c>
      <c r="Z40" s="121">
        <v>796703.39035712928</v>
      </c>
    </row>
    <row r="41" spans="3:26">
      <c r="C41">
        <f t="shared" si="10"/>
        <v>36</v>
      </c>
      <c r="D41">
        <f t="shared" si="5"/>
        <v>65</v>
      </c>
      <c r="E41" s="5">
        <f t="shared" si="8"/>
        <v>800000</v>
      </c>
      <c r="F41" s="125">
        <f t="shared" si="0"/>
        <v>0.08</v>
      </c>
      <c r="G41" t="s">
        <v>6</v>
      </c>
      <c r="I41" s="104">
        <v>965433.50038187252</v>
      </c>
      <c r="J41" s="5">
        <v>622608.14385703532</v>
      </c>
      <c r="K41" s="5">
        <v>800000</v>
      </c>
      <c r="L41" s="5">
        <v>64000</v>
      </c>
      <c r="M41" s="5">
        <v>15</v>
      </c>
      <c r="N41" s="5">
        <v>5433.5003818725236</v>
      </c>
      <c r="O41" s="105" t="s">
        <v>89</v>
      </c>
      <c r="P41" s="105" t="s">
        <v>76</v>
      </c>
      <c r="Q41" s="106">
        <v>83323.356897572448</v>
      </c>
      <c r="R41" s="92">
        <v>66124.431054109591</v>
      </c>
      <c r="S41" s="112">
        <v>8.2655538817636987E-2</v>
      </c>
      <c r="T41" s="104">
        <v>51339.328570406877</v>
      </c>
      <c r="U41" s="5">
        <v>37214.800942683236</v>
      </c>
      <c r="V41" s="104">
        <v>88748.626863232566</v>
      </c>
      <c r="W41" s="5">
        <v>69141.851401684951</v>
      </c>
      <c r="X41" s="5">
        <v>226126.31233121187</v>
      </c>
      <c r="Y41" s="5">
        <v>174279.76467375259</v>
      </c>
      <c r="Z41" s="121">
        <v>796887.90853078791</v>
      </c>
    </row>
    <row r="42" spans="3:26">
      <c r="C42">
        <f t="shared" si="10"/>
        <v>37</v>
      </c>
      <c r="D42">
        <f t="shared" si="5"/>
        <v>70</v>
      </c>
      <c r="E42" s="5">
        <f t="shared" si="8"/>
        <v>800000</v>
      </c>
      <c r="F42" s="125">
        <f t="shared" si="0"/>
        <v>0.1</v>
      </c>
      <c r="G42" t="s">
        <v>6</v>
      </c>
      <c r="I42" s="104">
        <v>918762.103901166</v>
      </c>
      <c r="J42" s="5">
        <v>650234.97808483965</v>
      </c>
      <c r="K42" s="5">
        <v>800000</v>
      </c>
      <c r="L42" s="5">
        <v>80000</v>
      </c>
      <c r="M42" s="5">
        <v>11</v>
      </c>
      <c r="N42" s="5">
        <v>38762.103901166003</v>
      </c>
      <c r="O42" s="105" t="s">
        <v>88</v>
      </c>
      <c r="P42" s="105" t="s">
        <v>69</v>
      </c>
      <c r="Q42" s="106">
        <v>67188.125973347342</v>
      </c>
      <c r="R42" s="92">
        <v>56752.854902179883</v>
      </c>
      <c r="S42" s="112">
        <v>7.0941068627724854E-2</v>
      </c>
      <c r="T42" s="104">
        <v>39013.256340372922</v>
      </c>
      <c r="U42" s="5">
        <v>30245.521850301055</v>
      </c>
      <c r="V42" s="104">
        <v>70354.46360961601</v>
      </c>
      <c r="W42" s="5">
        <v>58458.25458848507</v>
      </c>
      <c r="X42" s="5">
        <v>178550.84592333628</v>
      </c>
      <c r="Y42" s="5">
        <v>146920.68319601522</v>
      </c>
      <c r="Z42" s="121">
        <v>797155.66128085484</v>
      </c>
    </row>
    <row r="43" spans="3:26">
      <c r="C43">
        <f t="shared" si="10"/>
        <v>38</v>
      </c>
      <c r="D43">
        <f t="shared" si="5"/>
        <v>75</v>
      </c>
      <c r="E43" s="5">
        <f t="shared" si="8"/>
        <v>800000</v>
      </c>
      <c r="F43" s="125">
        <f t="shared" si="0"/>
        <v>0.12</v>
      </c>
      <c r="G43" t="s">
        <v>6</v>
      </c>
      <c r="I43" s="104">
        <v>891496.55292176595</v>
      </c>
      <c r="J43" s="5">
        <v>668261.28367201902</v>
      </c>
      <c r="K43" s="5">
        <v>800000</v>
      </c>
      <c r="L43" s="5">
        <v>96000</v>
      </c>
      <c r="M43" s="5">
        <v>9</v>
      </c>
      <c r="N43" s="5">
        <v>27496.55292176595</v>
      </c>
      <c r="O43" s="105" t="s">
        <v>77</v>
      </c>
      <c r="P43" s="105" t="s">
        <v>78</v>
      </c>
      <c r="Q43" s="106">
        <v>57789.072736529808</v>
      </c>
      <c r="R43" s="92">
        <v>50628.024423418967</v>
      </c>
      <c r="S43" s="112">
        <v>6.3285030529273714E-2</v>
      </c>
      <c r="T43" s="104">
        <v>31852.340970688638</v>
      </c>
      <c r="U43" s="5">
        <v>25700.447485598026</v>
      </c>
      <c r="V43" s="104">
        <v>59639.542919644002</v>
      </c>
      <c r="W43" s="5">
        <v>51475.94784269762</v>
      </c>
      <c r="X43" s="5">
        <v>150915.95662686246</v>
      </c>
      <c r="Y43" s="5">
        <v>129069.36847246271</v>
      </c>
      <c r="Z43" s="121">
        <v>797330.65214448178</v>
      </c>
    </row>
    <row r="44" spans="3:26">
      <c r="C44">
        <f t="shared" si="10"/>
        <v>39</v>
      </c>
      <c r="D44">
        <f t="shared" si="5"/>
        <v>80</v>
      </c>
      <c r="E44" s="5">
        <f t="shared" si="8"/>
        <v>800000</v>
      </c>
      <c r="F44" s="125">
        <f t="shared" si="0"/>
        <v>0.12</v>
      </c>
      <c r="G44" t="s">
        <v>6</v>
      </c>
      <c r="I44" s="104">
        <v>891496.55292176595</v>
      </c>
      <c r="J44" s="5">
        <v>668261.28367201902</v>
      </c>
      <c r="K44" s="5">
        <v>800000</v>
      </c>
      <c r="L44" s="5">
        <v>96000</v>
      </c>
      <c r="M44" s="5">
        <v>9</v>
      </c>
      <c r="N44" s="5">
        <v>27496.55292176595</v>
      </c>
      <c r="O44" s="105" t="s">
        <v>77</v>
      </c>
      <c r="P44" s="105" t="s">
        <v>79</v>
      </c>
      <c r="Q44" s="106">
        <v>57789.072736529808</v>
      </c>
      <c r="R44" s="92">
        <v>50628.024423418967</v>
      </c>
      <c r="S44" s="112">
        <v>6.3285030529273714E-2</v>
      </c>
      <c r="T44" s="104">
        <v>31852.340970688638</v>
      </c>
      <c r="U44" s="5">
        <v>25700.447485598026</v>
      </c>
      <c r="V44" s="104">
        <v>59639.542919644002</v>
      </c>
      <c r="W44" s="5">
        <v>51475.94784269762</v>
      </c>
      <c r="X44" s="5">
        <v>150915.95662686246</v>
      </c>
      <c r="Y44" s="5">
        <v>129069.36847246271</v>
      </c>
      <c r="Z44" s="121">
        <v>797330.65214448178</v>
      </c>
    </row>
    <row r="45" spans="3:26">
      <c r="C45" s="40">
        <f t="shared" si="10"/>
        <v>40</v>
      </c>
      <c r="D45" s="40">
        <f t="shared" si="5"/>
        <v>85</v>
      </c>
      <c r="E45" s="43">
        <f t="shared" si="8"/>
        <v>800000</v>
      </c>
      <c r="F45" s="126">
        <f t="shared" si="0"/>
        <v>0.12</v>
      </c>
      <c r="G45" s="40" t="s">
        <v>6</v>
      </c>
      <c r="I45" s="113">
        <v>891496.55292176595</v>
      </c>
      <c r="J45" s="43">
        <v>668261.28367201902</v>
      </c>
      <c r="K45" s="43">
        <v>800000</v>
      </c>
      <c r="L45" s="43">
        <v>96000</v>
      </c>
      <c r="M45" s="43">
        <v>9</v>
      </c>
      <c r="N45" s="43">
        <v>27496.55292176595</v>
      </c>
      <c r="O45" s="81" t="s">
        <v>77</v>
      </c>
      <c r="P45" s="81" t="s">
        <v>80</v>
      </c>
      <c r="Q45" s="114">
        <v>57789.072736529808</v>
      </c>
      <c r="R45" s="88">
        <v>50628.024423418967</v>
      </c>
      <c r="S45" s="93">
        <v>6.3285030529273714E-2</v>
      </c>
      <c r="T45" s="113">
        <v>31852.340970688638</v>
      </c>
      <c r="U45" s="43">
        <v>25700.447485598026</v>
      </c>
      <c r="V45" s="113">
        <v>59639.542919644002</v>
      </c>
      <c r="W45" s="43">
        <v>51475.94784269762</v>
      </c>
      <c r="X45" s="43">
        <v>150915.95662686246</v>
      </c>
      <c r="Y45" s="43">
        <v>129069.36847246271</v>
      </c>
      <c r="Z45" s="122">
        <v>797330.65214448178</v>
      </c>
    </row>
    <row r="46" spans="3:26">
      <c r="C46" s="39">
        <f>C45+1</f>
        <v>41</v>
      </c>
      <c r="D46" s="39">
        <f>D38</f>
        <v>50</v>
      </c>
      <c r="E46" s="82">
        <f>ROUND(E38*1.25/100000,0)*100000</f>
        <v>1000000</v>
      </c>
      <c r="F46" s="124">
        <f t="shared" si="0"/>
        <v>5.45E-2</v>
      </c>
      <c r="G46" s="39" t="s">
        <v>6</v>
      </c>
      <c r="I46" s="42">
        <v>1382407.6916214139</v>
      </c>
      <c r="J46" s="82">
        <v>699285.13614651863</v>
      </c>
      <c r="K46" s="82">
        <v>1000000</v>
      </c>
      <c r="L46" s="82">
        <v>54500</v>
      </c>
      <c r="M46" s="82">
        <v>25</v>
      </c>
      <c r="N46" s="82">
        <v>19907.69162141392</v>
      </c>
      <c r="O46" s="80" t="s">
        <v>86</v>
      </c>
      <c r="P46" s="80" t="s">
        <v>73</v>
      </c>
      <c r="Q46" s="87">
        <v>164299.62396307287</v>
      </c>
      <c r="R46" s="110">
        <v>109745.78354791194</v>
      </c>
      <c r="S46" s="111">
        <v>0.10974578354791194</v>
      </c>
      <c r="T46" s="42">
        <v>110038.97253790415</v>
      </c>
      <c r="U46" s="82">
        <v>66634.159569193434</v>
      </c>
      <c r="V46" s="42">
        <v>179501.5713179032</v>
      </c>
      <c r="W46" s="82">
        <v>117310.19324461982</v>
      </c>
      <c r="X46" s="82">
        <v>458355.16781888017</v>
      </c>
      <c r="Y46" s="82">
        <v>296050.76151229063</v>
      </c>
      <c r="Z46" s="120">
        <v>995335.89765880932</v>
      </c>
    </row>
    <row r="47" spans="3:26">
      <c r="C47">
        <f t="shared" ref="C47:C53" si="11">C46+1</f>
        <v>42</v>
      </c>
      <c r="D47">
        <f t="shared" si="5"/>
        <v>55</v>
      </c>
      <c r="E47" s="5">
        <f t="shared" si="8"/>
        <v>1000000</v>
      </c>
      <c r="F47" s="125">
        <f t="shared" si="0"/>
        <v>6.1499999999999999E-2</v>
      </c>
      <c r="G47" t="s">
        <v>6</v>
      </c>
      <c r="I47" s="104">
        <v>1312024.8745763535</v>
      </c>
      <c r="J47" s="5">
        <v>727632.52064665523</v>
      </c>
      <c r="K47" s="5">
        <v>1000000</v>
      </c>
      <c r="L47" s="5">
        <v>61500</v>
      </c>
      <c r="M47" s="5">
        <v>21</v>
      </c>
      <c r="N47" s="5">
        <v>20524.874576353468</v>
      </c>
      <c r="O47" s="105" t="s">
        <v>81</v>
      </c>
      <c r="P47" s="105" t="s">
        <v>74</v>
      </c>
      <c r="Q47" s="106">
        <v>140101.65266230784</v>
      </c>
      <c r="R47" s="92">
        <v>100072.40298393172</v>
      </c>
      <c r="S47" s="112">
        <v>0.10007240298393172</v>
      </c>
      <c r="T47" s="104">
        <v>91583.629504369164</v>
      </c>
      <c r="U47" s="5">
        <v>59450.509805742651</v>
      </c>
      <c r="V47" s="104">
        <v>151915.88403503096</v>
      </c>
      <c r="W47" s="5">
        <v>106282.53940168227</v>
      </c>
      <c r="X47" s="5">
        <v>387396.16620170797</v>
      </c>
      <c r="Y47" s="5">
        <v>267979.75253388652</v>
      </c>
      <c r="Z47" s="121">
        <v>995612.27318054182</v>
      </c>
    </row>
    <row r="48" spans="3:26">
      <c r="C48">
        <f t="shared" si="11"/>
        <v>43</v>
      </c>
      <c r="D48">
        <f t="shared" si="5"/>
        <v>60</v>
      </c>
      <c r="E48" s="5">
        <f t="shared" si="8"/>
        <v>1000000</v>
      </c>
      <c r="F48" s="125">
        <f t="shared" si="0"/>
        <v>7.0000000000000007E-2</v>
      </c>
      <c r="G48" t="s">
        <v>6</v>
      </c>
      <c r="I48" s="104">
        <v>1252923.3391229382</v>
      </c>
      <c r="J48" s="5">
        <v>754962.42837623833</v>
      </c>
      <c r="K48" s="5">
        <v>1000000</v>
      </c>
      <c r="L48" s="5">
        <v>70000</v>
      </c>
      <c r="M48" s="5">
        <v>17</v>
      </c>
      <c r="N48" s="5">
        <v>62923.339122938225</v>
      </c>
      <c r="O48" s="105" t="s">
        <v>87</v>
      </c>
      <c r="P48" s="105" t="s">
        <v>75</v>
      </c>
      <c r="Q48" s="106">
        <v>119734.07072487213</v>
      </c>
      <c r="R48" s="92">
        <v>90768.708401226657</v>
      </c>
      <c r="S48" s="112">
        <v>9.0768708401226653E-2</v>
      </c>
      <c r="T48" s="104">
        <v>76023.508334814265</v>
      </c>
      <c r="U48" s="5">
        <v>52531.820260001834</v>
      </c>
      <c r="V48" s="104">
        <v>128696.84062635434</v>
      </c>
      <c r="W48" s="5">
        <v>95676.327577398508</v>
      </c>
      <c r="X48" s="5">
        <v>327529.41968604072</v>
      </c>
      <c r="Y48" s="5">
        <v>240915.65812854198</v>
      </c>
      <c r="Z48" s="121">
        <v>995878.08650478034</v>
      </c>
    </row>
    <row r="49" spans="3:26">
      <c r="C49">
        <f t="shared" si="11"/>
        <v>44</v>
      </c>
      <c r="D49">
        <f t="shared" si="5"/>
        <v>65</v>
      </c>
      <c r="E49" s="5">
        <f t="shared" si="8"/>
        <v>1000000</v>
      </c>
      <c r="F49" s="125">
        <f t="shared" si="0"/>
        <v>0.08</v>
      </c>
      <c r="G49" t="s">
        <v>6</v>
      </c>
      <c r="I49" s="104">
        <v>1207642.9797995521</v>
      </c>
      <c r="J49" s="5">
        <v>778612.08327265445</v>
      </c>
      <c r="K49" s="5">
        <v>1000000</v>
      </c>
      <c r="L49" s="5">
        <v>80000</v>
      </c>
      <c r="M49" s="5">
        <v>15</v>
      </c>
      <c r="N49" s="5">
        <v>7642.9797995521221</v>
      </c>
      <c r="O49" s="105" t="s">
        <v>89</v>
      </c>
      <c r="P49" s="105" t="s">
        <v>76</v>
      </c>
      <c r="Q49" s="106">
        <v>104213.46386382857</v>
      </c>
      <c r="R49" s="92">
        <v>82688.67401782253</v>
      </c>
      <c r="S49" s="112">
        <v>8.2688674017822525E-2</v>
      </c>
      <c r="T49" s="104">
        <v>64221.15989970426</v>
      </c>
      <c r="U49" s="5">
        <v>46544.412020634511</v>
      </c>
      <c r="V49" s="104">
        <v>111003.3488047646</v>
      </c>
      <c r="W49" s="5">
        <v>86465.088380317771</v>
      </c>
      <c r="X49" s="5">
        <v>282152.97256829741</v>
      </c>
      <c r="Y49" s="5">
        <v>217496.85569404962</v>
      </c>
      <c r="Z49" s="121">
        <v>996108.93896670407</v>
      </c>
    </row>
    <row r="50" spans="3:26">
      <c r="C50">
        <f t="shared" si="11"/>
        <v>45</v>
      </c>
      <c r="D50">
        <f t="shared" si="5"/>
        <v>70</v>
      </c>
      <c r="E50" s="5">
        <f t="shared" si="8"/>
        <v>1000000</v>
      </c>
      <c r="F50" s="125">
        <f t="shared" si="0"/>
        <v>0.1</v>
      </c>
      <c r="G50" t="s">
        <v>6</v>
      </c>
      <c r="I50" s="104">
        <v>1149040.0396153436</v>
      </c>
      <c r="J50" s="5">
        <v>813100.69494849874</v>
      </c>
      <c r="K50" s="5">
        <v>1000000</v>
      </c>
      <c r="L50" s="5">
        <v>100000</v>
      </c>
      <c r="M50" s="5">
        <v>11</v>
      </c>
      <c r="N50" s="5">
        <v>49040.039615343558</v>
      </c>
      <c r="O50" s="105" t="s">
        <v>88</v>
      </c>
      <c r="P50" s="105" t="s">
        <v>69</v>
      </c>
      <c r="Q50" s="106">
        <v>84015.786657724151</v>
      </c>
      <c r="R50" s="92">
        <v>70960.98957752432</v>
      </c>
      <c r="S50" s="112">
        <v>7.0960989577524322E-2</v>
      </c>
      <c r="T50" s="104">
        <v>48791.271181149175</v>
      </c>
      <c r="U50" s="5">
        <v>37822.742945586746</v>
      </c>
      <c r="V50" s="104">
        <v>87977.996789805533</v>
      </c>
      <c r="W50" s="5">
        <v>73095.52811837777</v>
      </c>
      <c r="X50" s="5">
        <v>222780.05462867886</v>
      </c>
      <c r="Y50" s="5">
        <v>183343.31249653804</v>
      </c>
      <c r="Z50" s="121">
        <v>996444.00744503678</v>
      </c>
    </row>
    <row r="51" spans="3:26">
      <c r="C51">
        <f t="shared" si="11"/>
        <v>46</v>
      </c>
      <c r="D51">
        <f t="shared" si="5"/>
        <v>75</v>
      </c>
      <c r="E51" s="5">
        <f t="shared" si="8"/>
        <v>1000000</v>
      </c>
      <c r="F51" s="125">
        <f t="shared" si="0"/>
        <v>0.12</v>
      </c>
      <c r="G51" t="s">
        <v>6</v>
      </c>
      <c r="I51" s="104">
        <v>1114837.4543683124</v>
      </c>
      <c r="J51" s="5">
        <v>835600.83361335925</v>
      </c>
      <c r="K51" s="5">
        <v>1000000</v>
      </c>
      <c r="L51" s="5">
        <v>120000</v>
      </c>
      <c r="M51" s="5">
        <v>9</v>
      </c>
      <c r="N51" s="5">
        <v>34837.454368312377</v>
      </c>
      <c r="O51" s="105" t="s">
        <v>77</v>
      </c>
      <c r="P51" s="105" t="s">
        <v>78</v>
      </c>
      <c r="Q51" s="106">
        <v>72256.46041959789</v>
      </c>
      <c r="R51" s="92">
        <v>63299.152070025164</v>
      </c>
      <c r="S51" s="112">
        <v>6.3299152070025164E-2</v>
      </c>
      <c r="T51" s="104">
        <v>39831.87648363701</v>
      </c>
      <c r="U51" s="5">
        <v>32136.943953946939</v>
      </c>
      <c r="V51" s="104">
        <v>74572.364878341599</v>
      </c>
      <c r="W51" s="5">
        <v>64361.033359828725</v>
      </c>
      <c r="X51" s="5">
        <v>188295.7017815765</v>
      </c>
      <c r="Y51" s="5">
        <v>161062.07810454894</v>
      </c>
      <c r="Z51" s="121">
        <v>996662.91171790822</v>
      </c>
    </row>
    <row r="52" spans="3:26">
      <c r="C52">
        <f t="shared" si="11"/>
        <v>47</v>
      </c>
      <c r="D52">
        <f t="shared" si="5"/>
        <v>80</v>
      </c>
      <c r="E52" s="5">
        <f t="shared" si="8"/>
        <v>1000000</v>
      </c>
      <c r="F52" s="125">
        <f t="shared" si="0"/>
        <v>0.12</v>
      </c>
      <c r="G52" t="s">
        <v>6</v>
      </c>
      <c r="I52" s="104">
        <v>1114837.4543683124</v>
      </c>
      <c r="J52" s="5">
        <v>835600.83361335925</v>
      </c>
      <c r="K52" s="5">
        <v>1000000</v>
      </c>
      <c r="L52" s="5">
        <v>120000</v>
      </c>
      <c r="M52" s="5">
        <v>9</v>
      </c>
      <c r="N52" s="5">
        <v>34837.454368312377</v>
      </c>
      <c r="O52" s="105" t="s">
        <v>77</v>
      </c>
      <c r="P52" s="105" t="s">
        <v>79</v>
      </c>
      <c r="Q52" s="106">
        <v>72256.46041959789</v>
      </c>
      <c r="R52" s="92">
        <v>63299.152070025164</v>
      </c>
      <c r="S52" s="112">
        <v>6.3299152070025164E-2</v>
      </c>
      <c r="T52" s="104">
        <v>39831.87648363701</v>
      </c>
      <c r="U52" s="5">
        <v>32136.943953946939</v>
      </c>
      <c r="V52" s="104">
        <v>74572.364878341599</v>
      </c>
      <c r="W52" s="5">
        <v>64361.033359828725</v>
      </c>
      <c r="X52" s="5">
        <v>188295.7017815765</v>
      </c>
      <c r="Y52" s="5">
        <v>161062.07810454894</v>
      </c>
      <c r="Z52" s="121">
        <v>996662.91171790822</v>
      </c>
    </row>
    <row r="53" spans="3:26">
      <c r="C53" s="40">
        <f t="shared" si="11"/>
        <v>48</v>
      </c>
      <c r="D53" s="40">
        <f t="shared" si="5"/>
        <v>85</v>
      </c>
      <c r="E53" s="43">
        <f t="shared" si="8"/>
        <v>1000000</v>
      </c>
      <c r="F53" s="126">
        <f t="shared" si="0"/>
        <v>0.12</v>
      </c>
      <c r="G53" s="40" t="s">
        <v>6</v>
      </c>
      <c r="I53" s="113">
        <v>1114837.4543683124</v>
      </c>
      <c r="J53" s="43">
        <v>835600.83361335925</v>
      </c>
      <c r="K53" s="43">
        <v>1000000</v>
      </c>
      <c r="L53" s="43">
        <v>120000</v>
      </c>
      <c r="M53" s="43">
        <v>9</v>
      </c>
      <c r="N53" s="43">
        <v>34837.454368312377</v>
      </c>
      <c r="O53" s="81" t="s">
        <v>77</v>
      </c>
      <c r="P53" s="81" t="s">
        <v>80</v>
      </c>
      <c r="Q53" s="114">
        <v>72256.46041959789</v>
      </c>
      <c r="R53" s="88">
        <v>63299.152070025164</v>
      </c>
      <c r="S53" s="93">
        <v>6.3299152070025164E-2</v>
      </c>
      <c r="T53" s="113">
        <v>39831.87648363701</v>
      </c>
      <c r="U53" s="43">
        <v>32136.943953946939</v>
      </c>
      <c r="V53" s="113">
        <v>74572.364878341599</v>
      </c>
      <c r="W53" s="43">
        <v>64361.033359828725</v>
      </c>
      <c r="X53" s="43">
        <v>188295.7017815765</v>
      </c>
      <c r="Y53" s="43">
        <v>161062.07810454894</v>
      </c>
      <c r="Z53" s="122">
        <v>996662.91171790822</v>
      </c>
    </row>
    <row r="54" spans="3:26">
      <c r="C54" s="39">
        <f>C53+1</f>
        <v>49</v>
      </c>
      <c r="D54" s="39">
        <f>D46</f>
        <v>50</v>
      </c>
      <c r="E54" s="82">
        <f>ROUND(E46*1.25/100000,0)*100000</f>
        <v>1300000</v>
      </c>
      <c r="F54" s="124">
        <f t="shared" si="0"/>
        <v>5.45E-2</v>
      </c>
      <c r="G54" s="39" t="s">
        <v>6</v>
      </c>
      <c r="I54" s="42">
        <v>1799126.4602438987</v>
      </c>
      <c r="J54" s="82">
        <v>909530.30676284386</v>
      </c>
      <c r="K54" s="82">
        <v>1300000</v>
      </c>
      <c r="L54" s="82">
        <v>70850</v>
      </c>
      <c r="M54" s="82">
        <v>25</v>
      </c>
      <c r="N54" s="82">
        <v>27876.460243898677</v>
      </c>
      <c r="O54" s="80" t="s">
        <v>86</v>
      </c>
      <c r="P54" s="80" t="s">
        <v>73</v>
      </c>
      <c r="Q54" s="87">
        <v>213809.14756390749</v>
      </c>
      <c r="R54" s="110">
        <v>142754.17215420835</v>
      </c>
      <c r="S54" s="111">
        <v>0.10981090165708335</v>
      </c>
      <c r="T54" s="42">
        <v>143221.59085089286</v>
      </c>
      <c r="U54" s="82">
        <v>86689.388019744758</v>
      </c>
      <c r="V54" s="42">
        <v>233602.42822285448</v>
      </c>
      <c r="W54" s="82">
        <v>152599.75625579755</v>
      </c>
      <c r="X54" s="82">
        <v>595148.16663765488</v>
      </c>
      <c r="Y54" s="82">
        <v>384403.94158031611</v>
      </c>
      <c r="Z54" s="120">
        <v>1293934.2483431599</v>
      </c>
    </row>
    <row r="55" spans="3:26">
      <c r="C55">
        <f t="shared" ref="C55:C61" si="12">C54+1</f>
        <v>50</v>
      </c>
      <c r="D55">
        <f t="shared" si="5"/>
        <v>55</v>
      </c>
      <c r="E55" s="5">
        <f t="shared" si="8"/>
        <v>1300000</v>
      </c>
      <c r="F55" s="125">
        <f t="shared" si="0"/>
        <v>6.1499999999999999E-2</v>
      </c>
      <c r="G55" t="s">
        <v>6</v>
      </c>
      <c r="I55" s="104">
        <v>1707204.0062351844</v>
      </c>
      <c r="J55" s="5">
        <v>946379.60277809424</v>
      </c>
      <c r="K55" s="5">
        <v>1300000</v>
      </c>
      <c r="L55" s="5">
        <v>79950</v>
      </c>
      <c r="M55" s="5">
        <v>21</v>
      </c>
      <c r="N55" s="5">
        <v>28254.006235184381</v>
      </c>
      <c r="O55" s="105" t="s">
        <v>81</v>
      </c>
      <c r="P55" s="105" t="s">
        <v>74</v>
      </c>
      <c r="Q55" s="106">
        <v>182280.56398468194</v>
      </c>
      <c r="R55" s="92">
        <v>130160.43270284291</v>
      </c>
      <c r="S55" s="112">
        <v>0.10012340977141762</v>
      </c>
      <c r="T55" s="104">
        <v>119174.84392851929</v>
      </c>
      <c r="U55" s="5">
        <v>77336.83153865124</v>
      </c>
      <c r="V55" s="104">
        <v>197659.84294253745</v>
      </c>
      <c r="W55" s="5">
        <v>138242.89328124106</v>
      </c>
      <c r="X55" s="5">
        <v>502910.2508557387</v>
      </c>
      <c r="Y55" s="5">
        <v>347914.45786526508</v>
      </c>
      <c r="Z55" s="121">
        <v>1294294.0606433593</v>
      </c>
    </row>
    <row r="56" spans="3:26">
      <c r="C56">
        <f t="shared" si="12"/>
        <v>51</v>
      </c>
      <c r="D56">
        <f t="shared" si="5"/>
        <v>60</v>
      </c>
      <c r="E56" s="5">
        <f t="shared" si="8"/>
        <v>1300000</v>
      </c>
      <c r="F56" s="125">
        <f t="shared" si="0"/>
        <v>7.0000000000000007E-2</v>
      </c>
      <c r="G56" t="s">
        <v>6</v>
      </c>
      <c r="I56" s="104">
        <v>1629994.4217076721</v>
      </c>
      <c r="J56" s="5">
        <v>981890.3098095248</v>
      </c>
      <c r="K56" s="5">
        <v>1300000</v>
      </c>
      <c r="L56" s="5">
        <v>91000.000000000015</v>
      </c>
      <c r="M56" s="5">
        <v>17</v>
      </c>
      <c r="N56" s="5">
        <v>82994.421707671834</v>
      </c>
      <c r="O56" s="105" t="s">
        <v>87</v>
      </c>
      <c r="P56" s="105" t="s">
        <v>75</v>
      </c>
      <c r="Q56" s="106">
        <v>155747.54130871972</v>
      </c>
      <c r="R56" s="92">
        <v>118047.68265650515</v>
      </c>
      <c r="S56" s="112">
        <v>9.0805909735773183E-2</v>
      </c>
      <c r="T56" s="104">
        <v>98904.101550624502</v>
      </c>
      <c r="U56" s="5">
        <v>68328.978141896485</v>
      </c>
      <c r="V56" s="104">
        <v>167412.19709194064</v>
      </c>
      <c r="W56" s="5">
        <v>124434.35822841579</v>
      </c>
      <c r="X56" s="5">
        <v>425138.83995128487</v>
      </c>
      <c r="Y56" s="5">
        <v>312749.82091673237</v>
      </c>
      <c r="Z56" s="121">
        <v>1294640.1307262571</v>
      </c>
    </row>
    <row r="57" spans="3:26">
      <c r="C57">
        <f t="shared" si="12"/>
        <v>52</v>
      </c>
      <c r="D57">
        <f t="shared" si="5"/>
        <v>65</v>
      </c>
      <c r="E57" s="5">
        <f t="shared" si="8"/>
        <v>1300000</v>
      </c>
      <c r="F57" s="125">
        <f t="shared" si="0"/>
        <v>0.08</v>
      </c>
      <c r="G57" t="s">
        <v>6</v>
      </c>
      <c r="I57" s="104">
        <v>1570957.1989260728</v>
      </c>
      <c r="J57" s="5">
        <v>1012617.992396083</v>
      </c>
      <c r="K57" s="5">
        <v>1300000</v>
      </c>
      <c r="L57" s="5">
        <v>104000</v>
      </c>
      <c r="M57" s="5">
        <v>15</v>
      </c>
      <c r="N57" s="5">
        <v>10957.198926072801</v>
      </c>
      <c r="O57" s="105" t="s">
        <v>89</v>
      </c>
      <c r="P57" s="105" t="s">
        <v>76</v>
      </c>
      <c r="Q57" s="106">
        <v>135548.62431321296</v>
      </c>
      <c r="R57" s="92">
        <v>107535.03846339199</v>
      </c>
      <c r="S57" s="112">
        <v>8.2719260356455382E-2</v>
      </c>
      <c r="T57" s="104">
        <v>83543.906893650448</v>
      </c>
      <c r="U57" s="5">
        <v>60538.828637561521</v>
      </c>
      <c r="V57" s="104">
        <v>144385.43171706272</v>
      </c>
      <c r="W57" s="5">
        <v>112449.94384826702</v>
      </c>
      <c r="X57" s="5">
        <v>366192.96292392613</v>
      </c>
      <c r="Y57" s="5">
        <v>282322.49222449533</v>
      </c>
      <c r="Z57" s="121">
        <v>1294940.4846205784</v>
      </c>
    </row>
    <row r="58" spans="3:26">
      <c r="C58">
        <f t="shared" si="12"/>
        <v>53</v>
      </c>
      <c r="D58">
        <f t="shared" si="5"/>
        <v>70</v>
      </c>
      <c r="E58" s="5">
        <f t="shared" si="8"/>
        <v>1300000</v>
      </c>
      <c r="F58" s="125">
        <f t="shared" si="0"/>
        <v>0.1</v>
      </c>
      <c r="G58" t="s">
        <v>6</v>
      </c>
      <c r="I58" s="104">
        <v>1494456.94318661</v>
      </c>
      <c r="J58" s="5">
        <v>1057399.2702439874</v>
      </c>
      <c r="K58" s="5">
        <v>1300000</v>
      </c>
      <c r="L58" s="5">
        <v>130000</v>
      </c>
      <c r="M58" s="5">
        <v>11</v>
      </c>
      <c r="N58" s="5">
        <v>64456.943186610006</v>
      </c>
      <c r="O58" s="105" t="s">
        <v>88</v>
      </c>
      <c r="P58" s="105" t="s">
        <v>69</v>
      </c>
      <c r="Q58" s="106">
        <v>109257.27768428929</v>
      </c>
      <c r="R58" s="92">
        <v>92273.19159054097</v>
      </c>
      <c r="S58" s="112">
        <v>7.0979378146569974E-2</v>
      </c>
      <c r="T58" s="104">
        <v>63458.29344231353</v>
      </c>
      <c r="U58" s="5">
        <v>49188.574588515272</v>
      </c>
      <c r="V58" s="104">
        <v>114413.29656008976</v>
      </c>
      <c r="W58" s="5">
        <v>95051.438413216747</v>
      </c>
      <c r="X58" s="5">
        <v>289123.86768669257</v>
      </c>
      <c r="Y58" s="5">
        <v>237977.2564473222</v>
      </c>
      <c r="Z58" s="121">
        <v>1295376.5266913096</v>
      </c>
    </row>
    <row r="59" spans="3:26">
      <c r="C59">
        <f t="shared" si="12"/>
        <v>54</v>
      </c>
      <c r="D59">
        <f t="shared" si="5"/>
        <v>75</v>
      </c>
      <c r="E59" s="5">
        <f t="shared" si="8"/>
        <v>1300000</v>
      </c>
      <c r="F59" s="125">
        <f t="shared" si="0"/>
        <v>0.12</v>
      </c>
      <c r="G59" t="s">
        <v>6</v>
      </c>
      <c r="I59" s="104">
        <v>1449848.8065381297</v>
      </c>
      <c r="J59" s="5">
        <v>1086610.1585253684</v>
      </c>
      <c r="K59" s="5">
        <v>1300000</v>
      </c>
      <c r="L59" s="5">
        <v>156000</v>
      </c>
      <c r="M59" s="5">
        <v>9</v>
      </c>
      <c r="N59" s="5">
        <v>45848.806538129691</v>
      </c>
      <c r="O59" s="105" t="s">
        <v>77</v>
      </c>
      <c r="P59" s="105" t="s">
        <v>78</v>
      </c>
      <c r="Q59" s="106">
        <v>93957.541944199795</v>
      </c>
      <c r="R59" s="92">
        <v>82305.843539934343</v>
      </c>
      <c r="S59" s="112">
        <v>6.3312187338411027E-2</v>
      </c>
      <c r="T59" s="104">
        <v>51801.179753059485</v>
      </c>
      <c r="U59" s="5">
        <v>41791.688656470244</v>
      </c>
      <c r="V59" s="104">
        <v>96971.597816387788</v>
      </c>
      <c r="W59" s="5">
        <v>83688.661635525146</v>
      </c>
      <c r="X59" s="5">
        <v>244365.31951364706</v>
      </c>
      <c r="Y59" s="5">
        <v>209051.14255267783</v>
      </c>
      <c r="Z59" s="121">
        <v>1295661.3010780462</v>
      </c>
    </row>
    <row r="60" spans="3:26">
      <c r="C60">
        <f t="shared" si="12"/>
        <v>55</v>
      </c>
      <c r="D60">
        <f t="shared" si="5"/>
        <v>80</v>
      </c>
      <c r="E60" s="5">
        <f t="shared" si="8"/>
        <v>1300000</v>
      </c>
      <c r="F60" s="125">
        <f t="shared" si="0"/>
        <v>0.12</v>
      </c>
      <c r="G60" t="s">
        <v>6</v>
      </c>
      <c r="I60" s="104">
        <v>1449848.8065381297</v>
      </c>
      <c r="J60" s="5">
        <v>1086610.1585253684</v>
      </c>
      <c r="K60" s="5">
        <v>1300000</v>
      </c>
      <c r="L60" s="5">
        <v>156000</v>
      </c>
      <c r="M60" s="5">
        <v>9</v>
      </c>
      <c r="N60" s="5">
        <v>45848.806538129691</v>
      </c>
      <c r="O60" s="105" t="s">
        <v>77</v>
      </c>
      <c r="P60" s="105" t="s">
        <v>79</v>
      </c>
      <c r="Q60" s="106">
        <v>93957.541944199795</v>
      </c>
      <c r="R60" s="92">
        <v>82305.843539934343</v>
      </c>
      <c r="S60" s="112">
        <v>6.3312187338411027E-2</v>
      </c>
      <c r="T60" s="104">
        <v>51801.179753059485</v>
      </c>
      <c r="U60" s="5">
        <v>41791.688656470244</v>
      </c>
      <c r="V60" s="104">
        <v>96971.597816387788</v>
      </c>
      <c r="W60" s="5">
        <v>83688.661635525146</v>
      </c>
      <c r="X60" s="5">
        <v>244365.31951364706</v>
      </c>
      <c r="Y60" s="5">
        <v>209051.14255267783</v>
      </c>
      <c r="Z60" s="121">
        <v>1295661.3010780462</v>
      </c>
    </row>
    <row r="61" spans="3:26">
      <c r="C61" s="40">
        <f t="shared" si="12"/>
        <v>56</v>
      </c>
      <c r="D61" s="40">
        <f t="shared" si="5"/>
        <v>85</v>
      </c>
      <c r="E61" s="43">
        <f t="shared" si="8"/>
        <v>1300000</v>
      </c>
      <c r="F61" s="126">
        <f t="shared" si="0"/>
        <v>0.12</v>
      </c>
      <c r="G61" s="40" t="s">
        <v>6</v>
      </c>
      <c r="I61" s="113">
        <v>1449848.8065381297</v>
      </c>
      <c r="J61" s="43">
        <v>1086610.1585253684</v>
      </c>
      <c r="K61" s="43">
        <v>1300000</v>
      </c>
      <c r="L61" s="43">
        <v>156000</v>
      </c>
      <c r="M61" s="43">
        <v>9</v>
      </c>
      <c r="N61" s="43">
        <v>45848.806538129691</v>
      </c>
      <c r="O61" s="81" t="s">
        <v>77</v>
      </c>
      <c r="P61" s="81" t="s">
        <v>80</v>
      </c>
      <c r="Q61" s="114">
        <v>93957.541944199795</v>
      </c>
      <c r="R61" s="88">
        <v>82305.843539934343</v>
      </c>
      <c r="S61" s="93">
        <v>6.3312187338411027E-2</v>
      </c>
      <c r="T61" s="113">
        <v>51801.179753059485</v>
      </c>
      <c r="U61" s="43">
        <v>41791.688656470244</v>
      </c>
      <c r="V61" s="113">
        <v>96971.597816387788</v>
      </c>
      <c r="W61" s="43">
        <v>83688.661635525146</v>
      </c>
      <c r="X61" s="43">
        <v>244365.31951364706</v>
      </c>
      <c r="Y61" s="43">
        <v>209051.14255267783</v>
      </c>
      <c r="Z61" s="122">
        <v>1295661.3010780462</v>
      </c>
    </row>
    <row r="62" spans="3:26">
      <c r="C62" s="39">
        <f>C61+1</f>
        <v>57</v>
      </c>
      <c r="D62" s="39">
        <f>D54</f>
        <v>50</v>
      </c>
      <c r="E62" s="82">
        <f>ROUND(E54*1.25/100000,0)*100000</f>
        <v>1600000</v>
      </c>
      <c r="F62" s="124">
        <f t="shared" si="0"/>
        <v>5.45E-2</v>
      </c>
      <c r="G62" s="39" t="s">
        <v>6</v>
      </c>
      <c r="I62" s="42">
        <v>2215845.2288663788</v>
      </c>
      <c r="J62" s="82">
        <v>1119775.4773791684</v>
      </c>
      <c r="K62" s="82">
        <v>1600000</v>
      </c>
      <c r="L62" s="82">
        <v>87200</v>
      </c>
      <c r="M62" s="82">
        <v>25</v>
      </c>
      <c r="N62" s="82">
        <v>35845.228866378777</v>
      </c>
      <c r="O62" s="80" t="s">
        <v>86</v>
      </c>
      <c r="P62" s="80" t="s">
        <v>73</v>
      </c>
      <c r="Q62" s="87">
        <v>263318.67116474133</v>
      </c>
      <c r="R62" s="110">
        <v>175762.56076050445</v>
      </c>
      <c r="S62" s="111">
        <v>0.10985160047531528</v>
      </c>
      <c r="T62" s="42">
        <v>176404.20916388105</v>
      </c>
      <c r="U62" s="82">
        <v>106744.61647029591</v>
      </c>
      <c r="V62" s="42">
        <v>287703.28512780508</v>
      </c>
      <c r="W62" s="82">
        <v>187889.31926697507</v>
      </c>
      <c r="X62" s="82">
        <v>731941.16545642749</v>
      </c>
      <c r="Y62" s="82">
        <v>472757.12164834089</v>
      </c>
      <c r="Z62" s="120">
        <v>1592532.5990275093</v>
      </c>
    </row>
    <row r="63" spans="3:26">
      <c r="C63">
        <f t="shared" ref="C63:C69" si="13">C62+1</f>
        <v>58</v>
      </c>
      <c r="D63">
        <f t="shared" si="5"/>
        <v>55</v>
      </c>
      <c r="E63" s="5">
        <f t="shared" si="8"/>
        <v>1600000</v>
      </c>
      <c r="F63" s="125">
        <f t="shared" si="0"/>
        <v>6.1499999999999999E-2</v>
      </c>
      <c r="G63" t="s">
        <v>6</v>
      </c>
      <c r="I63" s="104">
        <v>2102383.1378940144</v>
      </c>
      <c r="J63" s="5">
        <v>1165126.684909533</v>
      </c>
      <c r="K63" s="5">
        <v>1600000</v>
      </c>
      <c r="L63" s="5">
        <v>98400</v>
      </c>
      <c r="M63" s="5">
        <v>21</v>
      </c>
      <c r="N63" s="5">
        <v>35983.137894014362</v>
      </c>
      <c r="O63" s="105" t="s">
        <v>81</v>
      </c>
      <c r="P63" s="105" t="s">
        <v>74</v>
      </c>
      <c r="Q63" s="106">
        <v>224459.47530705598</v>
      </c>
      <c r="R63" s="92">
        <v>160248.46242175397</v>
      </c>
      <c r="S63" s="112">
        <v>0.10015528901359623</v>
      </c>
      <c r="T63" s="104">
        <v>146766.05835266938</v>
      </c>
      <c r="U63" s="5">
        <v>95223.153271559742</v>
      </c>
      <c r="V63" s="104">
        <v>243403.80185004388</v>
      </c>
      <c r="W63" s="5">
        <v>170203.24716079957</v>
      </c>
      <c r="X63" s="5">
        <v>618424.33550976915</v>
      </c>
      <c r="Y63" s="5">
        <v>427849.16319664317</v>
      </c>
      <c r="Z63" s="121">
        <v>1592975.8481061761</v>
      </c>
    </row>
    <row r="64" spans="3:26">
      <c r="C64">
        <f t="shared" si="13"/>
        <v>59</v>
      </c>
      <c r="D64">
        <f t="shared" si="5"/>
        <v>60</v>
      </c>
      <c r="E64" s="5">
        <f t="shared" si="8"/>
        <v>1600000</v>
      </c>
      <c r="F64" s="125">
        <f t="shared" si="0"/>
        <v>7.0000000000000007E-2</v>
      </c>
      <c r="G64" t="s">
        <v>6</v>
      </c>
      <c r="I64" s="104">
        <v>2007065.5042924024</v>
      </c>
      <c r="J64" s="5">
        <v>1208818.1912428096</v>
      </c>
      <c r="K64" s="5">
        <v>1600000</v>
      </c>
      <c r="L64" s="5">
        <v>112000.00000000001</v>
      </c>
      <c r="M64" s="5">
        <v>17</v>
      </c>
      <c r="N64" s="5">
        <v>103065.50429240218</v>
      </c>
      <c r="O64" s="105" t="s">
        <v>87</v>
      </c>
      <c r="P64" s="105" t="s">
        <v>75</v>
      </c>
      <c r="Q64" s="106">
        <v>191761.01189256739</v>
      </c>
      <c r="R64" s="92">
        <v>145326.65691178327</v>
      </c>
      <c r="S64" s="112">
        <v>9.0829160569864537E-2</v>
      </c>
      <c r="T64" s="104">
        <v>121784.69476643455</v>
      </c>
      <c r="U64" s="5">
        <v>84126.136023791027</v>
      </c>
      <c r="V64" s="104">
        <v>206127.55355752652</v>
      </c>
      <c r="W64" s="5">
        <v>153192.38887943298</v>
      </c>
      <c r="X64" s="5">
        <v>522748.26021652843</v>
      </c>
      <c r="Y64" s="5">
        <v>384583.98370492226</v>
      </c>
      <c r="Z64" s="121">
        <v>1593402.1749477319</v>
      </c>
    </row>
    <row r="65" spans="3:26">
      <c r="C65">
        <f t="shared" si="13"/>
        <v>60</v>
      </c>
      <c r="D65">
        <f t="shared" si="5"/>
        <v>65</v>
      </c>
      <c r="E65" s="5">
        <f t="shared" si="8"/>
        <v>1600000</v>
      </c>
      <c r="F65" s="125">
        <f t="shared" si="0"/>
        <v>0.08</v>
      </c>
      <c r="G65" t="s">
        <v>6</v>
      </c>
      <c r="I65" s="104">
        <v>1934271.4180525932</v>
      </c>
      <c r="J65" s="5">
        <v>1246623.9015195118</v>
      </c>
      <c r="K65" s="5">
        <v>1600000</v>
      </c>
      <c r="L65" s="5">
        <v>128000</v>
      </c>
      <c r="M65" s="5">
        <v>15</v>
      </c>
      <c r="N65" s="5">
        <v>14271.418052593246</v>
      </c>
      <c r="O65" s="105" t="s">
        <v>89</v>
      </c>
      <c r="P65" s="105" t="s">
        <v>76</v>
      </c>
      <c r="Q65" s="106">
        <v>166883.78476259721</v>
      </c>
      <c r="R65" s="92">
        <v>132381.40290896164</v>
      </c>
      <c r="S65" s="112">
        <v>8.273837681810102E-2</v>
      </c>
      <c r="T65" s="104">
        <v>102866.65388759658</v>
      </c>
      <c r="U65" s="5">
        <v>74533.245254488502</v>
      </c>
      <c r="V65" s="104">
        <v>177767.5146293609</v>
      </c>
      <c r="W65" s="5">
        <v>138434.79931621614</v>
      </c>
      <c r="X65" s="5">
        <v>450232.95327955473</v>
      </c>
      <c r="Y65" s="5">
        <v>347148.12875494105</v>
      </c>
      <c r="Z65" s="121">
        <v>1593772.0302744529</v>
      </c>
    </row>
    <row r="66" spans="3:26">
      <c r="C66">
        <f t="shared" si="13"/>
        <v>61</v>
      </c>
      <c r="D66">
        <f t="shared" si="5"/>
        <v>70</v>
      </c>
      <c r="E66" s="5">
        <f t="shared" si="8"/>
        <v>1600000</v>
      </c>
      <c r="F66" s="125">
        <f t="shared" si="0"/>
        <v>0.1</v>
      </c>
      <c r="G66" t="s">
        <v>6</v>
      </c>
      <c r="I66" s="104">
        <v>1839873.8467578762</v>
      </c>
      <c r="J66" s="5">
        <v>1301697.845539476</v>
      </c>
      <c r="K66" s="5">
        <v>1600000</v>
      </c>
      <c r="L66" s="5">
        <v>160000</v>
      </c>
      <c r="M66" s="5">
        <v>11</v>
      </c>
      <c r="N66" s="5">
        <v>79873.846757876221</v>
      </c>
      <c r="O66" s="105" t="s">
        <v>88</v>
      </c>
      <c r="P66" s="105" t="s">
        <v>69</v>
      </c>
      <c r="Q66" s="106">
        <v>134498.76871085443</v>
      </c>
      <c r="R66" s="92">
        <v>113585.39360355763</v>
      </c>
      <c r="S66" s="112">
        <v>7.0990871002223524E-2</v>
      </c>
      <c r="T66" s="104">
        <v>78125.315703477856</v>
      </c>
      <c r="U66" s="5">
        <v>60554.406231443805</v>
      </c>
      <c r="V66" s="104">
        <v>140848.59633037401</v>
      </c>
      <c r="W66" s="5">
        <v>117007.34870805571</v>
      </c>
      <c r="X66" s="5">
        <v>355467.6807447063</v>
      </c>
      <c r="Y66" s="5">
        <v>292611.20039810636</v>
      </c>
      <c r="Z66" s="121">
        <v>1594309.0459375824</v>
      </c>
    </row>
    <row r="67" spans="3:26">
      <c r="C67">
        <f t="shared" si="13"/>
        <v>62</v>
      </c>
      <c r="D67">
        <f t="shared" si="5"/>
        <v>75</v>
      </c>
      <c r="E67" s="5">
        <f t="shared" si="8"/>
        <v>1600000</v>
      </c>
      <c r="F67" s="125">
        <f t="shared" si="0"/>
        <v>0.12</v>
      </c>
      <c r="G67" t="s">
        <v>6</v>
      </c>
      <c r="I67" s="104">
        <v>1784860.158707947</v>
      </c>
      <c r="J67" s="5">
        <v>1337619.4834373775</v>
      </c>
      <c r="K67" s="5">
        <v>1600000</v>
      </c>
      <c r="L67" s="5">
        <v>192000</v>
      </c>
      <c r="M67" s="5">
        <v>9</v>
      </c>
      <c r="N67" s="5">
        <v>56860.158707947005</v>
      </c>
      <c r="O67" s="105" t="s">
        <v>77</v>
      </c>
      <c r="P67" s="105" t="s">
        <v>78</v>
      </c>
      <c r="Q67" s="106">
        <v>115658.62346880176</v>
      </c>
      <c r="R67" s="92">
        <v>101312.53500984352</v>
      </c>
      <c r="S67" s="112">
        <v>6.3320334381152199E-2</v>
      </c>
      <c r="T67" s="104">
        <v>63770.483022481902</v>
      </c>
      <c r="U67" s="5">
        <v>51446.433358993512</v>
      </c>
      <c r="V67" s="104">
        <v>119370.83075443395</v>
      </c>
      <c r="W67" s="5">
        <v>103016.2899112216</v>
      </c>
      <c r="X67" s="5">
        <v>300434.93724571762</v>
      </c>
      <c r="Y67" s="5">
        <v>257040.20700080672</v>
      </c>
      <c r="Z67" s="121">
        <v>1594659.6904381842</v>
      </c>
    </row>
    <row r="68" spans="3:26">
      <c r="C68">
        <f t="shared" si="13"/>
        <v>63</v>
      </c>
      <c r="D68">
        <f t="shared" si="5"/>
        <v>80</v>
      </c>
      <c r="E68" s="5">
        <f t="shared" si="8"/>
        <v>1600000</v>
      </c>
      <c r="F68" s="125">
        <f t="shared" si="0"/>
        <v>0.12</v>
      </c>
      <c r="G68" t="s">
        <v>6</v>
      </c>
      <c r="I68" s="104">
        <v>1784860.158707947</v>
      </c>
      <c r="J68" s="5">
        <v>1337619.4834373775</v>
      </c>
      <c r="K68" s="5">
        <v>1600000</v>
      </c>
      <c r="L68" s="5">
        <v>192000</v>
      </c>
      <c r="M68" s="5">
        <v>9</v>
      </c>
      <c r="N68" s="5">
        <v>56860.158707947005</v>
      </c>
      <c r="O68" s="105" t="s">
        <v>77</v>
      </c>
      <c r="P68" s="105" t="s">
        <v>79</v>
      </c>
      <c r="Q68" s="106">
        <v>115658.62346880176</v>
      </c>
      <c r="R68" s="92">
        <v>101312.53500984352</v>
      </c>
      <c r="S68" s="112">
        <v>6.3320334381152199E-2</v>
      </c>
      <c r="T68" s="104">
        <v>63770.483022481902</v>
      </c>
      <c r="U68" s="5">
        <v>51446.433358993512</v>
      </c>
      <c r="V68" s="104">
        <v>119370.83075443395</v>
      </c>
      <c r="W68" s="5">
        <v>103016.2899112216</v>
      </c>
      <c r="X68" s="5">
        <v>300434.93724571762</v>
      </c>
      <c r="Y68" s="5">
        <v>257040.20700080672</v>
      </c>
      <c r="Z68" s="121">
        <v>1594659.6904381842</v>
      </c>
    </row>
    <row r="69" spans="3:26">
      <c r="C69" s="40">
        <f t="shared" si="13"/>
        <v>64</v>
      </c>
      <c r="D69" s="40">
        <f t="shared" si="5"/>
        <v>85</v>
      </c>
      <c r="E69" s="43">
        <f t="shared" si="8"/>
        <v>1600000</v>
      </c>
      <c r="F69" s="126">
        <f t="shared" si="0"/>
        <v>0.12</v>
      </c>
      <c r="G69" s="40" t="s">
        <v>6</v>
      </c>
      <c r="I69" s="113">
        <v>1784860.158707947</v>
      </c>
      <c r="J69" s="43">
        <v>1337619.4834373775</v>
      </c>
      <c r="K69" s="43">
        <v>1600000</v>
      </c>
      <c r="L69" s="43">
        <v>192000</v>
      </c>
      <c r="M69" s="43">
        <v>9</v>
      </c>
      <c r="N69" s="43">
        <v>56860.158707947005</v>
      </c>
      <c r="O69" s="81" t="s">
        <v>77</v>
      </c>
      <c r="P69" s="81" t="s">
        <v>80</v>
      </c>
      <c r="Q69" s="114">
        <v>115658.62346880176</v>
      </c>
      <c r="R69" s="88">
        <v>101312.53500984352</v>
      </c>
      <c r="S69" s="93">
        <v>6.3320334381152199E-2</v>
      </c>
      <c r="T69" s="113">
        <v>63770.483022481902</v>
      </c>
      <c r="U69" s="43">
        <v>51446.433358993512</v>
      </c>
      <c r="V69" s="113">
        <v>119370.83075443395</v>
      </c>
      <c r="W69" s="43">
        <v>103016.2899112216</v>
      </c>
      <c r="X69" s="43">
        <v>300434.93724571762</v>
      </c>
      <c r="Y69" s="43">
        <v>257040.20700080672</v>
      </c>
      <c r="Z69" s="122">
        <v>1594659.6904381842</v>
      </c>
    </row>
    <row r="70" spans="3:26">
      <c r="C70" s="39">
        <f>C69+1</f>
        <v>65</v>
      </c>
      <c r="D70" s="39">
        <f>D62</f>
        <v>50</v>
      </c>
      <c r="E70" s="82">
        <f>ROUND(E62*1.25/100000,0)*100000</f>
        <v>2000000</v>
      </c>
      <c r="F70" s="124">
        <f t="shared" ref="F70:F133" si="14">VLOOKUP(D70,$AB$6:$AC$13,2,FALSE)</f>
        <v>5.45E-2</v>
      </c>
      <c r="G70" s="39" t="s">
        <v>6</v>
      </c>
      <c r="I70" s="42">
        <v>2771470.2536963583</v>
      </c>
      <c r="J70" s="82">
        <v>1400102.3715342688</v>
      </c>
      <c r="K70" s="82">
        <v>2000000</v>
      </c>
      <c r="L70" s="82">
        <v>109000</v>
      </c>
      <c r="M70" s="82">
        <v>25</v>
      </c>
      <c r="N70" s="82">
        <v>46470.253696358297</v>
      </c>
      <c r="O70" s="80" t="s">
        <v>86</v>
      </c>
      <c r="P70" s="80" t="s">
        <v>73</v>
      </c>
      <c r="Q70" s="87">
        <v>329331.36929918703</v>
      </c>
      <c r="R70" s="110">
        <v>219773.74556889964</v>
      </c>
      <c r="S70" s="111">
        <v>0.10988687278444982</v>
      </c>
      <c r="T70" s="42">
        <v>220647.70024786599</v>
      </c>
      <c r="U70" s="82">
        <v>133484.92107103099</v>
      </c>
      <c r="V70" s="42">
        <v>359837.76100107399</v>
      </c>
      <c r="W70" s="82">
        <v>234942.06994854537</v>
      </c>
      <c r="X70" s="82">
        <v>914331.83054812695</v>
      </c>
      <c r="Y70" s="82">
        <v>590561.36173904152</v>
      </c>
      <c r="Z70" s="120">
        <v>1990663.7332733104</v>
      </c>
    </row>
    <row r="71" spans="3:26">
      <c r="C71">
        <f t="shared" ref="C71:C77" si="15">C70+1</f>
        <v>66</v>
      </c>
      <c r="D71">
        <f t="shared" si="5"/>
        <v>55</v>
      </c>
      <c r="E71" s="5">
        <f t="shared" si="8"/>
        <v>2000000</v>
      </c>
      <c r="F71" s="125">
        <f t="shared" si="14"/>
        <v>6.1499999999999999E-2</v>
      </c>
      <c r="G71" t="s">
        <v>6</v>
      </c>
      <c r="I71" s="104">
        <v>2629288.6467724582</v>
      </c>
      <c r="J71" s="5">
        <v>1456789.4610847856</v>
      </c>
      <c r="K71" s="5">
        <v>2000000</v>
      </c>
      <c r="L71" s="5">
        <v>123000</v>
      </c>
      <c r="M71" s="5">
        <v>21</v>
      </c>
      <c r="N71" s="5">
        <v>46288.646772458218</v>
      </c>
      <c r="O71" s="105" t="s">
        <v>81</v>
      </c>
      <c r="P71" s="105" t="s">
        <v>74</v>
      </c>
      <c r="Q71" s="106">
        <v>280698.02373688854</v>
      </c>
      <c r="R71" s="92">
        <v>200365.83538030225</v>
      </c>
      <c r="S71" s="112">
        <v>0.10018291769015113</v>
      </c>
      <c r="T71" s="104">
        <v>183554.34425153639</v>
      </c>
      <c r="U71" s="5">
        <v>119071.58224877121</v>
      </c>
      <c r="V71" s="104">
        <v>304395.74706005299</v>
      </c>
      <c r="W71" s="5">
        <v>212817.05233354468</v>
      </c>
      <c r="X71" s="5">
        <v>772443.11504847789</v>
      </c>
      <c r="Y71" s="5">
        <v>534428.77030514809</v>
      </c>
      <c r="Z71" s="121">
        <v>1991218.2313899337</v>
      </c>
    </row>
    <row r="72" spans="3:26">
      <c r="C72">
        <f t="shared" si="15"/>
        <v>67</v>
      </c>
      <c r="D72">
        <f t="shared" si="5"/>
        <v>60</v>
      </c>
      <c r="E72" s="5">
        <f t="shared" si="8"/>
        <v>2000000</v>
      </c>
      <c r="F72" s="125">
        <f t="shared" si="14"/>
        <v>7.0000000000000007E-2</v>
      </c>
      <c r="G72" t="s">
        <v>6</v>
      </c>
      <c r="I72" s="104">
        <v>2509826.9477387122</v>
      </c>
      <c r="J72" s="5">
        <v>1511388.6998205236</v>
      </c>
      <c r="K72" s="5">
        <v>2000000</v>
      </c>
      <c r="L72" s="5">
        <v>140000</v>
      </c>
      <c r="M72" s="5">
        <v>17</v>
      </c>
      <c r="N72" s="5">
        <v>129826.94773871219</v>
      </c>
      <c r="O72" s="105" t="s">
        <v>87</v>
      </c>
      <c r="P72" s="105" t="s">
        <v>75</v>
      </c>
      <c r="Q72" s="106">
        <v>239778.9726710307</v>
      </c>
      <c r="R72" s="92">
        <v>181698.62258548761</v>
      </c>
      <c r="S72" s="112">
        <v>9.0849311292743803E-2</v>
      </c>
      <c r="T72" s="104">
        <v>152292.15238751483</v>
      </c>
      <c r="U72" s="5">
        <v>105189.01319965049</v>
      </c>
      <c r="V72" s="104">
        <v>257748.02884497496</v>
      </c>
      <c r="W72" s="5">
        <v>191536.4297474559</v>
      </c>
      <c r="X72" s="5">
        <v>652894.15390352043</v>
      </c>
      <c r="Y72" s="5">
        <v>480362.86742250895</v>
      </c>
      <c r="Z72" s="121">
        <v>1991751.5672430326</v>
      </c>
    </row>
    <row r="73" spans="3:26">
      <c r="C73">
        <f t="shared" si="15"/>
        <v>68</v>
      </c>
      <c r="D73">
        <f t="shared" si="5"/>
        <v>65</v>
      </c>
      <c r="E73" s="5">
        <f t="shared" si="8"/>
        <v>2000000</v>
      </c>
      <c r="F73" s="125">
        <f t="shared" si="14"/>
        <v>0.08</v>
      </c>
      <c r="G73" t="s">
        <v>6</v>
      </c>
      <c r="I73" s="104">
        <v>2418690.3768879571</v>
      </c>
      <c r="J73" s="5">
        <v>1558631.7803507519</v>
      </c>
      <c r="K73" s="5">
        <v>2000000</v>
      </c>
      <c r="L73" s="5">
        <v>160000</v>
      </c>
      <c r="M73" s="5">
        <v>15</v>
      </c>
      <c r="N73" s="5">
        <v>18690.3768879571</v>
      </c>
      <c r="O73" s="105" t="s">
        <v>89</v>
      </c>
      <c r="P73" s="105" t="s">
        <v>76</v>
      </c>
      <c r="Q73" s="106">
        <v>208663.99869510997</v>
      </c>
      <c r="R73" s="92">
        <v>165509.88883638778</v>
      </c>
      <c r="S73" s="112">
        <v>8.2754944418193893E-2</v>
      </c>
      <c r="T73" s="104">
        <v>128630.31654619169</v>
      </c>
      <c r="U73" s="5">
        <v>93192.467410391255</v>
      </c>
      <c r="V73" s="104">
        <v>222276.9585124256</v>
      </c>
      <c r="W73" s="5">
        <v>173081.27327348216</v>
      </c>
      <c r="X73" s="5">
        <v>562286.27375372732</v>
      </c>
      <c r="Y73" s="5">
        <v>433582.31079553597</v>
      </c>
      <c r="Z73" s="121">
        <v>1992214.091146288</v>
      </c>
    </row>
    <row r="74" spans="3:26">
      <c r="C74">
        <f t="shared" si="15"/>
        <v>69</v>
      </c>
      <c r="D74">
        <f t="shared" si="5"/>
        <v>70</v>
      </c>
      <c r="E74" s="5">
        <f t="shared" si="8"/>
        <v>2000000</v>
      </c>
      <c r="F74" s="125">
        <f t="shared" si="14"/>
        <v>0.1</v>
      </c>
      <c r="G74" t="s">
        <v>6</v>
      </c>
      <c r="I74" s="104">
        <v>2300429.7181862313</v>
      </c>
      <c r="J74" s="5">
        <v>1627429.279266794</v>
      </c>
      <c r="K74" s="5">
        <v>2000000</v>
      </c>
      <c r="L74" s="5">
        <v>200000</v>
      </c>
      <c r="M74" s="5">
        <v>11</v>
      </c>
      <c r="N74" s="5">
        <v>100429.71818623133</v>
      </c>
      <c r="O74" s="105" t="s">
        <v>88</v>
      </c>
      <c r="P74" s="105" t="s">
        <v>69</v>
      </c>
      <c r="Q74" s="106">
        <v>168154.09007960791</v>
      </c>
      <c r="R74" s="92">
        <v>142001.66295424648</v>
      </c>
      <c r="S74" s="112">
        <v>7.1000831477123244E-2</v>
      </c>
      <c r="T74" s="104">
        <v>97681.34538503029</v>
      </c>
      <c r="U74" s="5">
        <v>75708.848422015129</v>
      </c>
      <c r="V74" s="104">
        <v>176095.66269075303</v>
      </c>
      <c r="W74" s="5">
        <v>146281.89576784096</v>
      </c>
      <c r="X74" s="5">
        <v>443926.09815539117</v>
      </c>
      <c r="Y74" s="5">
        <v>365456.45899915177</v>
      </c>
      <c r="Z74" s="121">
        <v>1992885.7382659458</v>
      </c>
    </row>
    <row r="75" spans="3:26">
      <c r="C75">
        <f t="shared" si="15"/>
        <v>70</v>
      </c>
      <c r="D75">
        <f t="shared" si="5"/>
        <v>75</v>
      </c>
      <c r="E75" s="5">
        <f t="shared" si="8"/>
        <v>2000000</v>
      </c>
      <c r="F75" s="125">
        <f t="shared" si="14"/>
        <v>0.12</v>
      </c>
      <c r="G75" t="s">
        <v>6</v>
      </c>
      <c r="I75" s="104">
        <v>2231541.9616010371</v>
      </c>
      <c r="J75" s="5">
        <v>1672298.5833200563</v>
      </c>
      <c r="K75" s="5">
        <v>2000000</v>
      </c>
      <c r="L75" s="5">
        <v>240000</v>
      </c>
      <c r="M75" s="5">
        <v>9</v>
      </c>
      <c r="N75" s="5">
        <v>71541.961601037066</v>
      </c>
      <c r="O75" s="105" t="s">
        <v>77</v>
      </c>
      <c r="P75" s="105" t="s">
        <v>78</v>
      </c>
      <c r="Q75" s="106">
        <v>144593.39883493766</v>
      </c>
      <c r="R75" s="92">
        <v>126654.79030305578</v>
      </c>
      <c r="S75" s="112">
        <v>6.3327395151527896E-2</v>
      </c>
      <c r="T75" s="104">
        <v>79729.554048378544</v>
      </c>
      <c r="U75" s="5">
        <v>64319.426295691243</v>
      </c>
      <c r="V75" s="104">
        <v>149236.47467182885</v>
      </c>
      <c r="W75" s="5">
        <v>128786.46094548357</v>
      </c>
      <c r="X75" s="5">
        <v>375194.42755514506</v>
      </c>
      <c r="Y75" s="5">
        <v>321025.62626497867</v>
      </c>
      <c r="Z75" s="121">
        <v>1993324.209585035</v>
      </c>
    </row>
    <row r="76" spans="3:26">
      <c r="C76">
        <f t="shared" si="15"/>
        <v>71</v>
      </c>
      <c r="D76">
        <f t="shared" si="5"/>
        <v>80</v>
      </c>
      <c r="E76" s="5">
        <f t="shared" si="8"/>
        <v>2000000</v>
      </c>
      <c r="F76" s="125">
        <f t="shared" si="14"/>
        <v>0.12</v>
      </c>
      <c r="G76" t="s">
        <v>6</v>
      </c>
      <c r="I76" s="104">
        <v>2231541.9616010371</v>
      </c>
      <c r="J76" s="5">
        <v>1672298.5833200563</v>
      </c>
      <c r="K76" s="5">
        <v>2000000</v>
      </c>
      <c r="L76" s="5">
        <v>240000</v>
      </c>
      <c r="M76" s="5">
        <v>9</v>
      </c>
      <c r="N76" s="5">
        <v>71541.961601037066</v>
      </c>
      <c r="O76" s="105" t="s">
        <v>77</v>
      </c>
      <c r="P76" s="105" t="s">
        <v>79</v>
      </c>
      <c r="Q76" s="106">
        <v>144593.39883493766</v>
      </c>
      <c r="R76" s="92">
        <v>126654.79030305578</v>
      </c>
      <c r="S76" s="112">
        <v>6.3327395151527896E-2</v>
      </c>
      <c r="T76" s="104">
        <v>79729.554048378544</v>
      </c>
      <c r="U76" s="5">
        <v>64319.426295691243</v>
      </c>
      <c r="V76" s="104">
        <v>149236.47467182885</v>
      </c>
      <c r="W76" s="5">
        <v>128786.46094548357</v>
      </c>
      <c r="X76" s="5">
        <v>375194.42755514506</v>
      </c>
      <c r="Y76" s="5">
        <v>321025.62626497867</v>
      </c>
      <c r="Z76" s="121">
        <v>1993324.209585035</v>
      </c>
    </row>
    <row r="77" spans="3:26">
      <c r="C77" s="40">
        <f t="shared" si="15"/>
        <v>72</v>
      </c>
      <c r="D77" s="40">
        <f t="shared" si="5"/>
        <v>85</v>
      </c>
      <c r="E77" s="43">
        <f t="shared" si="8"/>
        <v>2000000</v>
      </c>
      <c r="F77" s="126">
        <f t="shared" si="14"/>
        <v>0.12</v>
      </c>
      <c r="G77" s="40" t="s">
        <v>6</v>
      </c>
      <c r="I77" s="113">
        <v>2231541.9616010371</v>
      </c>
      <c r="J77" s="43">
        <v>1672298.5833200563</v>
      </c>
      <c r="K77" s="43">
        <v>2000000</v>
      </c>
      <c r="L77" s="43">
        <v>240000</v>
      </c>
      <c r="M77" s="43">
        <v>9</v>
      </c>
      <c r="N77" s="43">
        <v>71541.961601037066</v>
      </c>
      <c r="O77" s="81" t="s">
        <v>77</v>
      </c>
      <c r="P77" s="81" t="s">
        <v>80</v>
      </c>
      <c r="Q77" s="114">
        <v>144593.39883493766</v>
      </c>
      <c r="R77" s="88">
        <v>126654.79030305578</v>
      </c>
      <c r="S77" s="93">
        <v>6.3327395151527896E-2</v>
      </c>
      <c r="T77" s="113">
        <v>79729.554048378544</v>
      </c>
      <c r="U77" s="43">
        <v>64319.426295691243</v>
      </c>
      <c r="V77" s="113">
        <v>149236.47467182885</v>
      </c>
      <c r="W77" s="43">
        <v>128786.46094548357</v>
      </c>
      <c r="X77" s="43">
        <v>375194.42755514506</v>
      </c>
      <c r="Y77" s="43">
        <v>321025.62626497867</v>
      </c>
      <c r="Z77" s="122">
        <v>1993324.209585035</v>
      </c>
    </row>
    <row r="78" spans="3:26">
      <c r="C78" s="39">
        <f>C77+1</f>
        <v>73</v>
      </c>
      <c r="D78" s="39">
        <f>D70</f>
        <v>50</v>
      </c>
      <c r="E78" s="82">
        <f>ROUND(E70*1.25/100000,0)*100000</f>
        <v>2500000</v>
      </c>
      <c r="F78" s="124">
        <f t="shared" si="14"/>
        <v>5.45E-2</v>
      </c>
      <c r="G78" s="39" t="s">
        <v>6</v>
      </c>
      <c r="I78" s="42">
        <v>3466001.5347338328</v>
      </c>
      <c r="J78" s="82">
        <v>1750510.9892281448</v>
      </c>
      <c r="K78" s="82">
        <v>2500000</v>
      </c>
      <c r="L78" s="82">
        <v>136250</v>
      </c>
      <c r="M78" s="82">
        <v>25</v>
      </c>
      <c r="N78" s="82">
        <v>59751.534733832814</v>
      </c>
      <c r="O78" s="80" t="s">
        <v>86</v>
      </c>
      <c r="P78" s="80" t="s">
        <v>73</v>
      </c>
      <c r="Q78" s="87">
        <v>411847.24196724495</v>
      </c>
      <c r="R78" s="110">
        <v>274787.72657939332</v>
      </c>
      <c r="S78" s="111">
        <v>0.10991509063175733</v>
      </c>
      <c r="T78" s="42">
        <v>275952.0641028469</v>
      </c>
      <c r="U78" s="82">
        <v>166910.30182194975</v>
      </c>
      <c r="V78" s="42">
        <v>450005.85584265902</v>
      </c>
      <c r="W78" s="82">
        <v>293758.00830050866</v>
      </c>
      <c r="X78" s="82">
        <v>1142320.1619127509</v>
      </c>
      <c r="Y78" s="82">
        <v>737816.66185241728</v>
      </c>
      <c r="Z78" s="120">
        <v>2488327.6510805618</v>
      </c>
    </row>
    <row r="79" spans="3:26">
      <c r="C79">
        <f t="shared" ref="C79:C85" si="16">C78+1</f>
        <v>74</v>
      </c>
      <c r="D79">
        <f t="shared" si="5"/>
        <v>55</v>
      </c>
      <c r="E79" s="5">
        <f t="shared" si="8"/>
        <v>2500000</v>
      </c>
      <c r="F79" s="125">
        <f t="shared" si="14"/>
        <v>6.1499999999999999E-2</v>
      </c>
      <c r="G79" t="s">
        <v>6</v>
      </c>
      <c r="I79" s="104">
        <v>3287920.5328705064</v>
      </c>
      <c r="J79" s="5">
        <v>1821367.9313038492</v>
      </c>
      <c r="K79" s="5">
        <v>2500000</v>
      </c>
      <c r="L79" s="5">
        <v>153750</v>
      </c>
      <c r="M79" s="5">
        <v>21</v>
      </c>
      <c r="N79" s="5">
        <v>59170.532870506402</v>
      </c>
      <c r="O79" s="105" t="s">
        <v>81</v>
      </c>
      <c r="P79" s="105" t="s">
        <v>74</v>
      </c>
      <c r="Q79" s="106">
        <v>350996.20927417808</v>
      </c>
      <c r="R79" s="92">
        <v>250512.55157848736</v>
      </c>
      <c r="S79" s="112">
        <v>0.10020502063139494</v>
      </c>
      <c r="T79" s="104">
        <v>229539.70162511963</v>
      </c>
      <c r="U79" s="5">
        <v>148882.11847028544</v>
      </c>
      <c r="V79" s="104">
        <v>380635.6785725634</v>
      </c>
      <c r="W79" s="5">
        <v>266084.30879947555</v>
      </c>
      <c r="X79" s="5">
        <v>964966.58947186102</v>
      </c>
      <c r="Y79" s="5">
        <v>667653.27919077827</v>
      </c>
      <c r="Z79" s="121">
        <v>2489021.2104946272</v>
      </c>
    </row>
    <row r="80" spans="3:26">
      <c r="C80">
        <f t="shared" si="16"/>
        <v>75</v>
      </c>
      <c r="D80">
        <f t="shared" ref="D80:D85" si="17">D72</f>
        <v>60</v>
      </c>
      <c r="E80" s="5">
        <f t="shared" si="8"/>
        <v>2500000</v>
      </c>
      <c r="F80" s="125">
        <f t="shared" si="14"/>
        <v>7.0000000000000007E-2</v>
      </c>
      <c r="G80" t="s">
        <v>6</v>
      </c>
      <c r="I80" s="104">
        <v>3138278.7520466037</v>
      </c>
      <c r="J80" s="5">
        <v>1889601.8355426679</v>
      </c>
      <c r="K80" s="5">
        <v>2500000</v>
      </c>
      <c r="L80" s="5">
        <v>175000.00000000003</v>
      </c>
      <c r="M80" s="5">
        <v>17</v>
      </c>
      <c r="N80" s="5">
        <v>163278.75204660324</v>
      </c>
      <c r="O80" s="105" t="s">
        <v>87</v>
      </c>
      <c r="P80" s="105" t="s">
        <v>75</v>
      </c>
      <c r="Q80" s="106">
        <v>299801.42364411039</v>
      </c>
      <c r="R80" s="92">
        <v>227163.5796776184</v>
      </c>
      <c r="S80" s="112">
        <v>9.0865431871047356E-2</v>
      </c>
      <c r="T80" s="104">
        <v>190426.47441386551</v>
      </c>
      <c r="U80" s="5">
        <v>131517.609669475</v>
      </c>
      <c r="V80" s="104">
        <v>322273.62295428588</v>
      </c>
      <c r="W80" s="5">
        <v>239466.48083248499</v>
      </c>
      <c r="X80" s="5">
        <v>815576.52101226174</v>
      </c>
      <c r="Y80" s="5">
        <v>600086.47206949338</v>
      </c>
      <c r="Z80" s="121">
        <v>2489688.3076121612</v>
      </c>
    </row>
    <row r="81" spans="3:26">
      <c r="C81">
        <f t="shared" si="16"/>
        <v>76</v>
      </c>
      <c r="D81">
        <f t="shared" si="17"/>
        <v>65</v>
      </c>
      <c r="E81" s="5">
        <f t="shared" si="8"/>
        <v>2500000</v>
      </c>
      <c r="F81" s="125">
        <f t="shared" si="14"/>
        <v>0.08</v>
      </c>
      <c r="G81" t="s">
        <v>6</v>
      </c>
      <c r="I81" s="104">
        <v>3024214.0754321534</v>
      </c>
      <c r="J81" s="5">
        <v>1948641.6288897975</v>
      </c>
      <c r="K81" s="5">
        <v>2500000</v>
      </c>
      <c r="L81" s="5">
        <v>200000</v>
      </c>
      <c r="M81" s="5">
        <v>15</v>
      </c>
      <c r="N81" s="5">
        <v>24214.075432153419</v>
      </c>
      <c r="O81" s="105" t="s">
        <v>89</v>
      </c>
      <c r="P81" s="105" t="s">
        <v>76</v>
      </c>
      <c r="Q81" s="106">
        <v>260889.26611075012</v>
      </c>
      <c r="R81" s="92">
        <v>206920.49624567005</v>
      </c>
      <c r="S81" s="112">
        <v>8.2768198498268011E-2</v>
      </c>
      <c r="T81" s="104">
        <v>160834.89486943497</v>
      </c>
      <c r="U81" s="5">
        <v>116516.49510526937</v>
      </c>
      <c r="V81" s="104">
        <v>277913.76336625533</v>
      </c>
      <c r="W81" s="5">
        <v>216389.365720064</v>
      </c>
      <c r="X81" s="5">
        <v>702352.92434644047</v>
      </c>
      <c r="Y81" s="5">
        <v>541625.03834627825</v>
      </c>
      <c r="Z81" s="121">
        <v>2490266.6672360757</v>
      </c>
    </row>
    <row r="82" spans="3:26">
      <c r="C82">
        <f t="shared" si="16"/>
        <v>77</v>
      </c>
      <c r="D82">
        <f t="shared" si="17"/>
        <v>70</v>
      </c>
      <c r="E82" s="5">
        <f t="shared" si="8"/>
        <v>2500000</v>
      </c>
      <c r="F82" s="125">
        <f t="shared" si="14"/>
        <v>0.1</v>
      </c>
      <c r="G82" t="s">
        <v>6</v>
      </c>
      <c r="I82" s="104">
        <v>2876124.5574716749</v>
      </c>
      <c r="J82" s="5">
        <v>2034593.5714259413</v>
      </c>
      <c r="K82" s="5">
        <v>2500000</v>
      </c>
      <c r="L82" s="5">
        <v>250000</v>
      </c>
      <c r="M82" s="5">
        <v>11</v>
      </c>
      <c r="N82" s="5">
        <v>126124.55747167487</v>
      </c>
      <c r="O82" s="105" t="s">
        <v>88</v>
      </c>
      <c r="P82" s="105" t="s">
        <v>69</v>
      </c>
      <c r="Q82" s="106">
        <v>210223.24179054974</v>
      </c>
      <c r="R82" s="92">
        <v>177521.99964260758</v>
      </c>
      <c r="S82" s="112">
        <v>7.1008799857043031E-2</v>
      </c>
      <c r="T82" s="104">
        <v>122126.38248697088</v>
      </c>
      <c r="U82" s="5">
        <v>94651.901160229347</v>
      </c>
      <c r="V82" s="104">
        <v>220154.49564122671</v>
      </c>
      <c r="W82" s="5">
        <v>182875.07959257264</v>
      </c>
      <c r="X82" s="5">
        <v>554499.11991874734</v>
      </c>
      <c r="Y82" s="5">
        <v>456513.03225045878</v>
      </c>
      <c r="Z82" s="121">
        <v>2491106.6036764001</v>
      </c>
    </row>
    <row r="83" spans="3:26">
      <c r="C83">
        <f t="shared" si="16"/>
        <v>78</v>
      </c>
      <c r="D83">
        <f t="shared" si="17"/>
        <v>75</v>
      </c>
      <c r="E83" s="5">
        <f t="shared" si="8"/>
        <v>2500000</v>
      </c>
      <c r="F83" s="125">
        <f t="shared" si="14"/>
        <v>0.12</v>
      </c>
      <c r="G83" t="s">
        <v>6</v>
      </c>
      <c r="I83" s="104">
        <v>2789894.2152173994</v>
      </c>
      <c r="J83" s="5">
        <v>2090647.4581734051</v>
      </c>
      <c r="K83" s="5">
        <v>2500000</v>
      </c>
      <c r="L83" s="5">
        <v>300000</v>
      </c>
      <c r="M83" s="5">
        <v>9</v>
      </c>
      <c r="N83" s="5">
        <v>89894.215217399411</v>
      </c>
      <c r="O83" s="105" t="s">
        <v>77</v>
      </c>
      <c r="P83" s="105" t="s">
        <v>78</v>
      </c>
      <c r="Q83" s="106">
        <v>180761.86804260762</v>
      </c>
      <c r="R83" s="92">
        <v>158332.60941957112</v>
      </c>
      <c r="S83" s="112">
        <v>6.3333043767828445E-2</v>
      </c>
      <c r="T83" s="104">
        <v>99678.392830749319</v>
      </c>
      <c r="U83" s="5">
        <v>80410.66746656342</v>
      </c>
      <c r="V83" s="104">
        <v>186568.5295685727</v>
      </c>
      <c r="W83" s="5">
        <v>160999.17473831109</v>
      </c>
      <c r="X83" s="5">
        <v>468643.79044192965</v>
      </c>
      <c r="Y83" s="5">
        <v>401007.40034519369</v>
      </c>
      <c r="Z83" s="121">
        <v>2491654.8585185986</v>
      </c>
    </row>
    <row r="84" spans="3:26">
      <c r="C84">
        <f t="shared" si="16"/>
        <v>79</v>
      </c>
      <c r="D84">
        <f t="shared" si="17"/>
        <v>80</v>
      </c>
      <c r="E84" s="5">
        <f t="shared" si="8"/>
        <v>2500000</v>
      </c>
      <c r="F84" s="125">
        <f t="shared" si="14"/>
        <v>0.12</v>
      </c>
      <c r="G84" t="s">
        <v>6</v>
      </c>
      <c r="I84" s="104">
        <v>2789894.2152173994</v>
      </c>
      <c r="J84" s="5">
        <v>2090647.4581734051</v>
      </c>
      <c r="K84" s="5">
        <v>2500000</v>
      </c>
      <c r="L84" s="5">
        <v>300000</v>
      </c>
      <c r="M84" s="5">
        <v>9</v>
      </c>
      <c r="N84" s="5">
        <v>89894.215217399411</v>
      </c>
      <c r="O84" s="105" t="s">
        <v>77</v>
      </c>
      <c r="P84" s="105" t="s">
        <v>79</v>
      </c>
      <c r="Q84" s="106">
        <v>180761.86804260762</v>
      </c>
      <c r="R84" s="92">
        <v>158332.60941957112</v>
      </c>
      <c r="S84" s="112">
        <v>6.3333043767828445E-2</v>
      </c>
      <c r="T84" s="104">
        <v>99678.392830749319</v>
      </c>
      <c r="U84" s="5">
        <v>80410.66746656342</v>
      </c>
      <c r="V84" s="104">
        <v>186568.5295685727</v>
      </c>
      <c r="W84" s="5">
        <v>160999.17473831109</v>
      </c>
      <c r="X84" s="5">
        <v>468643.79044192965</v>
      </c>
      <c r="Y84" s="5">
        <v>401007.40034519369</v>
      </c>
      <c r="Z84" s="121">
        <v>2491654.8585185986</v>
      </c>
    </row>
    <row r="85" spans="3:26">
      <c r="C85" s="40">
        <f t="shared" si="16"/>
        <v>80</v>
      </c>
      <c r="D85" s="40">
        <f t="shared" si="17"/>
        <v>85</v>
      </c>
      <c r="E85" s="43">
        <f t="shared" si="8"/>
        <v>2500000</v>
      </c>
      <c r="F85" s="126">
        <f t="shared" si="14"/>
        <v>0.12</v>
      </c>
      <c r="G85" s="40" t="s">
        <v>6</v>
      </c>
      <c r="I85" s="113">
        <v>2789894.2152173994</v>
      </c>
      <c r="J85" s="43">
        <v>2090647.4581734051</v>
      </c>
      <c r="K85" s="43">
        <v>2500000</v>
      </c>
      <c r="L85" s="43">
        <v>300000</v>
      </c>
      <c r="M85" s="43">
        <v>9</v>
      </c>
      <c r="N85" s="43">
        <v>89894.215217399411</v>
      </c>
      <c r="O85" s="81" t="s">
        <v>77</v>
      </c>
      <c r="P85" s="81" t="s">
        <v>80</v>
      </c>
      <c r="Q85" s="114">
        <v>180761.86804260762</v>
      </c>
      <c r="R85" s="88">
        <v>158332.60941957112</v>
      </c>
      <c r="S85" s="93">
        <v>6.3333043767828445E-2</v>
      </c>
      <c r="T85" s="113">
        <v>99678.392830749319</v>
      </c>
      <c r="U85" s="43">
        <v>80410.66746656342</v>
      </c>
      <c r="V85" s="113">
        <v>186568.5295685727</v>
      </c>
      <c r="W85" s="43">
        <v>160999.17473831109</v>
      </c>
      <c r="X85" s="43">
        <v>468643.79044192965</v>
      </c>
      <c r="Y85" s="43">
        <v>401007.40034519369</v>
      </c>
      <c r="Z85" s="122">
        <v>2491654.8585185986</v>
      </c>
    </row>
    <row r="86" spans="3:26">
      <c r="C86" s="39">
        <f>C85+1</f>
        <v>81</v>
      </c>
      <c r="D86" s="39">
        <f>D78</f>
        <v>50</v>
      </c>
      <c r="E86" s="82">
        <f>ROUND(E78*1.25/100000,0)*100000</f>
        <v>3100000</v>
      </c>
      <c r="F86" s="124">
        <f t="shared" si="14"/>
        <v>5.45E-2</v>
      </c>
      <c r="G86" s="39" t="s">
        <v>6</v>
      </c>
      <c r="I86" s="42">
        <v>4299439.0719787981</v>
      </c>
      <c r="J86" s="82">
        <v>2171001.3304607933</v>
      </c>
      <c r="K86" s="82">
        <v>3100000</v>
      </c>
      <c r="L86" s="82">
        <v>168950</v>
      </c>
      <c r="M86" s="82">
        <v>25</v>
      </c>
      <c r="N86" s="82">
        <v>75689.071978798136</v>
      </c>
      <c r="O86" s="80" t="s">
        <v>86</v>
      </c>
      <c r="P86" s="80" t="s">
        <v>73</v>
      </c>
      <c r="Q86" s="87">
        <v>510866.28916891315</v>
      </c>
      <c r="R86" s="110">
        <v>340804.50379198598</v>
      </c>
      <c r="S86" s="111">
        <v>0.10993693670709224</v>
      </c>
      <c r="T86" s="42">
        <v>342317.30072882399</v>
      </c>
      <c r="U86" s="82">
        <v>207020.75872305236</v>
      </c>
      <c r="V86" s="42">
        <v>558207.56965256133</v>
      </c>
      <c r="W86" s="82">
        <v>364337.13432286406</v>
      </c>
      <c r="X86" s="82">
        <v>1415906.1595502985</v>
      </c>
      <c r="Y86" s="82">
        <v>914523.02198846801</v>
      </c>
      <c r="Z86" s="120">
        <v>3085524.3524492616</v>
      </c>
    </row>
    <row r="87" spans="3:26">
      <c r="C87">
        <f t="shared" ref="C87:C93" si="18">C86+1</f>
        <v>82</v>
      </c>
      <c r="D87">
        <f t="shared" ref="D87:D109" si="19">D79</f>
        <v>55</v>
      </c>
      <c r="E87" s="5">
        <f t="shared" si="8"/>
        <v>3100000</v>
      </c>
      <c r="F87" s="125">
        <f t="shared" si="14"/>
        <v>6.1499999999999999E-2</v>
      </c>
      <c r="G87" t="s">
        <v>6</v>
      </c>
      <c r="I87" s="104">
        <v>4078278.7961881733</v>
      </c>
      <c r="J87" s="5">
        <v>2258862.0955667286</v>
      </c>
      <c r="K87" s="5">
        <v>3100000</v>
      </c>
      <c r="L87" s="5">
        <v>190650</v>
      </c>
      <c r="M87" s="5">
        <v>21</v>
      </c>
      <c r="N87" s="5">
        <v>74628.79618817335</v>
      </c>
      <c r="O87" s="105" t="s">
        <v>81</v>
      </c>
      <c r="P87" s="105" t="s">
        <v>74</v>
      </c>
      <c r="Q87" s="106">
        <v>435354.03191892704</v>
      </c>
      <c r="R87" s="92">
        <v>310688.61101630988</v>
      </c>
      <c r="S87" s="112">
        <v>0.10022213258590641</v>
      </c>
      <c r="T87" s="104">
        <v>284722.13047342031</v>
      </c>
      <c r="U87" s="5">
        <v>184654.76193610276</v>
      </c>
      <c r="V87" s="104">
        <v>472123.59638757689</v>
      </c>
      <c r="W87" s="5">
        <v>330005.01655859308</v>
      </c>
      <c r="X87" s="5">
        <v>1195994.7587799244</v>
      </c>
      <c r="Y87" s="5">
        <v>827522.68985353562</v>
      </c>
      <c r="Z87" s="121">
        <v>3086384.7854202641</v>
      </c>
    </row>
    <row r="88" spans="3:26">
      <c r="C88">
        <f t="shared" si="18"/>
        <v>83</v>
      </c>
      <c r="D88">
        <f t="shared" si="19"/>
        <v>60</v>
      </c>
      <c r="E88" s="5">
        <f t="shared" ref="E88:E93" si="20">ROUND(E80*1.25/100000,0)*100000</f>
        <v>3100000</v>
      </c>
      <c r="F88" s="125">
        <f t="shared" si="14"/>
        <v>7.0000000000000007E-2</v>
      </c>
      <c r="G88" t="s">
        <v>6</v>
      </c>
      <c r="I88" s="104">
        <v>3892420.9172160733</v>
      </c>
      <c r="J88" s="5">
        <v>2343457.5984092411</v>
      </c>
      <c r="K88" s="5">
        <v>3100000</v>
      </c>
      <c r="L88" s="5">
        <v>217000.00000000003</v>
      </c>
      <c r="M88" s="5">
        <v>17</v>
      </c>
      <c r="N88" s="5">
        <v>203420.91721607279</v>
      </c>
      <c r="O88" s="105" t="s">
        <v>87</v>
      </c>
      <c r="P88" s="105" t="s">
        <v>75</v>
      </c>
      <c r="Q88" s="106">
        <v>371828.36481180601</v>
      </c>
      <c r="R88" s="92">
        <v>281721.52818817523</v>
      </c>
      <c r="S88" s="112">
        <v>9.0877912318766199E-2</v>
      </c>
      <c r="T88" s="104">
        <v>236187.66084548613</v>
      </c>
      <c r="U88" s="5">
        <v>163111.92543326435</v>
      </c>
      <c r="V88" s="104">
        <v>399704.33588545845</v>
      </c>
      <c r="W88" s="5">
        <v>296982.54213451972</v>
      </c>
      <c r="X88" s="5">
        <v>1010795.3615427506</v>
      </c>
      <c r="Y88" s="5">
        <v>743754.79764587432</v>
      </c>
      <c r="Z88" s="121">
        <v>3087212.3960551154</v>
      </c>
    </row>
    <row r="89" spans="3:26">
      <c r="C89">
        <f t="shared" si="18"/>
        <v>84</v>
      </c>
      <c r="D89">
        <f t="shared" si="19"/>
        <v>65</v>
      </c>
      <c r="E89" s="5">
        <f t="shared" si="20"/>
        <v>3100000</v>
      </c>
      <c r="F89" s="125">
        <f t="shared" si="14"/>
        <v>0.08</v>
      </c>
      <c r="G89" t="s">
        <v>6</v>
      </c>
      <c r="I89" s="104">
        <v>3750842.5136851971</v>
      </c>
      <c r="J89" s="5">
        <v>2416653.4471366568</v>
      </c>
      <c r="K89" s="5">
        <v>3100000</v>
      </c>
      <c r="L89" s="5">
        <v>248000</v>
      </c>
      <c r="M89" s="5">
        <v>15</v>
      </c>
      <c r="N89" s="5">
        <v>30842.513685197104</v>
      </c>
      <c r="O89" s="105" t="s">
        <v>89</v>
      </c>
      <c r="P89" s="105" t="s">
        <v>76</v>
      </c>
      <c r="Q89" s="106">
        <v>323559.58700951893</v>
      </c>
      <c r="R89" s="92">
        <v>256613.22513680937</v>
      </c>
      <c r="S89" s="112">
        <v>8.2778459721551415E-2</v>
      </c>
      <c r="T89" s="104">
        <v>199480.3888573274</v>
      </c>
      <c r="U89" s="5">
        <v>144505.32833912343</v>
      </c>
      <c r="V89" s="104">
        <v>344677.92919085157</v>
      </c>
      <c r="W89" s="5">
        <v>268359.07665596239</v>
      </c>
      <c r="X89" s="5">
        <v>870432.90505769791</v>
      </c>
      <c r="Y89" s="5">
        <v>671276.31140717003</v>
      </c>
      <c r="Z89" s="121">
        <v>3087929.7585438266</v>
      </c>
    </row>
    <row r="90" spans="3:26">
      <c r="C90">
        <f t="shared" si="18"/>
        <v>85</v>
      </c>
      <c r="D90">
        <f t="shared" si="19"/>
        <v>70</v>
      </c>
      <c r="E90" s="5">
        <f t="shared" si="20"/>
        <v>3100000</v>
      </c>
      <c r="F90" s="125">
        <f t="shared" si="14"/>
        <v>0.1</v>
      </c>
      <c r="G90" t="s">
        <v>6</v>
      </c>
      <c r="I90" s="104">
        <v>3566958.3646142124</v>
      </c>
      <c r="J90" s="5">
        <v>2523190.7220169213</v>
      </c>
      <c r="K90" s="5">
        <v>3100000</v>
      </c>
      <c r="L90" s="5">
        <v>310000</v>
      </c>
      <c r="M90" s="5">
        <v>11</v>
      </c>
      <c r="N90" s="5">
        <v>156958.36461421242</v>
      </c>
      <c r="O90" s="105" t="s">
        <v>88</v>
      </c>
      <c r="P90" s="105" t="s">
        <v>69</v>
      </c>
      <c r="Q90" s="106">
        <v>260706.2238436804</v>
      </c>
      <c r="R90" s="92">
        <v>220146.40366864108</v>
      </c>
      <c r="S90" s="112">
        <v>7.1014968925368085E-2</v>
      </c>
      <c r="T90" s="104">
        <v>151460.42700929986</v>
      </c>
      <c r="U90" s="5">
        <v>117383.56444608665</v>
      </c>
      <c r="V90" s="104">
        <v>273025.09518179577</v>
      </c>
      <c r="W90" s="5">
        <v>226786.90018225086</v>
      </c>
      <c r="X90" s="5">
        <v>687186.74603477609</v>
      </c>
      <c r="Y90" s="5">
        <v>565780.92015202786</v>
      </c>
      <c r="Z90" s="121">
        <v>3088971.6421689494</v>
      </c>
    </row>
    <row r="91" spans="3:26">
      <c r="C91">
        <f t="shared" si="18"/>
        <v>86</v>
      </c>
      <c r="D91">
        <f t="shared" si="19"/>
        <v>75</v>
      </c>
      <c r="E91" s="5">
        <f t="shared" si="20"/>
        <v>3100000</v>
      </c>
      <c r="F91" s="125">
        <f t="shared" si="14"/>
        <v>0.12</v>
      </c>
      <c r="G91" t="s">
        <v>6</v>
      </c>
      <c r="I91" s="104">
        <v>3459916.919557035</v>
      </c>
      <c r="J91" s="5">
        <v>2592666.1079974235</v>
      </c>
      <c r="K91" s="5">
        <v>3100000</v>
      </c>
      <c r="L91" s="5">
        <v>372000</v>
      </c>
      <c r="M91" s="5">
        <v>9</v>
      </c>
      <c r="N91" s="5">
        <v>111916.91955703497</v>
      </c>
      <c r="O91" s="105" t="s">
        <v>77</v>
      </c>
      <c r="P91" s="105" t="s">
        <v>78</v>
      </c>
      <c r="Q91" s="106">
        <v>224164.03109181146</v>
      </c>
      <c r="R91" s="92">
        <v>196345.99235938955</v>
      </c>
      <c r="S91" s="112">
        <v>6.3337416890125661E-2</v>
      </c>
      <c r="T91" s="104">
        <v>123616.99936959424</v>
      </c>
      <c r="U91" s="5">
        <v>99720.15687161003</v>
      </c>
      <c r="V91" s="104">
        <v>231366.99544466526</v>
      </c>
      <c r="W91" s="5">
        <v>199654.43128970396</v>
      </c>
      <c r="X91" s="5">
        <v>580783.02590607095</v>
      </c>
      <c r="Y91" s="5">
        <v>496985.52924145164</v>
      </c>
      <c r="Z91" s="121">
        <v>3089651.637238875</v>
      </c>
    </row>
    <row r="92" spans="3:26">
      <c r="C92">
        <f t="shared" si="18"/>
        <v>87</v>
      </c>
      <c r="D92">
        <f t="shared" si="19"/>
        <v>80</v>
      </c>
      <c r="E92" s="5">
        <f t="shared" si="20"/>
        <v>3100000</v>
      </c>
      <c r="F92" s="125">
        <f t="shared" si="14"/>
        <v>0.12</v>
      </c>
      <c r="G92" t="s">
        <v>6</v>
      </c>
      <c r="I92" s="104">
        <v>3459916.919557035</v>
      </c>
      <c r="J92" s="5">
        <v>2592666.1079974235</v>
      </c>
      <c r="K92" s="5">
        <v>3100000</v>
      </c>
      <c r="L92" s="5">
        <v>372000</v>
      </c>
      <c r="M92" s="5">
        <v>9</v>
      </c>
      <c r="N92" s="5">
        <v>111916.91955703497</v>
      </c>
      <c r="O92" s="105" t="s">
        <v>77</v>
      </c>
      <c r="P92" s="105" t="s">
        <v>79</v>
      </c>
      <c r="Q92" s="106">
        <v>224164.03109181146</v>
      </c>
      <c r="R92" s="92">
        <v>196345.99235938955</v>
      </c>
      <c r="S92" s="112">
        <v>6.3337416890125661E-2</v>
      </c>
      <c r="T92" s="104">
        <v>123616.99936959424</v>
      </c>
      <c r="U92" s="5">
        <v>99720.15687161003</v>
      </c>
      <c r="V92" s="104">
        <v>231366.99544466526</v>
      </c>
      <c r="W92" s="5">
        <v>199654.43128970396</v>
      </c>
      <c r="X92" s="5">
        <v>580783.02590607095</v>
      </c>
      <c r="Y92" s="5">
        <v>496985.52924145164</v>
      </c>
      <c r="Z92" s="121">
        <v>3089651.637238875</v>
      </c>
    </row>
    <row r="93" spans="3:26">
      <c r="C93" s="40">
        <f t="shared" si="18"/>
        <v>88</v>
      </c>
      <c r="D93" s="40">
        <f t="shared" si="19"/>
        <v>85</v>
      </c>
      <c r="E93" s="43">
        <f t="shared" si="20"/>
        <v>3100000</v>
      </c>
      <c r="F93" s="126">
        <f t="shared" si="14"/>
        <v>0.12</v>
      </c>
      <c r="G93" s="40" t="s">
        <v>6</v>
      </c>
      <c r="I93" s="113">
        <v>3459916.919557035</v>
      </c>
      <c r="J93" s="43">
        <v>2592666.1079974235</v>
      </c>
      <c r="K93" s="43">
        <v>3100000</v>
      </c>
      <c r="L93" s="43">
        <v>372000</v>
      </c>
      <c r="M93" s="43">
        <v>9</v>
      </c>
      <c r="N93" s="43">
        <v>111916.91955703497</v>
      </c>
      <c r="O93" s="81" t="s">
        <v>77</v>
      </c>
      <c r="P93" s="81" t="s">
        <v>80</v>
      </c>
      <c r="Q93" s="114">
        <v>224164.03109181146</v>
      </c>
      <c r="R93" s="88">
        <v>196345.99235938955</v>
      </c>
      <c r="S93" s="93">
        <v>6.3337416890125661E-2</v>
      </c>
      <c r="T93" s="113">
        <v>123616.99936959424</v>
      </c>
      <c r="U93" s="43">
        <v>99720.15687161003</v>
      </c>
      <c r="V93" s="113">
        <v>231366.99544466526</v>
      </c>
      <c r="W93" s="43">
        <v>199654.43128970396</v>
      </c>
      <c r="X93" s="43">
        <v>580783.02590607095</v>
      </c>
      <c r="Y93" s="43">
        <v>496985.52924145164</v>
      </c>
      <c r="Z93" s="122">
        <v>3089651.637238875</v>
      </c>
    </row>
    <row r="94" spans="3:26">
      <c r="C94" s="39">
        <f>C93+1</f>
        <v>89</v>
      </c>
      <c r="D94" s="39">
        <f>D86</f>
        <v>50</v>
      </c>
      <c r="E94" s="82">
        <f>ROUND(E86*1.25/100000,0)*100000</f>
        <v>3900000</v>
      </c>
      <c r="F94" s="124">
        <f t="shared" si="14"/>
        <v>5.45E-2</v>
      </c>
      <c r="G94" s="39" t="s">
        <v>6</v>
      </c>
      <c r="I94" s="42">
        <v>5410689.1216387516</v>
      </c>
      <c r="J94" s="82">
        <v>2731655.1187709938</v>
      </c>
      <c r="K94" s="82">
        <v>3900000</v>
      </c>
      <c r="L94" s="82">
        <v>212550</v>
      </c>
      <c r="M94" s="82">
        <v>25</v>
      </c>
      <c r="N94" s="82">
        <v>96939.121638751589</v>
      </c>
      <c r="O94" s="80" t="s">
        <v>86</v>
      </c>
      <c r="P94" s="80" t="s">
        <v>73</v>
      </c>
      <c r="Q94" s="87">
        <v>642891.6854378042</v>
      </c>
      <c r="R94" s="110">
        <v>428826.87340877595</v>
      </c>
      <c r="S94" s="111">
        <v>0.10995560856635281</v>
      </c>
      <c r="T94" s="42">
        <v>430804.28289679333</v>
      </c>
      <c r="U94" s="82">
        <v>260501.36792452226</v>
      </c>
      <c r="V94" s="42">
        <v>702476.52139909682</v>
      </c>
      <c r="W94" s="82">
        <v>458442.63568600453</v>
      </c>
      <c r="X94" s="82">
        <v>1780687.4897336944</v>
      </c>
      <c r="Y94" s="82">
        <v>1150131.5021698682</v>
      </c>
      <c r="Z94" s="120">
        <v>3881786.6209408622</v>
      </c>
    </row>
    <row r="95" spans="3:26">
      <c r="C95">
        <f t="shared" ref="C95:C101" si="21">C94+1</f>
        <v>90</v>
      </c>
      <c r="D95">
        <f t="shared" si="19"/>
        <v>55</v>
      </c>
      <c r="E95" s="5">
        <f t="shared" ref="E95:E109" si="22">ROUND(E87*1.25/100000,0)*100000</f>
        <v>3900000</v>
      </c>
      <c r="F95" s="125">
        <f t="shared" si="14"/>
        <v>6.1499999999999999E-2</v>
      </c>
      <c r="G95" t="s">
        <v>6</v>
      </c>
      <c r="I95" s="104">
        <v>5132089.8139450578</v>
      </c>
      <c r="J95" s="5">
        <v>2842187.6479172334</v>
      </c>
      <c r="K95" s="5">
        <v>3900000</v>
      </c>
      <c r="L95" s="5">
        <v>239850</v>
      </c>
      <c r="M95" s="5">
        <v>21</v>
      </c>
      <c r="N95" s="5">
        <v>95239.813945057802</v>
      </c>
      <c r="O95" s="105" t="s">
        <v>81</v>
      </c>
      <c r="P95" s="105" t="s">
        <v>74</v>
      </c>
      <c r="Q95" s="106">
        <v>547831.12877859175</v>
      </c>
      <c r="R95" s="92">
        <v>390923.35693340638</v>
      </c>
      <c r="S95" s="112">
        <v>0.10023675818805292</v>
      </c>
      <c r="T95" s="104">
        <v>358298.70227115427</v>
      </c>
      <c r="U95" s="5">
        <v>232351.61989052573</v>
      </c>
      <c r="V95" s="104">
        <v>594107.48680759477</v>
      </c>
      <c r="W95" s="5">
        <v>415232.62690408307</v>
      </c>
      <c r="X95" s="5">
        <v>1504032.3178573409</v>
      </c>
      <c r="Y95" s="5">
        <v>1040681.9040705451</v>
      </c>
      <c r="Z95" s="121">
        <v>3882869.5519877784</v>
      </c>
    </row>
    <row r="96" spans="3:26">
      <c r="C96">
        <f t="shared" si="21"/>
        <v>91</v>
      </c>
      <c r="D96">
        <f t="shared" si="19"/>
        <v>60</v>
      </c>
      <c r="E96" s="5">
        <f t="shared" si="22"/>
        <v>3900000</v>
      </c>
      <c r="F96" s="125">
        <f t="shared" si="14"/>
        <v>7.0000000000000007E-2</v>
      </c>
      <c r="G96" t="s">
        <v>6</v>
      </c>
      <c r="I96" s="104">
        <v>4897943.8041086914</v>
      </c>
      <c r="J96" s="5">
        <v>2948598.615564669</v>
      </c>
      <c r="K96" s="5">
        <v>3900000</v>
      </c>
      <c r="L96" s="5">
        <v>273000</v>
      </c>
      <c r="M96" s="5">
        <v>17</v>
      </c>
      <c r="N96" s="5">
        <v>256943.8041086914</v>
      </c>
      <c r="O96" s="105" t="s">
        <v>87</v>
      </c>
      <c r="P96" s="105" t="s">
        <v>75</v>
      </c>
      <c r="Q96" s="106">
        <v>467864.28636873205</v>
      </c>
      <c r="R96" s="92">
        <v>354465.4595355838</v>
      </c>
      <c r="S96" s="112">
        <v>9.088857936809841E-2</v>
      </c>
      <c r="T96" s="104">
        <v>297202.57608764659</v>
      </c>
      <c r="U96" s="5">
        <v>205237.67978498319</v>
      </c>
      <c r="V96" s="104">
        <v>502945.2864603551</v>
      </c>
      <c r="W96" s="5">
        <v>373670.62387056585</v>
      </c>
      <c r="X96" s="5">
        <v>1271087.1489167337</v>
      </c>
      <c r="Y96" s="5">
        <v>935312.56508104783</v>
      </c>
      <c r="Z96" s="121">
        <v>3883911.1806457168</v>
      </c>
    </row>
    <row r="97" spans="3:26">
      <c r="C97">
        <f t="shared" si="21"/>
        <v>92</v>
      </c>
      <c r="D97">
        <f t="shared" si="19"/>
        <v>65</v>
      </c>
      <c r="E97" s="5">
        <f t="shared" si="22"/>
        <v>3900000</v>
      </c>
      <c r="F97" s="125">
        <f t="shared" si="14"/>
        <v>0.08</v>
      </c>
      <c r="G97" t="s">
        <v>6</v>
      </c>
      <c r="I97" s="104">
        <v>4719680.4313559225</v>
      </c>
      <c r="J97" s="5">
        <v>3040669.2047991338</v>
      </c>
      <c r="K97" s="5">
        <v>3900000</v>
      </c>
      <c r="L97" s="5">
        <v>312000</v>
      </c>
      <c r="M97" s="5">
        <v>15</v>
      </c>
      <c r="N97" s="5">
        <v>39680.431355922483</v>
      </c>
      <c r="O97" s="105" t="s">
        <v>89</v>
      </c>
      <c r="P97" s="105" t="s">
        <v>76</v>
      </c>
      <c r="Q97" s="106">
        <v>407120.01487454411</v>
      </c>
      <c r="R97" s="92">
        <v>322870.19699166145</v>
      </c>
      <c r="S97" s="112">
        <v>8.2787229997861908E-2</v>
      </c>
      <c r="T97" s="104">
        <v>251007.71417451743</v>
      </c>
      <c r="U97" s="5">
        <v>181823.77265092885</v>
      </c>
      <c r="V97" s="104">
        <v>433696.81695698062</v>
      </c>
      <c r="W97" s="5">
        <v>337652.02457049413</v>
      </c>
      <c r="X97" s="5">
        <v>1094539.546006042</v>
      </c>
      <c r="Y97" s="5">
        <v>844144.67548835929</v>
      </c>
      <c r="Z97" s="121">
        <v>3884813.8802874931</v>
      </c>
    </row>
    <row r="98" spans="3:26">
      <c r="C98">
        <f t="shared" si="21"/>
        <v>93</v>
      </c>
      <c r="D98">
        <f t="shared" si="19"/>
        <v>70</v>
      </c>
      <c r="E98" s="5">
        <f t="shared" si="22"/>
        <v>3900000</v>
      </c>
      <c r="F98" s="125">
        <f t="shared" si="14"/>
        <v>0.1</v>
      </c>
      <c r="G98" t="s">
        <v>6</v>
      </c>
      <c r="I98" s="104">
        <v>4488070.1074709222</v>
      </c>
      <c r="J98" s="5">
        <v>3174653.5894715567</v>
      </c>
      <c r="K98" s="5">
        <v>3900000</v>
      </c>
      <c r="L98" s="5">
        <v>390000</v>
      </c>
      <c r="M98" s="5">
        <v>11</v>
      </c>
      <c r="N98" s="5">
        <v>198070.10747092217</v>
      </c>
      <c r="O98" s="105" t="s">
        <v>88</v>
      </c>
      <c r="P98" s="105" t="s">
        <v>69</v>
      </c>
      <c r="Q98" s="106">
        <v>328016.86658118747</v>
      </c>
      <c r="R98" s="92">
        <v>276978.94237001881</v>
      </c>
      <c r="S98" s="112">
        <v>7.1020241633338158E-2</v>
      </c>
      <c r="T98" s="104">
        <v>190572.4863724047</v>
      </c>
      <c r="U98" s="5">
        <v>147692.44882722927</v>
      </c>
      <c r="V98" s="104">
        <v>343519.22790255368</v>
      </c>
      <c r="W98" s="5">
        <v>285335.99430182134</v>
      </c>
      <c r="X98" s="5">
        <v>864103.58085614583</v>
      </c>
      <c r="Y98" s="5">
        <v>711471.43735411868</v>
      </c>
      <c r="Z98" s="121">
        <v>3886125.0268256753</v>
      </c>
    </row>
    <row r="99" spans="3:26">
      <c r="C99">
        <f t="shared" si="21"/>
        <v>94</v>
      </c>
      <c r="D99">
        <f t="shared" si="19"/>
        <v>75</v>
      </c>
      <c r="E99" s="5">
        <f t="shared" si="22"/>
        <v>3900000</v>
      </c>
      <c r="F99" s="125">
        <f t="shared" si="14"/>
        <v>0.12</v>
      </c>
      <c r="G99" t="s">
        <v>6</v>
      </c>
      <c r="I99" s="104">
        <v>4353280.5253432207</v>
      </c>
      <c r="J99" s="5">
        <v>3262024.3077627849</v>
      </c>
      <c r="K99" s="5">
        <v>3900000</v>
      </c>
      <c r="L99" s="5">
        <v>468000</v>
      </c>
      <c r="M99" s="5">
        <v>9</v>
      </c>
      <c r="N99" s="5">
        <v>141280.52534322068</v>
      </c>
      <c r="O99" s="105" t="s">
        <v>77</v>
      </c>
      <c r="P99" s="105" t="s">
        <v>78</v>
      </c>
      <c r="Q99" s="106">
        <v>282033.5818240837</v>
      </c>
      <c r="R99" s="92">
        <v>247030.50294581431</v>
      </c>
      <c r="S99" s="112">
        <v>6.3341154601490854E-2</v>
      </c>
      <c r="T99" s="104">
        <v>155535.1414213877</v>
      </c>
      <c r="U99" s="5">
        <v>125466.14274500565</v>
      </c>
      <c r="V99" s="104">
        <v>291098.28327945527</v>
      </c>
      <c r="W99" s="5">
        <v>251194.77335822833</v>
      </c>
      <c r="X99" s="5">
        <v>730302.00652492663</v>
      </c>
      <c r="Y99" s="5">
        <v>624956.3677697964</v>
      </c>
      <c r="Z99" s="121">
        <v>3886980.6755325813</v>
      </c>
    </row>
    <row r="100" spans="3:26">
      <c r="C100">
        <f t="shared" si="21"/>
        <v>95</v>
      </c>
      <c r="D100">
        <f t="shared" si="19"/>
        <v>80</v>
      </c>
      <c r="E100" s="5">
        <f t="shared" si="22"/>
        <v>3900000</v>
      </c>
      <c r="F100" s="125">
        <f t="shared" si="14"/>
        <v>0.12</v>
      </c>
      <c r="G100" t="s">
        <v>6</v>
      </c>
      <c r="I100" s="104">
        <v>4353280.5253432207</v>
      </c>
      <c r="J100" s="5">
        <v>3262024.3077627849</v>
      </c>
      <c r="K100" s="5">
        <v>3900000</v>
      </c>
      <c r="L100" s="5">
        <v>468000</v>
      </c>
      <c r="M100" s="5">
        <v>9</v>
      </c>
      <c r="N100" s="5">
        <v>141280.52534322068</v>
      </c>
      <c r="O100" s="105" t="s">
        <v>77</v>
      </c>
      <c r="P100" s="105" t="s">
        <v>79</v>
      </c>
      <c r="Q100" s="106">
        <v>282033.5818240837</v>
      </c>
      <c r="R100" s="92">
        <v>247030.50294581431</v>
      </c>
      <c r="S100" s="112">
        <v>6.3341154601490854E-2</v>
      </c>
      <c r="T100" s="104">
        <v>155535.1414213877</v>
      </c>
      <c r="U100" s="5">
        <v>125466.14274500565</v>
      </c>
      <c r="V100" s="104">
        <v>291098.28327945527</v>
      </c>
      <c r="W100" s="5">
        <v>251194.77335822833</v>
      </c>
      <c r="X100" s="5">
        <v>730302.00652492663</v>
      </c>
      <c r="Y100" s="5">
        <v>624956.3677697964</v>
      </c>
      <c r="Z100" s="121">
        <v>3886980.6755325813</v>
      </c>
    </row>
    <row r="101" spans="3:26">
      <c r="C101" s="40">
        <f t="shared" si="21"/>
        <v>96</v>
      </c>
      <c r="D101" s="40">
        <f t="shared" si="19"/>
        <v>85</v>
      </c>
      <c r="E101" s="43">
        <f t="shared" si="22"/>
        <v>3900000</v>
      </c>
      <c r="F101" s="126">
        <f t="shared" si="14"/>
        <v>0.12</v>
      </c>
      <c r="G101" s="40" t="s">
        <v>6</v>
      </c>
      <c r="I101" s="113">
        <v>4353280.5253432207</v>
      </c>
      <c r="J101" s="43">
        <v>3262024.3077627849</v>
      </c>
      <c r="K101" s="43">
        <v>3900000</v>
      </c>
      <c r="L101" s="43">
        <v>468000</v>
      </c>
      <c r="M101" s="43">
        <v>9</v>
      </c>
      <c r="N101" s="43">
        <v>141280.52534322068</v>
      </c>
      <c r="O101" s="81" t="s">
        <v>77</v>
      </c>
      <c r="P101" s="81" t="s">
        <v>80</v>
      </c>
      <c r="Q101" s="114">
        <v>282033.5818240837</v>
      </c>
      <c r="R101" s="88">
        <v>247030.50294581431</v>
      </c>
      <c r="S101" s="93">
        <v>6.3341154601490854E-2</v>
      </c>
      <c r="T101" s="113">
        <v>155535.1414213877</v>
      </c>
      <c r="U101" s="43">
        <v>125466.14274500565</v>
      </c>
      <c r="V101" s="113">
        <v>291098.28327945527</v>
      </c>
      <c r="W101" s="43">
        <v>251194.77335822833</v>
      </c>
      <c r="X101" s="43">
        <v>730302.00652492663</v>
      </c>
      <c r="Y101" s="43">
        <v>624956.3677697964</v>
      </c>
      <c r="Z101" s="122">
        <v>3886980.6755325813</v>
      </c>
    </row>
    <row r="102" spans="3:26">
      <c r="C102" s="39">
        <f>C101+1</f>
        <v>97</v>
      </c>
      <c r="D102" s="39">
        <f>D94</f>
        <v>50</v>
      </c>
      <c r="E102" s="82">
        <f>ROUND(E94*1.25/100000,0)*100000</f>
        <v>4900000</v>
      </c>
      <c r="F102" s="124">
        <f t="shared" si="14"/>
        <v>5.45E-2</v>
      </c>
      <c r="G102" s="39" t="s">
        <v>6</v>
      </c>
      <c r="I102" s="42">
        <v>6799751.6837136811</v>
      </c>
      <c r="J102" s="82">
        <v>3432472.35415874</v>
      </c>
      <c r="K102" s="82">
        <v>4900000</v>
      </c>
      <c r="L102" s="82">
        <v>267050</v>
      </c>
      <c r="M102" s="82">
        <v>25</v>
      </c>
      <c r="N102" s="82">
        <v>123501.68371368106</v>
      </c>
      <c r="O102" s="80" t="s">
        <v>86</v>
      </c>
      <c r="P102" s="80" t="s">
        <v>73</v>
      </c>
      <c r="Q102" s="87">
        <v>807923.43077391561</v>
      </c>
      <c r="R102" s="110">
        <v>538854.83542976284</v>
      </c>
      <c r="S102" s="111">
        <v>0.10997037457750262</v>
      </c>
      <c r="T102" s="42">
        <v>541413.01060675282</v>
      </c>
      <c r="U102" s="82">
        <v>327352.12942635897</v>
      </c>
      <c r="V102" s="42">
        <v>882812.71108226443</v>
      </c>
      <c r="W102" s="82">
        <v>576074.5123899288</v>
      </c>
      <c r="X102" s="82">
        <v>2236664.1524629327</v>
      </c>
      <c r="Y102" s="82">
        <v>1444642.1023966162</v>
      </c>
      <c r="Z102" s="120">
        <v>4877114.4565553563</v>
      </c>
    </row>
    <row r="103" spans="3:26">
      <c r="C103">
        <f t="shared" ref="C103:C109" si="23">C102+1</f>
        <v>98</v>
      </c>
      <c r="D103">
        <f t="shared" si="19"/>
        <v>55</v>
      </c>
      <c r="E103" s="5">
        <f t="shared" si="22"/>
        <v>4900000</v>
      </c>
      <c r="F103" s="125">
        <f t="shared" si="14"/>
        <v>6.1499999999999999E-2</v>
      </c>
      <c r="G103" t="s">
        <v>6</v>
      </c>
      <c r="I103" s="104">
        <v>6449353.5861411495</v>
      </c>
      <c r="J103" s="5">
        <v>3571344.5883553601</v>
      </c>
      <c r="K103" s="5">
        <v>4900000</v>
      </c>
      <c r="L103" s="5">
        <v>301350</v>
      </c>
      <c r="M103" s="5">
        <v>21</v>
      </c>
      <c r="N103" s="5">
        <v>121003.58614114951</v>
      </c>
      <c r="O103" s="105" t="s">
        <v>81</v>
      </c>
      <c r="P103" s="105" t="s">
        <v>74</v>
      </c>
      <c r="Q103" s="106">
        <v>688427.49985317094</v>
      </c>
      <c r="R103" s="92">
        <v>491216.78932977602</v>
      </c>
      <c r="S103" s="112">
        <v>0.10024832435301552</v>
      </c>
      <c r="T103" s="104">
        <v>450269.41701832006</v>
      </c>
      <c r="U103" s="5">
        <v>291972.69233355374</v>
      </c>
      <c r="V103" s="104">
        <v>746587.34983261453</v>
      </c>
      <c r="W103" s="5">
        <v>521767.13983594486</v>
      </c>
      <c r="X103" s="5">
        <v>1889079.2667041053</v>
      </c>
      <c r="Y103" s="5">
        <v>1307130.9218418046</v>
      </c>
      <c r="Z103" s="121">
        <v>4878475.5101971645</v>
      </c>
    </row>
    <row r="104" spans="3:26">
      <c r="C104">
        <f t="shared" si="23"/>
        <v>99</v>
      </c>
      <c r="D104">
        <f t="shared" si="19"/>
        <v>60</v>
      </c>
      <c r="E104" s="5">
        <f t="shared" si="22"/>
        <v>4900000</v>
      </c>
      <c r="F104" s="125">
        <f t="shared" si="14"/>
        <v>7.0000000000000007E-2</v>
      </c>
      <c r="G104" t="s">
        <v>6</v>
      </c>
      <c r="I104" s="104">
        <v>6154847.4127244633</v>
      </c>
      <c r="J104" s="5">
        <v>3705024.8870089534</v>
      </c>
      <c r="K104" s="5">
        <v>4900000</v>
      </c>
      <c r="L104" s="5">
        <v>343000.00000000006</v>
      </c>
      <c r="M104" s="5">
        <v>17</v>
      </c>
      <c r="N104" s="5">
        <v>323847.41272446234</v>
      </c>
      <c r="O104" s="105" t="s">
        <v>87</v>
      </c>
      <c r="P104" s="105" t="s">
        <v>75</v>
      </c>
      <c r="Q104" s="106">
        <v>587909.18831489049</v>
      </c>
      <c r="R104" s="92">
        <v>445395.37371984497</v>
      </c>
      <c r="S104" s="112">
        <v>9.0897015044866317E-2</v>
      </c>
      <c r="T104" s="104">
        <v>373471.22014034685</v>
      </c>
      <c r="U104" s="5">
        <v>257894.87272463163</v>
      </c>
      <c r="V104" s="104">
        <v>631996.47467897483</v>
      </c>
      <c r="W104" s="5">
        <v>469530.72604062303</v>
      </c>
      <c r="X104" s="5">
        <v>1596451.8831342121</v>
      </c>
      <c r="Y104" s="5">
        <v>1174759.7743750145</v>
      </c>
      <c r="Z104" s="121">
        <v>4879784.6613839678</v>
      </c>
    </row>
    <row r="105" spans="3:26">
      <c r="C105">
        <f t="shared" si="23"/>
        <v>100</v>
      </c>
      <c r="D105">
        <f t="shared" si="19"/>
        <v>65</v>
      </c>
      <c r="E105" s="5">
        <f t="shared" si="22"/>
        <v>4900000</v>
      </c>
      <c r="F105" s="125">
        <f t="shared" si="14"/>
        <v>0.08</v>
      </c>
      <c r="G105" t="s">
        <v>6</v>
      </c>
      <c r="I105" s="104">
        <v>5930727.8284443086</v>
      </c>
      <c r="J105" s="5">
        <v>3820688.9018772244</v>
      </c>
      <c r="K105" s="5">
        <v>4900000</v>
      </c>
      <c r="L105" s="5">
        <v>392000</v>
      </c>
      <c r="M105" s="5">
        <v>15</v>
      </c>
      <c r="N105" s="5">
        <v>50727.828444308601</v>
      </c>
      <c r="O105" s="105" t="s">
        <v>89</v>
      </c>
      <c r="P105" s="105" t="s">
        <v>76</v>
      </c>
      <c r="Q105" s="106">
        <v>511570.54970582388</v>
      </c>
      <c r="R105" s="92">
        <v>405691.41181022569</v>
      </c>
      <c r="S105" s="112">
        <v>8.2794165675556267E-2</v>
      </c>
      <c r="T105" s="104">
        <v>315416.87082100351</v>
      </c>
      <c r="U105" s="5">
        <v>228471.82804068489</v>
      </c>
      <c r="V105" s="104">
        <v>544970.42666463973</v>
      </c>
      <c r="W105" s="5">
        <v>424268.20946365717</v>
      </c>
      <c r="X105" s="5">
        <v>1374672.8471914672</v>
      </c>
      <c r="Y105" s="5">
        <v>1060230.1305898426</v>
      </c>
      <c r="Z105" s="121">
        <v>4880919.0324670672</v>
      </c>
    </row>
    <row r="106" spans="3:26">
      <c r="C106">
        <f t="shared" si="23"/>
        <v>101</v>
      </c>
      <c r="D106">
        <f t="shared" si="19"/>
        <v>70</v>
      </c>
      <c r="E106" s="5">
        <f t="shared" si="22"/>
        <v>4900000</v>
      </c>
      <c r="F106" s="125">
        <f t="shared" si="14"/>
        <v>0.1</v>
      </c>
      <c r="G106" t="s">
        <v>6</v>
      </c>
      <c r="I106" s="104">
        <v>5639459.7860418055</v>
      </c>
      <c r="J106" s="5">
        <v>3988982.17378985</v>
      </c>
      <c r="K106" s="5">
        <v>4900000</v>
      </c>
      <c r="L106" s="5">
        <v>490000</v>
      </c>
      <c r="M106" s="5">
        <v>11</v>
      </c>
      <c r="N106" s="5">
        <v>249459.78604180552</v>
      </c>
      <c r="O106" s="105" t="s">
        <v>88</v>
      </c>
      <c r="P106" s="105" t="s">
        <v>69</v>
      </c>
      <c r="Q106" s="106">
        <v>412155.17000307061</v>
      </c>
      <c r="R106" s="92">
        <v>348019.61574674066</v>
      </c>
      <c r="S106" s="112">
        <v>7.1024411376885851E-2</v>
      </c>
      <c r="T106" s="104">
        <v>239462.5605762855</v>
      </c>
      <c r="U106" s="5">
        <v>185578.55430365744</v>
      </c>
      <c r="V106" s="104">
        <v>431636.89380350051</v>
      </c>
      <c r="W106" s="5">
        <v>358522.36195128446</v>
      </c>
      <c r="X106" s="5">
        <v>1085249.6243828565</v>
      </c>
      <c r="Y106" s="5">
        <v>893584.58385673177</v>
      </c>
      <c r="Z106" s="121">
        <v>4882566.7576465821</v>
      </c>
    </row>
    <row r="107" spans="3:26">
      <c r="C107">
        <f t="shared" si="23"/>
        <v>102</v>
      </c>
      <c r="D107">
        <f t="shared" si="19"/>
        <v>75</v>
      </c>
      <c r="E107" s="5">
        <f t="shared" si="22"/>
        <v>4900000</v>
      </c>
      <c r="F107" s="125">
        <f t="shared" si="14"/>
        <v>0.12</v>
      </c>
      <c r="G107" t="s">
        <v>6</v>
      </c>
      <c r="I107" s="104">
        <v>5469985.0325759389</v>
      </c>
      <c r="J107" s="5">
        <v>4098722.0574694774</v>
      </c>
      <c r="K107" s="5">
        <v>4900000</v>
      </c>
      <c r="L107" s="5">
        <v>588000</v>
      </c>
      <c r="M107" s="5">
        <v>9</v>
      </c>
      <c r="N107" s="5">
        <v>177985.03257593885</v>
      </c>
      <c r="O107" s="105" t="s">
        <v>77</v>
      </c>
      <c r="P107" s="105" t="s">
        <v>78</v>
      </c>
      <c r="Q107" s="106">
        <v>354370.52023942309</v>
      </c>
      <c r="R107" s="92">
        <v>310386.1411788445</v>
      </c>
      <c r="S107" s="112">
        <v>6.3344110444662136E-2</v>
      </c>
      <c r="T107" s="104">
        <v>195432.8189861289</v>
      </c>
      <c r="U107" s="5">
        <v>157648.6250867497</v>
      </c>
      <c r="V107" s="104">
        <v>365762.39307294221</v>
      </c>
      <c r="W107" s="5">
        <v>315620.20094388281</v>
      </c>
      <c r="X107" s="5">
        <v>917200.73229849432</v>
      </c>
      <c r="Y107" s="5">
        <v>784919.91593022505</v>
      </c>
      <c r="Z107" s="121">
        <v>4883641.9733997025</v>
      </c>
    </row>
    <row r="108" spans="3:26">
      <c r="C108">
        <f t="shared" si="23"/>
        <v>103</v>
      </c>
      <c r="D108">
        <f t="shared" si="19"/>
        <v>80</v>
      </c>
      <c r="E108" s="5">
        <f t="shared" si="22"/>
        <v>4900000</v>
      </c>
      <c r="F108" s="125">
        <f t="shared" si="14"/>
        <v>0.12</v>
      </c>
      <c r="G108" t="s">
        <v>6</v>
      </c>
      <c r="I108" s="104">
        <v>5469985.0325759389</v>
      </c>
      <c r="J108" s="5">
        <v>4098722.0574694774</v>
      </c>
      <c r="K108" s="5">
        <v>4900000</v>
      </c>
      <c r="L108" s="5">
        <v>588000</v>
      </c>
      <c r="M108" s="5">
        <v>9</v>
      </c>
      <c r="N108" s="5">
        <v>177985.03257593885</v>
      </c>
      <c r="O108" s="105" t="s">
        <v>77</v>
      </c>
      <c r="P108" s="105" t="s">
        <v>79</v>
      </c>
      <c r="Q108" s="106">
        <v>354370.52023942309</v>
      </c>
      <c r="R108" s="92">
        <v>310386.1411788445</v>
      </c>
      <c r="S108" s="112">
        <v>6.3344110444662136E-2</v>
      </c>
      <c r="T108" s="104">
        <v>195432.8189861289</v>
      </c>
      <c r="U108" s="5">
        <v>157648.6250867497</v>
      </c>
      <c r="V108" s="104">
        <v>365762.39307294221</v>
      </c>
      <c r="W108" s="5">
        <v>315620.20094388281</v>
      </c>
      <c r="X108" s="5">
        <v>917200.73229849432</v>
      </c>
      <c r="Y108" s="5">
        <v>784919.91593022505</v>
      </c>
      <c r="Z108" s="121">
        <v>4883641.9733997025</v>
      </c>
    </row>
    <row r="109" spans="3:26">
      <c r="C109" s="40">
        <f t="shared" si="23"/>
        <v>104</v>
      </c>
      <c r="D109" s="40">
        <f t="shared" si="19"/>
        <v>85</v>
      </c>
      <c r="E109" s="43">
        <f t="shared" si="22"/>
        <v>4900000</v>
      </c>
      <c r="F109" s="126">
        <f t="shared" si="14"/>
        <v>0.12</v>
      </c>
      <c r="G109" s="40" t="s">
        <v>6</v>
      </c>
      <c r="I109" s="113">
        <v>5469985.0325759389</v>
      </c>
      <c r="J109" s="43">
        <v>4098722.0574694774</v>
      </c>
      <c r="K109" s="43">
        <v>4900000</v>
      </c>
      <c r="L109" s="43">
        <v>588000</v>
      </c>
      <c r="M109" s="43">
        <v>9</v>
      </c>
      <c r="N109" s="43">
        <v>177985.03257593885</v>
      </c>
      <c r="O109" s="81" t="s">
        <v>77</v>
      </c>
      <c r="P109" s="81" t="s">
        <v>80</v>
      </c>
      <c r="Q109" s="114">
        <v>354370.52023942309</v>
      </c>
      <c r="R109" s="88">
        <v>310386.1411788445</v>
      </c>
      <c r="S109" s="93">
        <v>6.3344110444662136E-2</v>
      </c>
      <c r="T109" s="113">
        <v>195432.8189861289</v>
      </c>
      <c r="U109" s="43">
        <v>157648.6250867497</v>
      </c>
      <c r="V109" s="113">
        <v>365762.39307294221</v>
      </c>
      <c r="W109" s="43">
        <v>315620.20094388281</v>
      </c>
      <c r="X109" s="43">
        <v>917200.73229849432</v>
      </c>
      <c r="Y109" s="43">
        <v>784919.91593022505</v>
      </c>
      <c r="Z109" s="122">
        <v>4883641.9733997025</v>
      </c>
    </row>
    <row r="110" spans="3:26">
      <c r="C110" s="39">
        <f>C109+1</f>
        <v>105</v>
      </c>
      <c r="D110" s="39">
        <v>50</v>
      </c>
      <c r="E110" s="94">
        <v>300000</v>
      </c>
      <c r="F110" s="124">
        <f t="shared" si="14"/>
        <v>5.45E-2</v>
      </c>
      <c r="G110" s="39" t="s">
        <v>64</v>
      </c>
      <c r="I110" s="42">
        <v>404067.36360773962</v>
      </c>
      <c r="J110" s="82">
        <v>213019.78989526394</v>
      </c>
      <c r="K110" s="82">
        <v>300000</v>
      </c>
      <c r="L110" s="82">
        <v>1362.5</v>
      </c>
      <c r="M110" s="82">
        <v>296</v>
      </c>
      <c r="N110" s="82">
        <v>767.36360773962224</v>
      </c>
      <c r="O110" s="80" t="s">
        <v>90</v>
      </c>
      <c r="P110" s="80" t="s">
        <v>73</v>
      </c>
      <c r="Q110" s="87">
        <v>46243.829431824044</v>
      </c>
      <c r="R110" s="110">
        <v>31499.45083229247</v>
      </c>
      <c r="S110" s="111">
        <v>0.1049981694409749</v>
      </c>
      <c r="T110" s="42">
        <v>29292.491051090245</v>
      </c>
      <c r="U110" s="82">
        <v>18206.137322427647</v>
      </c>
      <c r="V110" s="42">
        <v>50377.965552279369</v>
      </c>
      <c r="W110" s="82">
        <v>33569.373948813445</v>
      </c>
      <c r="X110" s="82">
        <v>130369.28603519365</v>
      </c>
      <c r="Y110" s="82">
        <v>85621.672239297215</v>
      </c>
      <c r="Z110" s="120">
        <v>298641.46213456115</v>
      </c>
    </row>
    <row r="111" spans="3:26">
      <c r="C111">
        <f>C110+1</f>
        <v>106</v>
      </c>
      <c r="D111">
        <f>D110+5</f>
        <v>55</v>
      </c>
      <c r="E111" s="95">
        <v>300000</v>
      </c>
      <c r="F111" s="125">
        <f t="shared" si="14"/>
        <v>6.1499999999999999E-2</v>
      </c>
      <c r="G111" t="s">
        <v>64</v>
      </c>
      <c r="I111" s="104">
        <v>384589.47202588053</v>
      </c>
      <c r="J111" s="5">
        <v>221580.07879222464</v>
      </c>
      <c r="K111" s="5">
        <v>300000</v>
      </c>
      <c r="L111" s="5">
        <v>1537.5</v>
      </c>
      <c r="M111" s="5">
        <v>250</v>
      </c>
      <c r="N111" s="5">
        <v>214.47202588053187</v>
      </c>
      <c r="O111" s="105" t="s">
        <v>91</v>
      </c>
      <c r="P111" s="105" t="s">
        <v>74</v>
      </c>
      <c r="Q111" s="106">
        <v>39401.671595575463</v>
      </c>
      <c r="R111" s="92">
        <v>28631.443558622537</v>
      </c>
      <c r="S111" s="112">
        <v>9.5438145195408455E-2</v>
      </c>
      <c r="T111" s="104">
        <v>24137.14130972364</v>
      </c>
      <c r="U111" s="5">
        <v>16046.485619220337</v>
      </c>
      <c r="V111" s="104">
        <v>42577.905618956065</v>
      </c>
      <c r="W111" s="5">
        <v>30299.845656829701</v>
      </c>
      <c r="X111" s="5">
        <v>109881.71852425516</v>
      </c>
      <c r="Y111" s="5">
        <v>77143.324397105171</v>
      </c>
      <c r="Z111" s="121">
        <v>298723.40318932978</v>
      </c>
    </row>
    <row r="112" spans="3:26">
      <c r="C112">
        <f t="shared" ref="C112:C117" si="24">C111+1</f>
        <v>107</v>
      </c>
      <c r="D112">
        <f t="shared" ref="D112:D117" si="25">D111+5</f>
        <v>60</v>
      </c>
      <c r="E112" s="95">
        <v>300000</v>
      </c>
      <c r="F112" s="125">
        <f t="shared" si="14"/>
        <v>7.0000000000000007E-2</v>
      </c>
      <c r="G112" t="s">
        <v>64</v>
      </c>
      <c r="I112" s="104">
        <v>368448.07386552769</v>
      </c>
      <c r="J112" s="5">
        <v>229703.51358692284</v>
      </c>
      <c r="K112" s="5">
        <v>300000</v>
      </c>
      <c r="L112" s="5">
        <v>1750.0000000000002</v>
      </c>
      <c r="M112" s="5">
        <v>210</v>
      </c>
      <c r="N112" s="5">
        <v>948.07386552763637</v>
      </c>
      <c r="O112" s="105" t="s">
        <v>92</v>
      </c>
      <c r="P112" s="105" t="s">
        <v>75</v>
      </c>
      <c r="Q112" s="106">
        <v>33728.121883090367</v>
      </c>
      <c r="R112" s="92">
        <v>25915.369638739307</v>
      </c>
      <c r="S112" s="112">
        <v>8.6384565462464355E-2</v>
      </c>
      <c r="T112" s="104">
        <v>19880.38772218427</v>
      </c>
      <c r="U112" s="5">
        <v>14007.256504970093</v>
      </c>
      <c r="V112" s="104">
        <v>36110.058946723017</v>
      </c>
      <c r="W112" s="5">
        <v>27203.52138816283</v>
      </c>
      <c r="X112" s="5">
        <v>92883.568551997654</v>
      </c>
      <c r="Y112" s="5">
        <v>69097.489810700979</v>
      </c>
      <c r="Z112" s="121">
        <v>298801.00339762383</v>
      </c>
    </row>
    <row r="113" spans="3:26">
      <c r="C113">
        <f t="shared" si="24"/>
        <v>108</v>
      </c>
      <c r="D113">
        <f t="shared" si="25"/>
        <v>65</v>
      </c>
      <c r="E113" s="95">
        <v>300000</v>
      </c>
      <c r="F113" s="125">
        <f t="shared" si="14"/>
        <v>0.08</v>
      </c>
      <c r="G113" t="s">
        <v>64</v>
      </c>
      <c r="I113" s="104">
        <v>355415.38850167621</v>
      </c>
      <c r="J113" s="5">
        <v>237085.93260845228</v>
      </c>
      <c r="K113" s="5">
        <v>300000</v>
      </c>
      <c r="L113" s="5">
        <v>2000</v>
      </c>
      <c r="M113" s="5">
        <v>177</v>
      </c>
      <c r="N113" s="5">
        <v>1415.3885016762069</v>
      </c>
      <c r="O113" s="105" t="s">
        <v>93</v>
      </c>
      <c r="P113" s="105" t="s">
        <v>76</v>
      </c>
      <c r="Q113" s="106">
        <v>29136.439553607863</v>
      </c>
      <c r="R113" s="92">
        <v>23454.852494500519</v>
      </c>
      <c r="S113" s="112">
        <v>7.8182841648335069E-2</v>
      </c>
      <c r="T113" s="104">
        <v>16413.978168630048</v>
      </c>
      <c r="U113" s="5">
        <v>12152.001107729229</v>
      </c>
      <c r="V113" s="104">
        <v>30875.541091112984</v>
      </c>
      <c r="W113" s="5">
        <v>24398.531843730583</v>
      </c>
      <c r="X113" s="5">
        <v>79095.958813350895</v>
      </c>
      <c r="Y113" s="5">
        <v>61785.369554424338</v>
      </c>
      <c r="Z113" s="121">
        <v>298871.30216287659</v>
      </c>
    </row>
    <row r="114" spans="3:26">
      <c r="C114">
        <f t="shared" si="24"/>
        <v>109</v>
      </c>
      <c r="D114">
        <f t="shared" si="25"/>
        <v>70</v>
      </c>
      <c r="E114" s="95">
        <v>300000</v>
      </c>
      <c r="F114" s="125">
        <f t="shared" si="14"/>
        <v>0.1</v>
      </c>
      <c r="G114" t="s">
        <v>64</v>
      </c>
      <c r="I114" s="104">
        <v>339148.3969238674</v>
      </c>
      <c r="J114" s="5">
        <v>247451.43939827889</v>
      </c>
      <c r="K114" s="5">
        <v>300000</v>
      </c>
      <c r="L114" s="5">
        <v>2500</v>
      </c>
      <c r="M114" s="5">
        <v>135</v>
      </c>
      <c r="N114" s="5">
        <v>1648.3969238674035</v>
      </c>
      <c r="O114" s="105" t="s">
        <v>94</v>
      </c>
      <c r="P114" s="105" t="s">
        <v>69</v>
      </c>
      <c r="Q114" s="106">
        <v>23411.265041173039</v>
      </c>
      <c r="R114" s="92">
        <v>20003.597266341818</v>
      </c>
      <c r="S114" s="112">
        <v>6.667865755447272E-2</v>
      </c>
      <c r="T114" s="104">
        <v>12121.751481421807</v>
      </c>
      <c r="U114" s="5">
        <v>9563.4294371093401</v>
      </c>
      <c r="V114" s="104">
        <v>24348.842146937255</v>
      </c>
      <c r="W114" s="5">
        <v>20464.10088362969</v>
      </c>
      <c r="X114" s="5">
        <v>61921.858669532099</v>
      </c>
      <c r="Y114" s="5">
        <v>51518.467637837952</v>
      </c>
      <c r="Z114" s="121">
        <v>298969.90703611681</v>
      </c>
    </row>
    <row r="115" spans="3:26">
      <c r="C115">
        <f t="shared" si="24"/>
        <v>110</v>
      </c>
      <c r="D115">
        <f t="shared" si="25"/>
        <v>75</v>
      </c>
      <c r="E115" s="95">
        <v>300000</v>
      </c>
      <c r="F115" s="125">
        <f t="shared" si="14"/>
        <v>0.12</v>
      </c>
      <c r="G115" t="s">
        <v>64</v>
      </c>
      <c r="I115" s="104">
        <v>329412.40515510325</v>
      </c>
      <c r="J115" s="5">
        <v>254400.16243330934</v>
      </c>
      <c r="K115" s="5">
        <v>300000</v>
      </c>
      <c r="L115" s="5">
        <v>3000</v>
      </c>
      <c r="M115" s="5">
        <v>109</v>
      </c>
      <c r="N115" s="5">
        <v>2412.4051551032462</v>
      </c>
      <c r="O115" s="105" t="s">
        <v>84</v>
      </c>
      <c r="P115" s="105" t="s">
        <v>78</v>
      </c>
      <c r="Q115" s="106">
        <v>19975.496556445818</v>
      </c>
      <c r="R115" s="92">
        <v>17698.35051129117</v>
      </c>
      <c r="S115" s="112">
        <v>5.8994501704303898E-2</v>
      </c>
      <c r="T115" s="104">
        <v>9531.7556112358852</v>
      </c>
      <c r="U115" s="5">
        <v>7827.4185802639122</v>
      </c>
      <c r="V115" s="104">
        <v>20432.066074348215</v>
      </c>
      <c r="W115" s="5">
        <v>17836.119582871928</v>
      </c>
      <c r="X115" s="5">
        <v>51589.31824202992</v>
      </c>
      <c r="Y115" s="5">
        <v>44635.607180055813</v>
      </c>
      <c r="Z115" s="121">
        <v>299035.76961336518</v>
      </c>
    </row>
    <row r="116" spans="3:26">
      <c r="C116">
        <f t="shared" si="24"/>
        <v>111</v>
      </c>
      <c r="D116">
        <f t="shared" si="25"/>
        <v>80</v>
      </c>
      <c r="E116" s="95">
        <v>300000</v>
      </c>
      <c r="F116" s="125">
        <f t="shared" si="14"/>
        <v>0.12</v>
      </c>
      <c r="G116" t="s">
        <v>64</v>
      </c>
      <c r="I116" s="104">
        <v>329412.40515510325</v>
      </c>
      <c r="J116" s="5">
        <v>254400.16243330934</v>
      </c>
      <c r="K116" s="5">
        <v>300000</v>
      </c>
      <c r="L116" s="5">
        <v>3000</v>
      </c>
      <c r="M116" s="5">
        <v>109</v>
      </c>
      <c r="N116" s="5">
        <v>2412.4051551032462</v>
      </c>
      <c r="O116" s="105" t="s">
        <v>84</v>
      </c>
      <c r="P116" s="105" t="s">
        <v>79</v>
      </c>
      <c r="Q116" s="106">
        <v>19975.496556445818</v>
      </c>
      <c r="R116" s="92">
        <v>17698.35051129117</v>
      </c>
      <c r="S116" s="112">
        <v>5.8994501704303898E-2</v>
      </c>
      <c r="T116" s="104">
        <v>9531.7556112358852</v>
      </c>
      <c r="U116" s="5">
        <v>7827.4185802639122</v>
      </c>
      <c r="V116" s="104">
        <v>20432.066074348215</v>
      </c>
      <c r="W116" s="5">
        <v>17836.119582871928</v>
      </c>
      <c r="X116" s="5">
        <v>51589.31824202992</v>
      </c>
      <c r="Y116" s="5">
        <v>44635.607180055813</v>
      </c>
      <c r="Z116" s="121">
        <v>299035.76961336518</v>
      </c>
    </row>
    <row r="117" spans="3:26">
      <c r="C117" s="40">
        <f t="shared" si="24"/>
        <v>112</v>
      </c>
      <c r="D117" s="40">
        <f t="shared" si="25"/>
        <v>85</v>
      </c>
      <c r="E117" s="96">
        <v>300000</v>
      </c>
      <c r="F117" s="126">
        <f t="shared" si="14"/>
        <v>0.12</v>
      </c>
      <c r="G117" s="40" t="s">
        <v>64</v>
      </c>
      <c r="I117" s="113">
        <v>329412.40515510325</v>
      </c>
      <c r="J117" s="43">
        <v>254400.16243330934</v>
      </c>
      <c r="K117" s="43">
        <v>300000</v>
      </c>
      <c r="L117" s="43">
        <v>3000</v>
      </c>
      <c r="M117" s="43">
        <v>109</v>
      </c>
      <c r="N117" s="43">
        <v>2412.4051551032462</v>
      </c>
      <c r="O117" s="81" t="s">
        <v>84</v>
      </c>
      <c r="P117" s="81" t="s">
        <v>80</v>
      </c>
      <c r="Q117" s="114">
        <v>19975.496556445818</v>
      </c>
      <c r="R117" s="88">
        <v>17698.35051129117</v>
      </c>
      <c r="S117" s="93">
        <v>5.8994501704303898E-2</v>
      </c>
      <c r="T117" s="113">
        <v>9531.7556112358852</v>
      </c>
      <c r="U117" s="43">
        <v>7827.4185802639122</v>
      </c>
      <c r="V117" s="113">
        <v>20432.066074348215</v>
      </c>
      <c r="W117" s="43">
        <v>17836.119582871928</v>
      </c>
      <c r="X117" s="43">
        <v>51589.31824202992</v>
      </c>
      <c r="Y117" s="43">
        <v>44635.607180055813</v>
      </c>
      <c r="Z117" s="122">
        <v>299035.76961336518</v>
      </c>
    </row>
    <row r="118" spans="3:26">
      <c r="C118" s="39">
        <f>C117+1</f>
        <v>113</v>
      </c>
      <c r="D118" s="39">
        <f>D110</f>
        <v>50</v>
      </c>
      <c r="E118" s="82">
        <f>ROUND(E110*1.25/100000,0)*100000</f>
        <v>400000</v>
      </c>
      <c r="F118" s="124">
        <f t="shared" si="14"/>
        <v>5.45E-2</v>
      </c>
      <c r="G118" s="39" t="s">
        <v>64</v>
      </c>
      <c r="I118" s="42">
        <v>540933.50307619793</v>
      </c>
      <c r="J118" s="82">
        <v>284535.8819739442</v>
      </c>
      <c r="K118" s="82">
        <v>400000</v>
      </c>
      <c r="L118" s="82">
        <v>1816.6666666666667</v>
      </c>
      <c r="M118" s="82">
        <v>297</v>
      </c>
      <c r="N118" s="82">
        <v>1383.5030761979287</v>
      </c>
      <c r="O118" s="80" t="s">
        <v>95</v>
      </c>
      <c r="P118" s="80" t="s">
        <v>73</v>
      </c>
      <c r="Q118" s="87">
        <v>61896.304104303155</v>
      </c>
      <c r="R118" s="110">
        <v>42091.897049773848</v>
      </c>
      <c r="S118" s="111">
        <v>0.10522974262443462</v>
      </c>
      <c r="T118" s="42">
        <v>39229.988755955339</v>
      </c>
      <c r="U118" s="82">
        <v>24343.213640951366</v>
      </c>
      <c r="V118" s="42">
        <v>67441.786678905628</v>
      </c>
      <c r="W118" s="82">
        <v>44864.762636742147</v>
      </c>
      <c r="X118" s="82">
        <v>173038.07953916411</v>
      </c>
      <c r="Y118" s="82">
        <v>113650.0877197245</v>
      </c>
      <c r="Z118" s="120">
        <v>398185.96969366871</v>
      </c>
    </row>
    <row r="119" spans="3:26">
      <c r="C119">
        <f t="shared" ref="C119:C125" si="26">C118+1</f>
        <v>114</v>
      </c>
      <c r="D119">
        <f t="shared" ref="D119:D181" si="27">D111</f>
        <v>55</v>
      </c>
      <c r="E119" s="5">
        <f t="shared" ref="E119:E125" si="28">ROUND(E111*1.25/100000,0)*100000</f>
        <v>400000</v>
      </c>
      <c r="F119" s="125">
        <f t="shared" si="14"/>
        <v>6.1499999999999999E-2</v>
      </c>
      <c r="G119" t="s">
        <v>64</v>
      </c>
      <c r="I119" s="104">
        <v>514524.58525525086</v>
      </c>
      <c r="J119" s="5">
        <v>295950.9724685034</v>
      </c>
      <c r="K119" s="5">
        <v>400000</v>
      </c>
      <c r="L119" s="5">
        <v>2050</v>
      </c>
      <c r="M119" s="5">
        <v>250</v>
      </c>
      <c r="N119" s="5">
        <v>2024.5852552508586</v>
      </c>
      <c r="O119" s="105" t="s">
        <v>91</v>
      </c>
      <c r="P119" s="105" t="s">
        <v>74</v>
      </c>
      <c r="Q119" s="106">
        <v>52697.572791751059</v>
      </c>
      <c r="R119" s="92">
        <v>38248.08995910723</v>
      </c>
      <c r="S119" s="112">
        <v>9.5620224897768072E-2</v>
      </c>
      <c r="T119" s="104">
        <v>32298.843824741973</v>
      </c>
      <c r="U119" s="5">
        <v>21448.355515844803</v>
      </c>
      <c r="V119" s="104">
        <v>56955.232982596201</v>
      </c>
      <c r="W119" s="5">
        <v>40482.822553382313</v>
      </c>
      <c r="X119" s="5">
        <v>145716.64959908923</v>
      </c>
      <c r="Y119" s="5">
        <v>102344.81759076695</v>
      </c>
      <c r="Z119" s="121">
        <v>398295.79005927034</v>
      </c>
    </row>
    <row r="120" spans="3:26">
      <c r="C120">
        <f t="shared" si="26"/>
        <v>115</v>
      </c>
      <c r="D120">
        <f t="shared" si="27"/>
        <v>60</v>
      </c>
      <c r="E120" s="5">
        <f t="shared" si="28"/>
        <v>400000</v>
      </c>
      <c r="F120" s="125">
        <f t="shared" si="14"/>
        <v>7.0000000000000007E-2</v>
      </c>
      <c r="G120" t="s">
        <v>64</v>
      </c>
      <c r="I120" s="104">
        <v>492631.79318170866</v>
      </c>
      <c r="J120" s="5">
        <v>306759.32353496237</v>
      </c>
      <c r="K120" s="5">
        <v>400000</v>
      </c>
      <c r="L120" s="5">
        <v>2333.3333333333335</v>
      </c>
      <c r="M120" s="5">
        <v>211</v>
      </c>
      <c r="N120" s="5">
        <v>298.45984837529249</v>
      </c>
      <c r="O120" s="105" t="s">
        <v>96</v>
      </c>
      <c r="P120" s="105" t="s">
        <v>75</v>
      </c>
      <c r="Q120" s="106">
        <v>45081.447898916522</v>
      </c>
      <c r="R120" s="92">
        <v>34610.093538372676</v>
      </c>
      <c r="S120" s="112">
        <v>8.6525233845931693E-2</v>
      </c>
      <c r="T120" s="104">
        <v>26588.895535541331</v>
      </c>
      <c r="U120" s="5">
        <v>18718.132899842494</v>
      </c>
      <c r="V120" s="104">
        <v>48272.850604764819</v>
      </c>
      <c r="W120" s="5">
        <v>36335.506633744844</v>
      </c>
      <c r="X120" s="5">
        <v>123123.19403922267</v>
      </c>
      <c r="Y120" s="5">
        <v>91640.406729306473</v>
      </c>
      <c r="Z120" s="121">
        <v>398399.73026426882</v>
      </c>
    </row>
    <row r="121" spans="3:26">
      <c r="C121">
        <f t="shared" si="26"/>
        <v>116</v>
      </c>
      <c r="D121">
        <f t="shared" si="27"/>
        <v>65</v>
      </c>
      <c r="E121" s="5">
        <f t="shared" si="28"/>
        <v>400000</v>
      </c>
      <c r="F121" s="125">
        <f t="shared" si="14"/>
        <v>0.08</v>
      </c>
      <c r="G121" t="s">
        <v>64</v>
      </c>
      <c r="I121" s="104">
        <v>474991.08600786579</v>
      </c>
      <c r="J121" s="5">
        <v>316577.07136680215</v>
      </c>
      <c r="K121" s="5">
        <v>400000</v>
      </c>
      <c r="L121" s="5">
        <v>2666.6666666666665</v>
      </c>
      <c r="M121" s="5">
        <v>178</v>
      </c>
      <c r="N121" s="5">
        <v>324.41934119915823</v>
      </c>
      <c r="O121" s="105" t="s">
        <v>97</v>
      </c>
      <c r="P121" s="105" t="s">
        <v>76</v>
      </c>
      <c r="Q121" s="106">
        <v>38925.082961178436</v>
      </c>
      <c r="R121" s="92">
        <v>31316.267660103782</v>
      </c>
      <c r="S121" s="112">
        <v>7.8290669150259451E-2</v>
      </c>
      <c r="T121" s="104">
        <v>21939.522516370063</v>
      </c>
      <c r="U121" s="5">
        <v>16233.706174447598</v>
      </c>
      <c r="V121" s="104">
        <v>41254.594575743431</v>
      </c>
      <c r="W121" s="5">
        <v>32580.545132518298</v>
      </c>
      <c r="X121" s="5">
        <v>104804.20005329192</v>
      </c>
      <c r="Y121" s="5">
        <v>81916.765899621736</v>
      </c>
      <c r="Z121" s="121">
        <v>398493.83726642386</v>
      </c>
    </row>
    <row r="122" spans="3:26">
      <c r="C122">
        <f t="shared" si="26"/>
        <v>117</v>
      </c>
      <c r="D122">
        <f t="shared" si="27"/>
        <v>70</v>
      </c>
      <c r="E122" s="5">
        <f t="shared" si="28"/>
        <v>400000</v>
      </c>
      <c r="F122" s="125">
        <f t="shared" si="14"/>
        <v>0.1</v>
      </c>
      <c r="G122" t="s">
        <v>64</v>
      </c>
      <c r="I122" s="104">
        <v>453003.39103178837</v>
      </c>
      <c r="J122" s="5">
        <v>330350.0935212996</v>
      </c>
      <c r="K122" s="5">
        <v>400000</v>
      </c>
      <c r="L122" s="5">
        <v>3333.3333333333335</v>
      </c>
      <c r="M122" s="5">
        <v>135</v>
      </c>
      <c r="N122" s="5">
        <v>3003.391031788371</v>
      </c>
      <c r="O122" s="105" t="s">
        <v>94</v>
      </c>
      <c r="P122" s="105" t="s">
        <v>69</v>
      </c>
      <c r="Q122" s="106">
        <v>31257.835566803857</v>
      </c>
      <c r="R122" s="92">
        <v>26699.047173083331</v>
      </c>
      <c r="S122" s="112">
        <v>6.6747617932708322E-2</v>
      </c>
      <c r="T122" s="104">
        <v>16195.269649473137</v>
      </c>
      <c r="U122" s="5">
        <v>12772.36009309305</v>
      </c>
      <c r="V122" s="104">
        <v>32513.932546156389</v>
      </c>
      <c r="W122" s="5">
        <v>27316.913777315003</v>
      </c>
      <c r="X122" s="5">
        <v>82007.037762433378</v>
      </c>
      <c r="Y122" s="5">
        <v>68275.661094248484</v>
      </c>
      <c r="Z122" s="121">
        <v>398625.75461554807</v>
      </c>
    </row>
    <row r="123" spans="3:26">
      <c r="C123">
        <f t="shared" si="26"/>
        <v>118</v>
      </c>
      <c r="D123">
        <f t="shared" si="27"/>
        <v>75</v>
      </c>
      <c r="E123" s="5">
        <f t="shared" si="28"/>
        <v>400000</v>
      </c>
      <c r="F123" s="125">
        <f t="shared" si="14"/>
        <v>0.12</v>
      </c>
      <c r="G123" t="s">
        <v>64</v>
      </c>
      <c r="I123" s="104">
        <v>439845.81062714802</v>
      </c>
      <c r="J123" s="5">
        <v>339568.12099229317</v>
      </c>
      <c r="K123" s="5">
        <v>400000</v>
      </c>
      <c r="L123" s="5">
        <v>4000</v>
      </c>
      <c r="M123" s="5">
        <v>109</v>
      </c>
      <c r="N123" s="5">
        <v>3845.810627148021</v>
      </c>
      <c r="O123" s="105" t="s">
        <v>84</v>
      </c>
      <c r="P123" s="105" t="s">
        <v>78</v>
      </c>
      <c r="Q123" s="106">
        <v>26661.340032970744</v>
      </c>
      <c r="R123" s="92">
        <v>23616.932618500839</v>
      </c>
      <c r="S123" s="112">
        <v>5.9042331546252096E-2</v>
      </c>
      <c r="T123" s="104">
        <v>12730.941175349364</v>
      </c>
      <c r="U123" s="5">
        <v>10451.737569617686</v>
      </c>
      <c r="V123" s="104">
        <v>27273.927637586647</v>
      </c>
      <c r="W123" s="5">
        <v>23803.303185090957</v>
      </c>
      <c r="X123" s="5">
        <v>68316.208845906745</v>
      </c>
      <c r="Y123" s="5">
        <v>59145.69187883829</v>
      </c>
      <c r="Z123" s="121">
        <v>398713.81287113146</v>
      </c>
    </row>
    <row r="124" spans="3:26">
      <c r="C124">
        <f t="shared" si="26"/>
        <v>119</v>
      </c>
      <c r="D124">
        <f t="shared" si="27"/>
        <v>80</v>
      </c>
      <c r="E124" s="5">
        <f t="shared" si="28"/>
        <v>400000</v>
      </c>
      <c r="F124" s="125">
        <f t="shared" si="14"/>
        <v>0.12</v>
      </c>
      <c r="G124" t="s">
        <v>64</v>
      </c>
      <c r="I124" s="104">
        <v>439845.81062714802</v>
      </c>
      <c r="J124" s="5">
        <v>339568.12099229317</v>
      </c>
      <c r="K124" s="5">
        <v>400000</v>
      </c>
      <c r="L124" s="5">
        <v>4000</v>
      </c>
      <c r="M124" s="5">
        <v>109</v>
      </c>
      <c r="N124" s="5">
        <v>3845.810627148021</v>
      </c>
      <c r="O124" s="105" t="s">
        <v>84</v>
      </c>
      <c r="P124" s="105" t="s">
        <v>79</v>
      </c>
      <c r="Q124" s="106">
        <v>26661.340032970744</v>
      </c>
      <c r="R124" s="92">
        <v>23616.932618500839</v>
      </c>
      <c r="S124" s="112">
        <v>5.9042331546252096E-2</v>
      </c>
      <c r="T124" s="104">
        <v>12730.941175349364</v>
      </c>
      <c r="U124" s="5">
        <v>10451.737569617686</v>
      </c>
      <c r="V124" s="104">
        <v>27273.927637586647</v>
      </c>
      <c r="W124" s="5">
        <v>23803.303185090957</v>
      </c>
      <c r="X124" s="5">
        <v>68316.208845906745</v>
      </c>
      <c r="Y124" s="5">
        <v>59145.69187883829</v>
      </c>
      <c r="Z124" s="121">
        <v>398713.81287113146</v>
      </c>
    </row>
    <row r="125" spans="3:26">
      <c r="C125" s="40">
        <f t="shared" si="26"/>
        <v>120</v>
      </c>
      <c r="D125" s="40">
        <f t="shared" si="27"/>
        <v>85</v>
      </c>
      <c r="E125" s="43">
        <f t="shared" si="28"/>
        <v>400000</v>
      </c>
      <c r="F125" s="126">
        <f t="shared" si="14"/>
        <v>0.12</v>
      </c>
      <c r="G125" s="40" t="s">
        <v>64</v>
      </c>
      <c r="I125" s="113">
        <v>439845.81062714802</v>
      </c>
      <c r="J125" s="43">
        <v>339568.12099229317</v>
      </c>
      <c r="K125" s="43">
        <v>400000</v>
      </c>
      <c r="L125" s="43">
        <v>4000</v>
      </c>
      <c r="M125" s="43">
        <v>109</v>
      </c>
      <c r="N125" s="43">
        <v>3845.810627148021</v>
      </c>
      <c r="O125" s="81" t="s">
        <v>84</v>
      </c>
      <c r="P125" s="81" t="s">
        <v>80</v>
      </c>
      <c r="Q125" s="114">
        <v>26661.340032970744</v>
      </c>
      <c r="R125" s="88">
        <v>23616.932618500839</v>
      </c>
      <c r="S125" s="93">
        <v>5.9042331546252096E-2</v>
      </c>
      <c r="T125" s="113">
        <v>12730.941175349364</v>
      </c>
      <c r="U125" s="43">
        <v>10451.737569617686</v>
      </c>
      <c r="V125" s="113">
        <v>27273.927637586647</v>
      </c>
      <c r="W125" s="43">
        <v>23803.303185090957</v>
      </c>
      <c r="X125" s="43">
        <v>68316.208845906745</v>
      </c>
      <c r="Y125" s="43">
        <v>59145.69187883829</v>
      </c>
      <c r="Z125" s="122">
        <v>398713.81287113146</v>
      </c>
    </row>
    <row r="126" spans="3:26">
      <c r="C126" s="39">
        <f>C125+1</f>
        <v>121</v>
      </c>
      <c r="D126" s="39">
        <f>D118</f>
        <v>50</v>
      </c>
      <c r="E126" s="82">
        <f>ROUND(E118*1.25/100000,0)*100000</f>
        <v>500000</v>
      </c>
      <c r="F126" s="124">
        <f t="shared" si="14"/>
        <v>5.45E-2</v>
      </c>
      <c r="G126" s="39" t="s">
        <v>64</v>
      </c>
      <c r="I126" s="42">
        <v>677804.89583369007</v>
      </c>
      <c r="J126" s="82">
        <v>356051.27429688931</v>
      </c>
      <c r="K126" s="82">
        <v>500000</v>
      </c>
      <c r="L126" s="82">
        <v>2270.8333333333335</v>
      </c>
      <c r="M126" s="82">
        <v>298</v>
      </c>
      <c r="N126" s="82">
        <v>1096.5625003566965</v>
      </c>
      <c r="O126" s="80" t="s">
        <v>98</v>
      </c>
      <c r="P126" s="80" t="s">
        <v>73</v>
      </c>
      <c r="Q126" s="87">
        <v>77550.198177729049</v>
      </c>
      <c r="R126" s="110">
        <v>52684.673813488676</v>
      </c>
      <c r="S126" s="111">
        <v>0.10536934762697735</v>
      </c>
      <c r="T126" s="42">
        <v>49167.486460822052</v>
      </c>
      <c r="U126" s="82">
        <v>30480.28995947578</v>
      </c>
      <c r="V126" s="42">
        <v>84507.22592261112</v>
      </c>
      <c r="W126" s="82">
        <v>56160.528147377176</v>
      </c>
      <c r="X126" s="82">
        <v>215709.91056116222</v>
      </c>
      <c r="Y126" s="82">
        <v>141679.19351194656</v>
      </c>
      <c r="Z126" s="120">
        <v>497730.46780883591</v>
      </c>
    </row>
    <row r="127" spans="3:26">
      <c r="C127">
        <f t="shared" ref="C127:C133" si="29">C126+1</f>
        <v>122</v>
      </c>
      <c r="D127">
        <f t="shared" si="27"/>
        <v>55</v>
      </c>
      <c r="E127" s="5">
        <f t="shared" ref="E127:E189" si="30">ROUND(E119*1.25/100000,0)*100000</f>
        <v>500000</v>
      </c>
      <c r="F127" s="125">
        <f t="shared" si="14"/>
        <v>6.1499999999999999E-2</v>
      </c>
      <c r="G127" t="s">
        <v>64</v>
      </c>
      <c r="I127" s="104">
        <v>644439.0807324748</v>
      </c>
      <c r="J127" s="5">
        <v>370314.01785728656</v>
      </c>
      <c r="K127" s="5">
        <v>500000</v>
      </c>
      <c r="L127" s="5">
        <v>2562.5</v>
      </c>
      <c r="M127" s="5">
        <v>251</v>
      </c>
      <c r="N127" s="5">
        <v>1251.5807324748021</v>
      </c>
      <c r="O127" s="105" t="s">
        <v>99</v>
      </c>
      <c r="P127" s="105" t="s">
        <v>74</v>
      </c>
      <c r="Q127" s="106">
        <v>65994.534153330402</v>
      </c>
      <c r="R127" s="92">
        <v>47865.046356531988</v>
      </c>
      <c r="S127" s="112">
        <v>9.5730092713063972E-2</v>
      </c>
      <c r="T127" s="104">
        <v>40470.087828394935</v>
      </c>
      <c r="U127" s="5">
        <v>26853.015384930033</v>
      </c>
      <c r="V127" s="104">
        <v>71333.768934796695</v>
      </c>
      <c r="W127" s="5">
        <v>50666.152846446523</v>
      </c>
      <c r="X127" s="5">
        <v>181578.39091652201</v>
      </c>
      <c r="Y127" s="5">
        <v>127554.15021508577</v>
      </c>
      <c r="Z127" s="121">
        <v>497868.16807237233</v>
      </c>
    </row>
    <row r="128" spans="3:26">
      <c r="C128">
        <f t="shared" si="29"/>
        <v>123</v>
      </c>
      <c r="D128">
        <f t="shared" si="27"/>
        <v>60</v>
      </c>
      <c r="E128" s="5">
        <f t="shared" si="30"/>
        <v>500000</v>
      </c>
      <c r="F128" s="125">
        <f t="shared" si="14"/>
        <v>7.0000000000000007E-2</v>
      </c>
      <c r="G128" t="s">
        <v>64</v>
      </c>
      <c r="I128" s="104">
        <v>616832.98581229092</v>
      </c>
      <c r="J128" s="5">
        <v>383819.94978118065</v>
      </c>
      <c r="K128" s="5">
        <v>500000</v>
      </c>
      <c r="L128" s="5">
        <v>2916.6666666666665</v>
      </c>
      <c r="M128" s="5">
        <v>211</v>
      </c>
      <c r="N128" s="5">
        <v>1416.319145624293</v>
      </c>
      <c r="O128" s="105" t="s">
        <v>96</v>
      </c>
      <c r="P128" s="105" t="s">
        <v>75</v>
      </c>
      <c r="Q128" s="106">
        <v>56435.442186520864</v>
      </c>
      <c r="R128" s="92">
        <v>43305.054958659384</v>
      </c>
      <c r="S128" s="112">
        <v>8.6610109917318767E-2</v>
      </c>
      <c r="T128" s="104">
        <v>33297.403348897962</v>
      </c>
      <c r="U128" s="5">
        <v>23429.009294714648</v>
      </c>
      <c r="V128" s="104">
        <v>60436.404092633813</v>
      </c>
      <c r="W128" s="5">
        <v>45467.762652871716</v>
      </c>
      <c r="X128" s="5">
        <v>153349.24962805264</v>
      </c>
      <c r="Y128" s="5">
        <v>114178.50056359221</v>
      </c>
      <c r="Z128" s="121">
        <v>497998.45034477289</v>
      </c>
    </row>
    <row r="129" spans="3:26">
      <c r="C129">
        <f t="shared" si="29"/>
        <v>124</v>
      </c>
      <c r="D129">
        <f t="shared" si="27"/>
        <v>65</v>
      </c>
      <c r="E129" s="5">
        <f t="shared" si="30"/>
        <v>500000</v>
      </c>
      <c r="F129" s="125">
        <f t="shared" si="14"/>
        <v>0.08</v>
      </c>
      <c r="G129" t="s">
        <v>64</v>
      </c>
      <c r="I129" s="104">
        <v>594583.58658291539</v>
      </c>
      <c r="J129" s="5">
        <v>396074.03184762329</v>
      </c>
      <c r="K129" s="5">
        <v>500000</v>
      </c>
      <c r="L129" s="5">
        <v>3333.3333333333335</v>
      </c>
      <c r="M129" s="5">
        <v>178</v>
      </c>
      <c r="N129" s="5">
        <v>1250.2532495820196</v>
      </c>
      <c r="O129" s="105" t="s">
        <v>97</v>
      </c>
      <c r="P129" s="105" t="s">
        <v>76</v>
      </c>
      <c r="Q129" s="106">
        <v>48714.213544998187</v>
      </c>
      <c r="R129" s="92">
        <v>39177.886232317062</v>
      </c>
      <c r="S129" s="112">
        <v>7.8355772464634127E-2</v>
      </c>
      <c r="T129" s="104">
        <v>27465.066864110508</v>
      </c>
      <c r="U129" s="5">
        <v>20315.411241166214</v>
      </c>
      <c r="V129" s="104">
        <v>51634.203441297912</v>
      </c>
      <c r="W129" s="5">
        <v>40762.790304841437</v>
      </c>
      <c r="X129" s="5">
        <v>130498.48385040661</v>
      </c>
      <c r="Y129" s="5">
        <v>102042.33471087678</v>
      </c>
      <c r="Z129" s="121">
        <v>498116.3665585001</v>
      </c>
    </row>
    <row r="130" spans="3:26">
      <c r="C130">
        <f t="shared" si="29"/>
        <v>125</v>
      </c>
      <c r="D130">
        <f t="shared" si="27"/>
        <v>70</v>
      </c>
      <c r="E130" s="5">
        <f t="shared" si="30"/>
        <v>500000</v>
      </c>
      <c r="F130" s="125">
        <f t="shared" si="14"/>
        <v>0.1</v>
      </c>
      <c r="G130" t="s">
        <v>64</v>
      </c>
      <c r="I130" s="104">
        <v>566843.97644112713</v>
      </c>
      <c r="J130" s="5">
        <v>413240.8828034146</v>
      </c>
      <c r="K130" s="5">
        <v>500000</v>
      </c>
      <c r="L130" s="5">
        <v>4166.666666666667</v>
      </c>
      <c r="M130" s="5">
        <v>136</v>
      </c>
      <c r="N130" s="5">
        <v>177.30977446038742</v>
      </c>
      <c r="O130" s="105" t="s">
        <v>100</v>
      </c>
      <c r="P130" s="105" t="s">
        <v>69</v>
      </c>
      <c r="Q130" s="106">
        <v>39104.565857828646</v>
      </c>
      <c r="R130" s="92">
        <v>33394.578957286853</v>
      </c>
      <c r="S130" s="112">
        <v>6.678915791457371E-2</v>
      </c>
      <c r="T130" s="104">
        <v>20268.787817524273</v>
      </c>
      <c r="U130" s="5">
        <v>15981.290749076637</v>
      </c>
      <c r="V130" s="104">
        <v>40679.205077924649</v>
      </c>
      <c r="W130" s="5">
        <v>34169.820011307034</v>
      </c>
      <c r="X130" s="5">
        <v>102107.55875327757</v>
      </c>
      <c r="Y130" s="5">
        <v>85040.717052264226</v>
      </c>
      <c r="Z130" s="121">
        <v>498281.59985567885</v>
      </c>
    </row>
    <row r="131" spans="3:26">
      <c r="C131">
        <f t="shared" si="29"/>
        <v>126</v>
      </c>
      <c r="D131">
        <f t="shared" si="27"/>
        <v>75</v>
      </c>
      <c r="E131" s="5">
        <f t="shared" si="30"/>
        <v>500000</v>
      </c>
      <c r="F131" s="125">
        <f t="shared" si="14"/>
        <v>0.12</v>
      </c>
      <c r="G131" t="s">
        <v>64</v>
      </c>
      <c r="I131" s="104">
        <v>550265.07726229692</v>
      </c>
      <c r="J131" s="5">
        <v>424727.05888397194</v>
      </c>
      <c r="K131" s="5">
        <v>500000</v>
      </c>
      <c r="L131" s="5">
        <v>5000</v>
      </c>
      <c r="M131" s="5">
        <v>110</v>
      </c>
      <c r="N131" s="5">
        <v>265.07726229692344</v>
      </c>
      <c r="O131" s="105" t="s">
        <v>85</v>
      </c>
      <c r="P131" s="105" t="s">
        <v>78</v>
      </c>
      <c r="Q131" s="106">
        <v>33347.416189578311</v>
      </c>
      <c r="R131" s="92">
        <v>29535.650100495142</v>
      </c>
      <c r="S131" s="112">
        <v>5.9071300200990287E-2</v>
      </c>
      <c r="T131" s="104">
        <v>15930.126739462828</v>
      </c>
      <c r="U131" s="5">
        <v>13076.056558971446</v>
      </c>
      <c r="V131" s="104">
        <v>34116.054456119266</v>
      </c>
      <c r="W131" s="5">
        <v>29770.641114564442</v>
      </c>
      <c r="X131" s="5">
        <v>85058.597385160407</v>
      </c>
      <c r="Y131" s="5">
        <v>73664.79337716919</v>
      </c>
      <c r="Z131" s="121">
        <v>498391.85226114112</v>
      </c>
    </row>
    <row r="132" spans="3:26">
      <c r="C132">
        <f t="shared" si="29"/>
        <v>127</v>
      </c>
      <c r="D132">
        <f t="shared" si="27"/>
        <v>80</v>
      </c>
      <c r="E132" s="5">
        <f t="shared" si="30"/>
        <v>500000</v>
      </c>
      <c r="F132" s="125">
        <f t="shared" si="14"/>
        <v>0.12</v>
      </c>
      <c r="G132" t="s">
        <v>64</v>
      </c>
      <c r="I132" s="104">
        <v>550265.07726229692</v>
      </c>
      <c r="J132" s="5">
        <v>424727.05888397194</v>
      </c>
      <c r="K132" s="5">
        <v>500000</v>
      </c>
      <c r="L132" s="5">
        <v>5000</v>
      </c>
      <c r="M132" s="5">
        <v>110</v>
      </c>
      <c r="N132" s="5">
        <v>265.07726229692344</v>
      </c>
      <c r="O132" s="105" t="s">
        <v>85</v>
      </c>
      <c r="P132" s="105" t="s">
        <v>79</v>
      </c>
      <c r="Q132" s="106">
        <v>33347.416189578311</v>
      </c>
      <c r="R132" s="92">
        <v>29535.650100495142</v>
      </c>
      <c r="S132" s="112">
        <v>5.9071300200990287E-2</v>
      </c>
      <c r="T132" s="104">
        <v>15930.126739462828</v>
      </c>
      <c r="U132" s="5">
        <v>13076.056558971446</v>
      </c>
      <c r="V132" s="104">
        <v>34116.054456119266</v>
      </c>
      <c r="W132" s="5">
        <v>29770.641114564442</v>
      </c>
      <c r="X132" s="5">
        <v>85058.597385160407</v>
      </c>
      <c r="Y132" s="5">
        <v>73664.79337716919</v>
      </c>
      <c r="Z132" s="121">
        <v>498391.85226114112</v>
      </c>
    </row>
    <row r="133" spans="3:26">
      <c r="C133" s="40">
        <f t="shared" si="29"/>
        <v>128</v>
      </c>
      <c r="D133" s="40">
        <f t="shared" si="27"/>
        <v>85</v>
      </c>
      <c r="E133" s="43">
        <f t="shared" si="30"/>
        <v>500000</v>
      </c>
      <c r="F133" s="126">
        <f t="shared" si="14"/>
        <v>0.12</v>
      </c>
      <c r="G133" s="40" t="s">
        <v>64</v>
      </c>
      <c r="I133" s="113">
        <v>550265.07726229692</v>
      </c>
      <c r="J133" s="43">
        <v>424727.05888397194</v>
      </c>
      <c r="K133" s="43">
        <v>500000</v>
      </c>
      <c r="L133" s="43">
        <v>5000</v>
      </c>
      <c r="M133" s="43">
        <v>110</v>
      </c>
      <c r="N133" s="43">
        <v>265.07726229692344</v>
      </c>
      <c r="O133" s="81" t="s">
        <v>85</v>
      </c>
      <c r="P133" s="81" t="s">
        <v>80</v>
      </c>
      <c r="Q133" s="114">
        <v>33347.416189578311</v>
      </c>
      <c r="R133" s="88">
        <v>29535.650100495142</v>
      </c>
      <c r="S133" s="93">
        <v>5.9071300200990287E-2</v>
      </c>
      <c r="T133" s="113">
        <v>15930.126739462828</v>
      </c>
      <c r="U133" s="43">
        <v>13076.056558971446</v>
      </c>
      <c r="V133" s="113">
        <v>34116.054456119266</v>
      </c>
      <c r="W133" s="43">
        <v>29770.641114564442</v>
      </c>
      <c r="X133" s="43">
        <v>85058.597385160407</v>
      </c>
      <c r="Y133" s="43">
        <v>73664.79337716919</v>
      </c>
      <c r="Z133" s="122">
        <v>498391.85226114112</v>
      </c>
    </row>
    <row r="134" spans="3:26">
      <c r="C134" s="39">
        <f>C133+1</f>
        <v>129</v>
      </c>
      <c r="D134" s="39">
        <f>D126</f>
        <v>50</v>
      </c>
      <c r="E134" s="82">
        <f>ROUND(E126*1.25/100000,0)*100000</f>
        <v>600000</v>
      </c>
      <c r="F134" s="124">
        <f t="shared" ref="F134:F197" si="31">VLOOKUP(D134,$AB$6:$AC$13,2,FALSE)</f>
        <v>5.45E-2</v>
      </c>
      <c r="G134" s="39" t="s">
        <v>64</v>
      </c>
      <c r="I134" s="42">
        <v>814692.62456177734</v>
      </c>
      <c r="J134" s="82">
        <v>427569.97183660389</v>
      </c>
      <c r="K134" s="82">
        <v>600000</v>
      </c>
      <c r="L134" s="82">
        <v>2725</v>
      </c>
      <c r="M134" s="82">
        <v>298</v>
      </c>
      <c r="N134" s="82">
        <v>2642.6245617773384</v>
      </c>
      <c r="O134" s="80" t="s">
        <v>98</v>
      </c>
      <c r="P134" s="80" t="s">
        <v>73</v>
      </c>
      <c r="Q134" s="87">
        <v>93204.453220811469</v>
      </c>
      <c r="R134" s="110">
        <v>63277.534495413151</v>
      </c>
      <c r="S134" s="111">
        <v>0.10546255749235525</v>
      </c>
      <c r="T134" s="42">
        <v>59104.984165687056</v>
      </c>
      <c r="U134" s="82">
        <v>36617.366277999492</v>
      </c>
      <c r="V134" s="42">
        <v>101573.0766717252</v>
      </c>
      <c r="W134" s="82">
        <v>67456.389324771037</v>
      </c>
      <c r="X134" s="82">
        <v>258367.51405822372</v>
      </c>
      <c r="Y134" s="82">
        <v>169704.99168978861</v>
      </c>
      <c r="Z134" s="120">
        <v>597274.96352639247</v>
      </c>
    </row>
    <row r="135" spans="3:26">
      <c r="C135">
        <f t="shared" ref="C135:C141" si="32">C134+1</f>
        <v>130</v>
      </c>
      <c r="D135">
        <f t="shared" si="27"/>
        <v>55</v>
      </c>
      <c r="E135" s="5">
        <f t="shared" si="30"/>
        <v>600000</v>
      </c>
      <c r="F135" s="125">
        <f t="shared" si="31"/>
        <v>6.1499999999999999E-2</v>
      </c>
      <c r="G135" t="s">
        <v>64</v>
      </c>
      <c r="I135" s="104">
        <v>774368.4639837069</v>
      </c>
      <c r="J135" s="5">
        <v>444681.38014589378</v>
      </c>
      <c r="K135" s="5">
        <v>600000</v>
      </c>
      <c r="L135" s="5">
        <v>3075</v>
      </c>
      <c r="M135" s="5">
        <v>251</v>
      </c>
      <c r="N135" s="5">
        <v>2543.4639837068971</v>
      </c>
      <c r="O135" s="105" t="s">
        <v>99</v>
      </c>
      <c r="P135" s="105" t="s">
        <v>74</v>
      </c>
      <c r="Q135" s="106">
        <v>79291.516693863756</v>
      </c>
      <c r="R135" s="92">
        <v>57482.008946774331</v>
      </c>
      <c r="S135" s="112">
        <v>9.5803348244623887E-2</v>
      </c>
      <c r="T135" s="104">
        <v>48641.522442633468</v>
      </c>
      <c r="U135" s="5">
        <v>32257.730989373216</v>
      </c>
      <c r="V135" s="104">
        <v>85712.329031004789</v>
      </c>
      <c r="W135" s="5">
        <v>60849.490199322754</v>
      </c>
      <c r="X135" s="5">
        <v>217425.36816750199</v>
      </c>
      <c r="Y135" s="5">
        <v>152759.16576264752</v>
      </c>
      <c r="Z135" s="121">
        <v>597440.5459085413</v>
      </c>
    </row>
    <row r="136" spans="3:26">
      <c r="C136">
        <f t="shared" si="32"/>
        <v>131</v>
      </c>
      <c r="D136">
        <f t="shared" si="27"/>
        <v>60</v>
      </c>
      <c r="E136" s="5">
        <f t="shared" si="30"/>
        <v>600000</v>
      </c>
      <c r="F136" s="125">
        <f t="shared" si="31"/>
        <v>7.0000000000000007E-2</v>
      </c>
      <c r="G136" t="s">
        <v>64</v>
      </c>
      <c r="I136" s="104">
        <v>741034.17844287795</v>
      </c>
      <c r="J136" s="5">
        <v>460880.57602740155</v>
      </c>
      <c r="K136" s="5">
        <v>600000</v>
      </c>
      <c r="L136" s="5">
        <v>3500.0000000000005</v>
      </c>
      <c r="M136" s="5">
        <v>211</v>
      </c>
      <c r="N136" s="5">
        <v>2534.1784428778337</v>
      </c>
      <c r="O136" s="105" t="s">
        <v>96</v>
      </c>
      <c r="P136" s="105" t="s">
        <v>75</v>
      </c>
      <c r="Q136" s="106">
        <v>67789.436474125949</v>
      </c>
      <c r="R136" s="92">
        <v>52000.016378946457</v>
      </c>
      <c r="S136" s="112">
        <v>8.6666693964910765E-2</v>
      </c>
      <c r="T136" s="104">
        <v>40005.911162255165</v>
      </c>
      <c r="U136" s="5">
        <v>28139.885689587121</v>
      </c>
      <c r="V136" s="104">
        <v>72599.9575805036</v>
      </c>
      <c r="W136" s="5">
        <v>54600.018671999023</v>
      </c>
      <c r="X136" s="5">
        <v>183575.30521688471</v>
      </c>
      <c r="Y136" s="5">
        <v>136716.59439787906</v>
      </c>
      <c r="Z136" s="121">
        <v>597597.17042528058</v>
      </c>
    </row>
    <row r="137" spans="3:26">
      <c r="C137">
        <f t="shared" si="32"/>
        <v>132</v>
      </c>
      <c r="D137">
        <f t="shared" si="27"/>
        <v>65</v>
      </c>
      <c r="E137" s="5">
        <f t="shared" si="30"/>
        <v>600000</v>
      </c>
      <c r="F137" s="125">
        <f t="shared" si="31"/>
        <v>0.08</v>
      </c>
      <c r="G137" t="s">
        <v>64</v>
      </c>
      <c r="I137" s="104">
        <v>714176.08715796121</v>
      </c>
      <c r="J137" s="5">
        <v>475570.9923284417</v>
      </c>
      <c r="K137" s="5">
        <v>600000</v>
      </c>
      <c r="L137" s="5">
        <v>4000</v>
      </c>
      <c r="M137" s="5">
        <v>178</v>
      </c>
      <c r="N137" s="5">
        <v>2176.087157961214</v>
      </c>
      <c r="O137" s="105" t="s">
        <v>97</v>
      </c>
      <c r="P137" s="105" t="s">
        <v>76</v>
      </c>
      <c r="Q137" s="106">
        <v>58503.344128817349</v>
      </c>
      <c r="R137" s="92">
        <v>47039.504804529955</v>
      </c>
      <c r="S137" s="112">
        <v>7.8399174674216587E-2</v>
      </c>
      <c r="T137" s="104">
        <v>32990.611211850512</v>
      </c>
      <c r="U137" s="5">
        <v>24397.116307884571</v>
      </c>
      <c r="V137" s="104">
        <v>62013.81230685176</v>
      </c>
      <c r="W137" s="5">
        <v>48945.035477164165</v>
      </c>
      <c r="X137" s="5">
        <v>156192.76764751962</v>
      </c>
      <c r="Y137" s="5">
        <v>122167.90352213076</v>
      </c>
      <c r="Z137" s="121">
        <v>597738.8958505725</v>
      </c>
    </row>
    <row r="138" spans="3:26">
      <c r="C138">
        <f t="shared" si="32"/>
        <v>133</v>
      </c>
      <c r="D138">
        <f t="shared" si="27"/>
        <v>70</v>
      </c>
      <c r="E138" s="5">
        <f t="shared" si="30"/>
        <v>600000</v>
      </c>
      <c r="F138" s="125">
        <f t="shared" si="31"/>
        <v>0.1</v>
      </c>
      <c r="G138" t="s">
        <v>64</v>
      </c>
      <c r="I138" s="104">
        <v>680700.57946419984</v>
      </c>
      <c r="J138" s="5">
        <v>496139.05379846191</v>
      </c>
      <c r="K138" s="5">
        <v>600000</v>
      </c>
      <c r="L138" s="5">
        <v>5000</v>
      </c>
      <c r="M138" s="5">
        <v>136</v>
      </c>
      <c r="N138" s="5">
        <v>700.57946419983637</v>
      </c>
      <c r="O138" s="105" t="s">
        <v>100</v>
      </c>
      <c r="P138" s="105" t="s">
        <v>69</v>
      </c>
      <c r="Q138" s="106">
        <v>46951.571100771696</v>
      </c>
      <c r="R138" s="92">
        <v>40090.25165038625</v>
      </c>
      <c r="S138" s="112">
        <v>6.6817086083977087E-2</v>
      </c>
      <c r="T138" s="104">
        <v>24342.305985575673</v>
      </c>
      <c r="U138" s="5">
        <v>19190.221405060394</v>
      </c>
      <c r="V138" s="104">
        <v>48844.791054879715</v>
      </c>
      <c r="W138" s="5">
        <v>41022.88688144031</v>
      </c>
      <c r="X138" s="5">
        <v>122193.6681412271</v>
      </c>
      <c r="Y138" s="5">
        <v>101798.38727148066</v>
      </c>
      <c r="Z138" s="121">
        <v>597937.44106994255</v>
      </c>
    </row>
    <row r="139" spans="3:26">
      <c r="C139">
        <f t="shared" si="32"/>
        <v>134</v>
      </c>
      <c r="D139">
        <f t="shared" si="27"/>
        <v>75</v>
      </c>
      <c r="E139" s="5">
        <f t="shared" si="30"/>
        <v>600000</v>
      </c>
      <c r="F139" s="125">
        <f t="shared" si="31"/>
        <v>0.12</v>
      </c>
      <c r="G139" t="s">
        <v>64</v>
      </c>
      <c r="I139" s="104">
        <v>660699.8194509676</v>
      </c>
      <c r="J139" s="5">
        <v>509894.56175735599</v>
      </c>
      <c r="K139" s="5">
        <v>600000</v>
      </c>
      <c r="L139" s="5">
        <v>6000</v>
      </c>
      <c r="M139" s="5">
        <v>110</v>
      </c>
      <c r="N139" s="5">
        <v>699.81945096759591</v>
      </c>
      <c r="O139" s="105" t="s">
        <v>85</v>
      </c>
      <c r="P139" s="105" t="s">
        <v>78</v>
      </c>
      <c r="Q139" s="106">
        <v>40033.620837329974</v>
      </c>
      <c r="R139" s="92">
        <v>35454.442339472356</v>
      </c>
      <c r="S139" s="112">
        <v>5.9090737232453928E-2</v>
      </c>
      <c r="T139" s="104">
        <v>19129.312303576338</v>
      </c>
      <c r="U139" s="5">
        <v>15700.375548325239</v>
      </c>
      <c r="V139" s="104">
        <v>40958.327754556201</v>
      </c>
      <c r="W139" s="5">
        <v>35738.064266998488</v>
      </c>
      <c r="X139" s="5">
        <v>101786.26089546252</v>
      </c>
      <c r="Y139" s="5">
        <v>88175.327757934239</v>
      </c>
      <c r="Z139" s="121">
        <v>598069.88951529027</v>
      </c>
    </row>
    <row r="140" spans="3:26">
      <c r="C140">
        <f t="shared" si="32"/>
        <v>135</v>
      </c>
      <c r="D140">
        <f t="shared" si="27"/>
        <v>80</v>
      </c>
      <c r="E140" s="5">
        <f t="shared" si="30"/>
        <v>600000</v>
      </c>
      <c r="F140" s="125">
        <f t="shared" si="31"/>
        <v>0.12</v>
      </c>
      <c r="G140" t="s">
        <v>64</v>
      </c>
      <c r="I140" s="104">
        <v>660699.8194509676</v>
      </c>
      <c r="J140" s="5">
        <v>509894.56175735599</v>
      </c>
      <c r="K140" s="5">
        <v>600000</v>
      </c>
      <c r="L140" s="5">
        <v>6000</v>
      </c>
      <c r="M140" s="5">
        <v>110</v>
      </c>
      <c r="N140" s="5">
        <v>699.81945096759591</v>
      </c>
      <c r="O140" s="105" t="s">
        <v>85</v>
      </c>
      <c r="P140" s="105" t="s">
        <v>79</v>
      </c>
      <c r="Q140" s="106">
        <v>40033.620837329974</v>
      </c>
      <c r="R140" s="92">
        <v>35454.442339472356</v>
      </c>
      <c r="S140" s="112">
        <v>5.9090737232453928E-2</v>
      </c>
      <c r="T140" s="104">
        <v>19129.312303576338</v>
      </c>
      <c r="U140" s="5">
        <v>15700.375548325239</v>
      </c>
      <c r="V140" s="104">
        <v>40958.327754556201</v>
      </c>
      <c r="W140" s="5">
        <v>35738.064266998488</v>
      </c>
      <c r="X140" s="5">
        <v>101786.26089546252</v>
      </c>
      <c r="Y140" s="5">
        <v>88175.327757934239</v>
      </c>
      <c r="Z140" s="121">
        <v>598069.88951529027</v>
      </c>
    </row>
    <row r="141" spans="3:26">
      <c r="C141" s="40">
        <f t="shared" si="32"/>
        <v>136</v>
      </c>
      <c r="D141" s="40">
        <f t="shared" si="27"/>
        <v>85</v>
      </c>
      <c r="E141" s="43">
        <f t="shared" si="30"/>
        <v>600000</v>
      </c>
      <c r="F141" s="126">
        <f t="shared" si="31"/>
        <v>0.12</v>
      </c>
      <c r="G141" s="40" t="s">
        <v>64</v>
      </c>
      <c r="I141" s="113">
        <v>660699.8194509676</v>
      </c>
      <c r="J141" s="43">
        <v>509894.56175735599</v>
      </c>
      <c r="K141" s="43">
        <v>600000</v>
      </c>
      <c r="L141" s="43">
        <v>6000</v>
      </c>
      <c r="M141" s="43">
        <v>110</v>
      </c>
      <c r="N141" s="43">
        <v>699.81945096759591</v>
      </c>
      <c r="O141" s="81" t="s">
        <v>85</v>
      </c>
      <c r="P141" s="81" t="s">
        <v>80</v>
      </c>
      <c r="Q141" s="114">
        <v>40033.620837329974</v>
      </c>
      <c r="R141" s="88">
        <v>35454.442339472356</v>
      </c>
      <c r="S141" s="93">
        <v>5.9090737232453928E-2</v>
      </c>
      <c r="T141" s="113">
        <v>19129.312303576338</v>
      </c>
      <c r="U141" s="43">
        <v>15700.375548325239</v>
      </c>
      <c r="V141" s="113">
        <v>40958.327754556201</v>
      </c>
      <c r="W141" s="43">
        <v>35738.064266998488</v>
      </c>
      <c r="X141" s="43">
        <v>101786.26089546252</v>
      </c>
      <c r="Y141" s="43">
        <v>88175.327757934239</v>
      </c>
      <c r="Z141" s="122">
        <v>598069.88951529027</v>
      </c>
    </row>
    <row r="142" spans="3:26">
      <c r="C142" s="39">
        <f>C141+1</f>
        <v>137</v>
      </c>
      <c r="D142" s="39">
        <f>D134</f>
        <v>50</v>
      </c>
      <c r="E142" s="82">
        <f>ROUND(E134*1.25/100000,0)*100000</f>
        <v>800000</v>
      </c>
      <c r="F142" s="124">
        <f t="shared" si="31"/>
        <v>5.45E-2</v>
      </c>
      <c r="G142" s="39" t="s">
        <v>64</v>
      </c>
      <c r="I142" s="42">
        <v>1088443.802624264</v>
      </c>
      <c r="J142" s="82">
        <v>570599.37194009288</v>
      </c>
      <c r="K142" s="82">
        <v>800000</v>
      </c>
      <c r="L142" s="82">
        <v>3633.3333333333335</v>
      </c>
      <c r="M142" s="82">
        <v>299</v>
      </c>
      <c r="N142" s="82">
        <v>2077.1359575972892</v>
      </c>
      <c r="O142" s="80" t="s">
        <v>101</v>
      </c>
      <c r="P142" s="80" t="s">
        <v>73</v>
      </c>
      <c r="Q142" s="87">
        <v>124514.71448643597</v>
      </c>
      <c r="R142" s="110">
        <v>84463.660991738172</v>
      </c>
      <c r="S142" s="111">
        <v>0.10557957623967272</v>
      </c>
      <c r="T142" s="42">
        <v>78995.740190552067</v>
      </c>
      <c r="U142" s="82">
        <v>48895.165107330955</v>
      </c>
      <c r="V142" s="42">
        <v>135706.77451453701</v>
      </c>
      <c r="W142" s="82">
        <v>90048.573530581561</v>
      </c>
      <c r="X142" s="82">
        <v>343717.22919152502</v>
      </c>
      <c r="Y142" s="82">
        <v>225764.5714464843</v>
      </c>
      <c r="Z142" s="120">
        <v>796363.94338657719</v>
      </c>
    </row>
    <row r="143" spans="3:26">
      <c r="C143">
        <f t="shared" ref="C143:C149" si="33">C142+1</f>
        <v>138</v>
      </c>
      <c r="D143">
        <f t="shared" si="27"/>
        <v>55</v>
      </c>
      <c r="E143" s="5">
        <f t="shared" si="30"/>
        <v>800000</v>
      </c>
      <c r="F143" s="125">
        <f t="shared" si="31"/>
        <v>6.1499999999999999E-2</v>
      </c>
      <c r="G143" t="s">
        <v>64</v>
      </c>
      <c r="I143" s="104">
        <v>1034215.3986881392</v>
      </c>
      <c r="J143" s="5">
        <v>593411.19984465663</v>
      </c>
      <c r="K143" s="5">
        <v>800000</v>
      </c>
      <c r="L143" s="5">
        <v>4100</v>
      </c>
      <c r="M143" s="5">
        <v>252</v>
      </c>
      <c r="N143" s="5">
        <v>1015.3986881391611</v>
      </c>
      <c r="O143" s="105" t="s">
        <v>81</v>
      </c>
      <c r="P143" s="105" t="s">
        <v>74</v>
      </c>
      <c r="Q143" s="106">
        <v>105886.33780033571</v>
      </c>
      <c r="R143" s="92">
        <v>76716.183214407618</v>
      </c>
      <c r="S143" s="112">
        <v>9.5895229018009523E-2</v>
      </c>
      <c r="T143" s="104">
        <v>64984.39167111073</v>
      </c>
      <c r="U143" s="5">
        <v>43067.162198259648</v>
      </c>
      <c r="V143" s="104">
        <v>114470.42509238269</v>
      </c>
      <c r="W143" s="5">
        <v>81216.448864424616</v>
      </c>
      <c r="X143" s="5">
        <v>289136.15456382913</v>
      </c>
      <c r="Y143" s="5">
        <v>203174.09461962178</v>
      </c>
      <c r="Z143" s="121">
        <v>796585.29446427838</v>
      </c>
    </row>
    <row r="144" spans="3:26">
      <c r="C144">
        <f t="shared" si="33"/>
        <v>139</v>
      </c>
      <c r="D144">
        <f t="shared" si="27"/>
        <v>60</v>
      </c>
      <c r="E144" s="5">
        <f t="shared" si="30"/>
        <v>800000</v>
      </c>
      <c r="F144" s="125">
        <f t="shared" si="31"/>
        <v>7.0000000000000007E-2</v>
      </c>
      <c r="G144" t="s">
        <v>64</v>
      </c>
      <c r="I144" s="104">
        <v>989421.8820889343</v>
      </c>
      <c r="J144" s="5">
        <v>614996.45710954734</v>
      </c>
      <c r="K144" s="5">
        <v>800000</v>
      </c>
      <c r="L144" s="5">
        <v>4666.666666666667</v>
      </c>
      <c r="M144" s="5">
        <v>212</v>
      </c>
      <c r="N144" s="5">
        <v>88.548755600932054</v>
      </c>
      <c r="O144" s="105" t="s">
        <v>102</v>
      </c>
      <c r="P144" s="105" t="s">
        <v>75</v>
      </c>
      <c r="Q144" s="106">
        <v>90497.511074644761</v>
      </c>
      <c r="R144" s="92">
        <v>69389.969646258163</v>
      </c>
      <c r="S144" s="112">
        <v>8.6737462057822706E-2</v>
      </c>
      <c r="T144" s="104">
        <v>53422.926788969366</v>
      </c>
      <c r="U144" s="5">
        <v>37561.638479331988</v>
      </c>
      <c r="V144" s="104">
        <v>96927.162625095094</v>
      </c>
      <c r="W144" s="5">
        <v>72864.565396734222</v>
      </c>
      <c r="X144" s="5">
        <v>244042.60048870923</v>
      </c>
      <c r="Y144" s="5">
        <v>181798.15260743402</v>
      </c>
      <c r="Z144" s="121">
        <v>796794.60971698142</v>
      </c>
    </row>
    <row r="145" spans="3:26">
      <c r="C145">
        <f t="shared" si="33"/>
        <v>140</v>
      </c>
      <c r="D145">
        <f t="shared" si="27"/>
        <v>65</v>
      </c>
      <c r="E145" s="5">
        <f t="shared" si="30"/>
        <v>800000</v>
      </c>
      <c r="F145" s="125">
        <f t="shared" si="31"/>
        <v>0.08</v>
      </c>
      <c r="G145" t="s">
        <v>64</v>
      </c>
      <c r="I145" s="104">
        <v>953361.08830805437</v>
      </c>
      <c r="J145" s="5">
        <v>634564.9132900784</v>
      </c>
      <c r="K145" s="5">
        <v>800000</v>
      </c>
      <c r="L145" s="5">
        <v>5333.333333333333</v>
      </c>
      <c r="M145" s="5">
        <v>178</v>
      </c>
      <c r="N145" s="5">
        <v>4027.754974721116</v>
      </c>
      <c r="O145" s="105" t="s">
        <v>97</v>
      </c>
      <c r="P145" s="105" t="s">
        <v>76</v>
      </c>
      <c r="Q145" s="106">
        <v>78081.605296455586</v>
      </c>
      <c r="R145" s="92">
        <v>62762.741948955751</v>
      </c>
      <c r="S145" s="112">
        <v>7.8453427436194684E-2</v>
      </c>
      <c r="T145" s="104">
        <v>44041.699907330512</v>
      </c>
      <c r="U145" s="5">
        <v>32560.52644132129</v>
      </c>
      <c r="V145" s="104">
        <v>82773.030037959441</v>
      </c>
      <c r="W145" s="5">
        <v>65309.525821809577</v>
      </c>
      <c r="X145" s="5">
        <v>207581.33524174552</v>
      </c>
      <c r="Y145" s="5">
        <v>162419.0411446387</v>
      </c>
      <c r="Z145" s="121">
        <v>796983.95443471707</v>
      </c>
    </row>
    <row r="146" spans="3:26">
      <c r="C146">
        <f t="shared" si="33"/>
        <v>141</v>
      </c>
      <c r="D146">
        <f t="shared" si="27"/>
        <v>70</v>
      </c>
      <c r="E146" s="5">
        <f t="shared" si="30"/>
        <v>800000</v>
      </c>
      <c r="F146" s="125">
        <f t="shared" si="31"/>
        <v>0.1</v>
      </c>
      <c r="G146" t="s">
        <v>64</v>
      </c>
      <c r="I146" s="104">
        <v>908413.78551034234</v>
      </c>
      <c r="J146" s="5">
        <v>661935.39578855527</v>
      </c>
      <c r="K146" s="5">
        <v>800000</v>
      </c>
      <c r="L146" s="5">
        <v>6666.666666666667</v>
      </c>
      <c r="M146" s="5">
        <v>136</v>
      </c>
      <c r="N146" s="5">
        <v>1747.1188436755911</v>
      </c>
      <c r="O146" s="105" t="s">
        <v>100</v>
      </c>
      <c r="P146" s="105" t="s">
        <v>69</v>
      </c>
      <c r="Q146" s="106">
        <v>62645.581586657659</v>
      </c>
      <c r="R146" s="92">
        <v>53481.597036584899</v>
      </c>
      <c r="S146" s="112">
        <v>6.6851996295731117E-2</v>
      </c>
      <c r="T146" s="104">
        <v>32489.342321678309</v>
      </c>
      <c r="U146" s="5">
        <v>25608.082717027799</v>
      </c>
      <c r="V146" s="104">
        <v>65175.963008789739</v>
      </c>
      <c r="W146" s="5">
        <v>54729.020621706797</v>
      </c>
      <c r="X146" s="5">
        <v>162365.88691712572</v>
      </c>
      <c r="Y146" s="5">
        <v>135313.72770991319</v>
      </c>
      <c r="Z146" s="121">
        <v>797249.12349846843</v>
      </c>
    </row>
    <row r="147" spans="3:26">
      <c r="C147">
        <f t="shared" si="33"/>
        <v>142</v>
      </c>
      <c r="D147">
        <f t="shared" si="27"/>
        <v>75</v>
      </c>
      <c r="E147" s="5">
        <f t="shared" si="30"/>
        <v>800000</v>
      </c>
      <c r="F147" s="125">
        <f t="shared" si="31"/>
        <v>0.12</v>
      </c>
      <c r="G147" t="s">
        <v>64</v>
      </c>
      <c r="I147" s="104">
        <v>881569.30382830719</v>
      </c>
      <c r="J147" s="5">
        <v>680229.56750412332</v>
      </c>
      <c r="K147" s="5">
        <v>800000</v>
      </c>
      <c r="L147" s="5">
        <v>8000</v>
      </c>
      <c r="M147" s="5">
        <v>110</v>
      </c>
      <c r="N147" s="5">
        <v>1569.3038283071946</v>
      </c>
      <c r="O147" s="105" t="s">
        <v>85</v>
      </c>
      <c r="P147" s="105" t="s">
        <v>78</v>
      </c>
      <c r="Q147" s="106">
        <v>53406.030132833235</v>
      </c>
      <c r="R147" s="92">
        <v>47292.026817426726</v>
      </c>
      <c r="S147" s="112">
        <v>5.9115033521783406E-2</v>
      </c>
      <c r="T147" s="104">
        <v>25527.683431803285</v>
      </c>
      <c r="U147" s="5">
        <v>20949.013527032777</v>
      </c>
      <c r="V147" s="104">
        <v>54642.874351429899</v>
      </c>
      <c r="W147" s="5">
        <v>47672.910571866509</v>
      </c>
      <c r="X147" s="5">
        <v>135241.5879160664</v>
      </c>
      <c r="Y147" s="5">
        <v>117196.39651946416</v>
      </c>
      <c r="Z147" s="121">
        <v>797425.96402358753</v>
      </c>
    </row>
    <row r="148" spans="3:26">
      <c r="C148">
        <f t="shared" si="33"/>
        <v>143</v>
      </c>
      <c r="D148">
        <f t="shared" si="27"/>
        <v>80</v>
      </c>
      <c r="E148" s="5">
        <f t="shared" si="30"/>
        <v>800000</v>
      </c>
      <c r="F148" s="125">
        <f t="shared" si="31"/>
        <v>0.12</v>
      </c>
      <c r="G148" t="s">
        <v>64</v>
      </c>
      <c r="I148" s="104">
        <v>881569.30382830719</v>
      </c>
      <c r="J148" s="5">
        <v>680229.56750412332</v>
      </c>
      <c r="K148" s="5">
        <v>800000</v>
      </c>
      <c r="L148" s="5">
        <v>8000</v>
      </c>
      <c r="M148" s="5">
        <v>110</v>
      </c>
      <c r="N148" s="5">
        <v>1569.3038283071946</v>
      </c>
      <c r="O148" s="105" t="s">
        <v>85</v>
      </c>
      <c r="P148" s="105" t="s">
        <v>79</v>
      </c>
      <c r="Q148" s="106">
        <v>53406.030132833235</v>
      </c>
      <c r="R148" s="92">
        <v>47292.026817426726</v>
      </c>
      <c r="S148" s="112">
        <v>5.9115033521783406E-2</v>
      </c>
      <c r="T148" s="104">
        <v>25527.683431803285</v>
      </c>
      <c r="U148" s="5">
        <v>20949.013527032777</v>
      </c>
      <c r="V148" s="104">
        <v>54642.874351429899</v>
      </c>
      <c r="W148" s="5">
        <v>47672.910571866509</v>
      </c>
      <c r="X148" s="5">
        <v>135241.5879160664</v>
      </c>
      <c r="Y148" s="5">
        <v>117196.39651946416</v>
      </c>
      <c r="Z148" s="121">
        <v>797425.96402358753</v>
      </c>
    </row>
    <row r="149" spans="3:26">
      <c r="C149" s="40">
        <f t="shared" si="33"/>
        <v>144</v>
      </c>
      <c r="D149" s="40">
        <f t="shared" si="27"/>
        <v>85</v>
      </c>
      <c r="E149" s="43">
        <f t="shared" si="30"/>
        <v>800000</v>
      </c>
      <c r="F149" s="126">
        <f t="shared" si="31"/>
        <v>0.12</v>
      </c>
      <c r="G149" s="40" t="s">
        <v>64</v>
      </c>
      <c r="I149" s="113">
        <v>881569.30382830719</v>
      </c>
      <c r="J149" s="43">
        <v>680229.56750412332</v>
      </c>
      <c r="K149" s="43">
        <v>800000</v>
      </c>
      <c r="L149" s="43">
        <v>8000</v>
      </c>
      <c r="M149" s="43">
        <v>110</v>
      </c>
      <c r="N149" s="43">
        <v>1569.3038283071946</v>
      </c>
      <c r="O149" s="81" t="s">
        <v>85</v>
      </c>
      <c r="P149" s="81" t="s">
        <v>80</v>
      </c>
      <c r="Q149" s="114">
        <v>53406.030132833235</v>
      </c>
      <c r="R149" s="88">
        <v>47292.026817426726</v>
      </c>
      <c r="S149" s="93">
        <v>5.9115033521783406E-2</v>
      </c>
      <c r="T149" s="113">
        <v>25527.683431803285</v>
      </c>
      <c r="U149" s="43">
        <v>20949.013527032777</v>
      </c>
      <c r="V149" s="113">
        <v>54642.874351429899</v>
      </c>
      <c r="W149" s="43">
        <v>47672.910571866509</v>
      </c>
      <c r="X149" s="43">
        <v>135241.5879160664</v>
      </c>
      <c r="Y149" s="43">
        <v>117196.39651946416</v>
      </c>
      <c r="Z149" s="122">
        <v>797425.96402358753</v>
      </c>
    </row>
    <row r="150" spans="3:26">
      <c r="C150" s="39">
        <f>C149+1</f>
        <v>145</v>
      </c>
      <c r="D150" s="39">
        <f>D142</f>
        <v>50</v>
      </c>
      <c r="E150" s="82">
        <f>ROUND(E142*1.25/100000,0)*100000</f>
        <v>1000000</v>
      </c>
      <c r="F150" s="124">
        <f t="shared" si="31"/>
        <v>5.45E-2</v>
      </c>
      <c r="G150" s="39" t="s">
        <v>64</v>
      </c>
      <c r="I150" s="42">
        <v>1362209.6169347286</v>
      </c>
      <c r="J150" s="82">
        <v>713632.06489868159</v>
      </c>
      <c r="K150" s="82">
        <v>1000000</v>
      </c>
      <c r="L150" s="82">
        <v>4541.666666666667</v>
      </c>
      <c r="M150" s="82">
        <v>299</v>
      </c>
      <c r="N150" s="82">
        <v>4251.2836013950873</v>
      </c>
      <c r="O150" s="80" t="s">
        <v>101</v>
      </c>
      <c r="P150" s="80" t="s">
        <v>73</v>
      </c>
      <c r="Q150" s="87">
        <v>155825.04439826313</v>
      </c>
      <c r="R150" s="110">
        <v>105649.80336924945</v>
      </c>
      <c r="S150" s="111">
        <v>0.10564980336924945</v>
      </c>
      <c r="T150" s="42">
        <v>98887.114031206787</v>
      </c>
      <c r="U150" s="82">
        <v>61173.106867325718</v>
      </c>
      <c r="V150" s="42">
        <v>169840.55061401986</v>
      </c>
      <c r="W150" s="82">
        <v>112640.77584094445</v>
      </c>
      <c r="X150" s="82">
        <v>429052.70904348977</v>
      </c>
      <c r="Y150" s="82">
        <v>281820.85789435322</v>
      </c>
      <c r="Z150" s="120">
        <v>995452.92279303481</v>
      </c>
    </row>
    <row r="151" spans="3:26">
      <c r="C151">
        <f t="shared" ref="C151:C157" si="34">C150+1</f>
        <v>146</v>
      </c>
      <c r="D151">
        <f t="shared" si="27"/>
        <v>55</v>
      </c>
      <c r="E151" s="5">
        <f t="shared" si="30"/>
        <v>1000000</v>
      </c>
      <c r="F151" s="125">
        <f t="shared" si="31"/>
        <v>6.1499999999999999E-2</v>
      </c>
      <c r="G151" t="s">
        <v>64</v>
      </c>
      <c r="I151" s="104">
        <v>1294078.9727651104</v>
      </c>
      <c r="J151" s="5">
        <v>742145.10475368903</v>
      </c>
      <c r="K151" s="5">
        <v>1000000</v>
      </c>
      <c r="L151" s="5">
        <v>5125</v>
      </c>
      <c r="M151" s="5">
        <v>252</v>
      </c>
      <c r="N151" s="5">
        <v>2578.9727651104331</v>
      </c>
      <c r="O151" s="105" t="s">
        <v>81</v>
      </c>
      <c r="P151" s="105" t="s">
        <v>74</v>
      </c>
      <c r="Q151" s="106">
        <v>132481.60185348761</v>
      </c>
      <c r="R151" s="92">
        <v>95950.486371119056</v>
      </c>
      <c r="S151" s="112">
        <v>9.5950486371119054E-2</v>
      </c>
      <c r="T151" s="104">
        <v>81327.260899587753</v>
      </c>
      <c r="U151" s="5">
        <v>53876.593407145971</v>
      </c>
      <c r="V151" s="104">
        <v>143229.02611297584</v>
      </c>
      <c r="W151" s="5">
        <v>101583.55446307576</v>
      </c>
      <c r="X151" s="5">
        <v>360832.88886605122</v>
      </c>
      <c r="Y151" s="5">
        <v>253584.93458387072</v>
      </c>
      <c r="Z151" s="121">
        <v>995730.03933755972</v>
      </c>
    </row>
    <row r="152" spans="3:26">
      <c r="C152">
        <f t="shared" si="34"/>
        <v>147</v>
      </c>
      <c r="D152">
        <f t="shared" si="27"/>
        <v>60</v>
      </c>
      <c r="E152" s="5">
        <f t="shared" si="30"/>
        <v>1000000</v>
      </c>
      <c r="F152" s="125">
        <f t="shared" si="31"/>
        <v>7.0000000000000007E-2</v>
      </c>
      <c r="G152" t="s">
        <v>64</v>
      </c>
      <c r="I152" s="104">
        <v>1237827.5645384754</v>
      </c>
      <c r="J152" s="5">
        <v>769117.02628802438</v>
      </c>
      <c r="K152" s="5">
        <v>1000000</v>
      </c>
      <c r="L152" s="5">
        <v>5833.333333333333</v>
      </c>
      <c r="M152" s="5">
        <v>212</v>
      </c>
      <c r="N152" s="5">
        <v>1160.8978718088474</v>
      </c>
      <c r="O152" s="105" t="s">
        <v>102</v>
      </c>
      <c r="P152" s="105" t="s">
        <v>75</v>
      </c>
      <c r="Q152" s="106">
        <v>113206.39052645976</v>
      </c>
      <c r="R152" s="92">
        <v>86780.207585596931</v>
      </c>
      <c r="S152" s="112">
        <v>8.678020758559693E-2</v>
      </c>
      <c r="T152" s="104">
        <v>66839.942415682512</v>
      </c>
      <c r="U152" s="5">
        <v>46983.39126907623</v>
      </c>
      <c r="V152" s="104">
        <v>121255.28520016425</v>
      </c>
      <c r="W152" s="5">
        <v>91129.436647580427</v>
      </c>
      <c r="X152" s="5">
        <v>304496.61814230651</v>
      </c>
      <c r="Y152" s="5">
        <v>226875.01458736323</v>
      </c>
      <c r="Z152" s="121">
        <v>995992.04087538761</v>
      </c>
    </row>
    <row r="153" spans="3:26">
      <c r="C153">
        <f t="shared" si="34"/>
        <v>148</v>
      </c>
      <c r="D153">
        <f t="shared" si="27"/>
        <v>65</v>
      </c>
      <c r="E153" s="5">
        <f t="shared" si="30"/>
        <v>1000000</v>
      </c>
      <c r="F153" s="125">
        <f t="shared" si="31"/>
        <v>0.08</v>
      </c>
      <c r="G153" t="s">
        <v>64</v>
      </c>
      <c r="I153" s="104">
        <v>1192546.0894581527</v>
      </c>
      <c r="J153" s="5">
        <v>793558.83425172034</v>
      </c>
      <c r="K153" s="5">
        <v>1000000</v>
      </c>
      <c r="L153" s="5">
        <v>6666.666666666667</v>
      </c>
      <c r="M153" s="5">
        <v>178</v>
      </c>
      <c r="N153" s="5">
        <v>5879.4227914859075</v>
      </c>
      <c r="O153" s="105" t="s">
        <v>97</v>
      </c>
      <c r="P153" s="105" t="s">
        <v>76</v>
      </c>
      <c r="Q153" s="106">
        <v>97659.866464095074</v>
      </c>
      <c r="R153" s="92">
        <v>78485.97909338231</v>
      </c>
      <c r="S153" s="112">
        <v>7.8485979093382313E-2</v>
      </c>
      <c r="T153" s="104">
        <v>55092.788602811372</v>
      </c>
      <c r="U153" s="5">
        <v>40723.936574758518</v>
      </c>
      <c r="V153" s="104">
        <v>103532.24776906839</v>
      </c>
      <c r="W153" s="5">
        <v>81674.016166455811</v>
      </c>
      <c r="X153" s="5">
        <v>258969.90283597482</v>
      </c>
      <c r="Y153" s="5">
        <v>202670.17876714873</v>
      </c>
      <c r="Z153" s="121">
        <v>996229.0130188691</v>
      </c>
    </row>
    <row r="154" spans="3:26">
      <c r="C154">
        <f t="shared" si="34"/>
        <v>149</v>
      </c>
      <c r="D154">
        <f t="shared" si="27"/>
        <v>70</v>
      </c>
      <c r="E154" s="5">
        <f t="shared" si="30"/>
        <v>1000000</v>
      </c>
      <c r="F154" s="125">
        <f t="shared" si="31"/>
        <v>0.1</v>
      </c>
      <c r="G154" t="s">
        <v>64</v>
      </c>
      <c r="I154" s="104">
        <v>1136126.9915564833</v>
      </c>
      <c r="J154" s="5">
        <v>827731.73777864536</v>
      </c>
      <c r="K154" s="5">
        <v>1000000</v>
      </c>
      <c r="L154" s="5">
        <v>8333.3333333333339</v>
      </c>
      <c r="M154" s="5">
        <v>136</v>
      </c>
      <c r="N154" s="5">
        <v>2793.6582231498323</v>
      </c>
      <c r="O154" s="105" t="s">
        <v>100</v>
      </c>
      <c r="P154" s="105" t="s">
        <v>69</v>
      </c>
      <c r="Q154" s="106">
        <v>78339.592072543106</v>
      </c>
      <c r="R154" s="92">
        <v>66872.942422783235</v>
      </c>
      <c r="S154" s="112">
        <v>6.687294242278323E-2</v>
      </c>
      <c r="T154" s="104">
        <v>40636.37865778058</v>
      </c>
      <c r="U154" s="5">
        <v>32025.944028994963</v>
      </c>
      <c r="V154" s="104">
        <v>81507.134962699143</v>
      </c>
      <c r="W154" s="5">
        <v>68435.154361972876</v>
      </c>
      <c r="X154" s="5">
        <v>202538.10569302284</v>
      </c>
      <c r="Y154" s="5">
        <v>168829.06814834478</v>
      </c>
      <c r="Z154" s="121">
        <v>996560.80592699011</v>
      </c>
    </row>
    <row r="155" spans="3:26">
      <c r="C155">
        <f t="shared" si="34"/>
        <v>150</v>
      </c>
      <c r="D155">
        <f t="shared" si="27"/>
        <v>75</v>
      </c>
      <c r="E155" s="5">
        <f t="shared" si="30"/>
        <v>1000000</v>
      </c>
      <c r="F155" s="125">
        <f t="shared" si="31"/>
        <v>0.12</v>
      </c>
      <c r="G155" t="s">
        <v>64</v>
      </c>
      <c r="I155" s="104">
        <v>1102438.7882056474</v>
      </c>
      <c r="J155" s="5">
        <v>850564.57325089059</v>
      </c>
      <c r="K155" s="5">
        <v>1000000</v>
      </c>
      <c r="L155" s="5">
        <v>10000</v>
      </c>
      <c r="M155" s="5">
        <v>110</v>
      </c>
      <c r="N155" s="5">
        <v>2438.7882056473754</v>
      </c>
      <c r="O155" s="105" t="s">
        <v>85</v>
      </c>
      <c r="P155" s="105" t="s">
        <v>78</v>
      </c>
      <c r="Q155" s="106">
        <v>66778.439428336525</v>
      </c>
      <c r="R155" s="92">
        <v>59129.611295381132</v>
      </c>
      <c r="S155" s="112">
        <v>5.9129611295381135E-2</v>
      </c>
      <c r="T155" s="104">
        <v>31926.05456003025</v>
      </c>
      <c r="U155" s="5">
        <v>26197.65150574033</v>
      </c>
      <c r="V155" s="104">
        <v>68327.420948303625</v>
      </c>
      <c r="W155" s="5">
        <v>59607.756876734493</v>
      </c>
      <c r="X155" s="5">
        <v>168696.91493667039</v>
      </c>
      <c r="Y155" s="5">
        <v>146217.4652809941</v>
      </c>
      <c r="Z155" s="121">
        <v>996782.03853188467</v>
      </c>
    </row>
    <row r="156" spans="3:26">
      <c r="C156">
        <f t="shared" si="34"/>
        <v>151</v>
      </c>
      <c r="D156">
        <f t="shared" si="27"/>
        <v>80</v>
      </c>
      <c r="E156" s="5">
        <f t="shared" si="30"/>
        <v>1000000</v>
      </c>
      <c r="F156" s="125">
        <f t="shared" si="31"/>
        <v>0.12</v>
      </c>
      <c r="G156" t="s">
        <v>64</v>
      </c>
      <c r="I156" s="104">
        <v>1102438.7882056474</v>
      </c>
      <c r="J156" s="5">
        <v>850564.57325089059</v>
      </c>
      <c r="K156" s="5">
        <v>1000000</v>
      </c>
      <c r="L156" s="5">
        <v>10000</v>
      </c>
      <c r="M156" s="5">
        <v>110</v>
      </c>
      <c r="N156" s="5">
        <v>2438.7882056473754</v>
      </c>
      <c r="O156" s="105" t="s">
        <v>85</v>
      </c>
      <c r="P156" s="105" t="s">
        <v>79</v>
      </c>
      <c r="Q156" s="106">
        <v>66778.439428336525</v>
      </c>
      <c r="R156" s="92">
        <v>59129.611295381132</v>
      </c>
      <c r="S156" s="112">
        <v>5.9129611295381135E-2</v>
      </c>
      <c r="T156" s="104">
        <v>31926.05456003025</v>
      </c>
      <c r="U156" s="5">
        <v>26197.65150574033</v>
      </c>
      <c r="V156" s="104">
        <v>68327.420948303625</v>
      </c>
      <c r="W156" s="5">
        <v>59607.756876734493</v>
      </c>
      <c r="X156" s="5">
        <v>168696.91493667039</v>
      </c>
      <c r="Y156" s="5">
        <v>146217.4652809941</v>
      </c>
      <c r="Z156" s="121">
        <v>996782.03853188467</v>
      </c>
    </row>
    <row r="157" spans="3:26">
      <c r="C157" s="40">
        <f t="shared" si="34"/>
        <v>152</v>
      </c>
      <c r="D157" s="40">
        <f t="shared" si="27"/>
        <v>85</v>
      </c>
      <c r="E157" s="43">
        <f t="shared" si="30"/>
        <v>1000000</v>
      </c>
      <c r="F157" s="126">
        <f t="shared" si="31"/>
        <v>0.12</v>
      </c>
      <c r="G157" s="40" t="s">
        <v>64</v>
      </c>
      <c r="I157" s="113">
        <v>1102438.7882056474</v>
      </c>
      <c r="J157" s="43">
        <v>850564.57325089059</v>
      </c>
      <c r="K157" s="43">
        <v>1000000</v>
      </c>
      <c r="L157" s="43">
        <v>10000</v>
      </c>
      <c r="M157" s="43">
        <v>110</v>
      </c>
      <c r="N157" s="43">
        <v>2438.7882056473754</v>
      </c>
      <c r="O157" s="81" t="s">
        <v>85</v>
      </c>
      <c r="P157" s="81" t="s">
        <v>80</v>
      </c>
      <c r="Q157" s="114">
        <v>66778.439428336525</v>
      </c>
      <c r="R157" s="88">
        <v>59129.611295381132</v>
      </c>
      <c r="S157" s="93">
        <v>5.9129611295381135E-2</v>
      </c>
      <c r="T157" s="113">
        <v>31926.05456003025</v>
      </c>
      <c r="U157" s="43">
        <v>26197.65150574033</v>
      </c>
      <c r="V157" s="113">
        <v>68327.420948303625</v>
      </c>
      <c r="W157" s="43">
        <v>59607.756876734493</v>
      </c>
      <c r="X157" s="43">
        <v>168696.91493667039</v>
      </c>
      <c r="Y157" s="43">
        <v>146217.4652809941</v>
      </c>
      <c r="Z157" s="122">
        <v>996782.03853188467</v>
      </c>
    </row>
    <row r="158" spans="3:26">
      <c r="C158" s="39">
        <f>C157+1</f>
        <v>153</v>
      </c>
      <c r="D158" s="39">
        <f>D150</f>
        <v>50</v>
      </c>
      <c r="E158" s="82">
        <f>ROUND(E150*1.25/100000,0)*100000</f>
        <v>1300000</v>
      </c>
      <c r="F158" s="124">
        <f t="shared" si="31"/>
        <v>5.45E-2</v>
      </c>
      <c r="G158" s="39" t="s">
        <v>64</v>
      </c>
      <c r="I158" s="42">
        <v>1772848.2988654072</v>
      </c>
      <c r="J158" s="82">
        <v>928176.98186270811</v>
      </c>
      <c r="K158" s="82">
        <v>1300000</v>
      </c>
      <c r="L158" s="82">
        <v>5904.166666666667</v>
      </c>
      <c r="M158" s="82">
        <v>300</v>
      </c>
      <c r="N158" s="82">
        <v>1598.2988654072396</v>
      </c>
      <c r="O158" s="80" t="s">
        <v>86</v>
      </c>
      <c r="P158" s="80" t="s">
        <v>73</v>
      </c>
      <c r="Q158" s="87">
        <v>202791.87954799784</v>
      </c>
      <c r="R158" s="110">
        <v>137429.3254982502</v>
      </c>
      <c r="S158" s="111">
        <v>0.10571486576788476</v>
      </c>
      <c r="T158" s="42">
        <v>128724.17479218422</v>
      </c>
      <c r="U158" s="82">
        <v>79590.019507315796</v>
      </c>
      <c r="V158" s="42">
        <v>221042.74268471755</v>
      </c>
      <c r="W158" s="82">
        <v>146529.43106800527</v>
      </c>
      <c r="X158" s="82">
        <v>557073.79702489963</v>
      </c>
      <c r="Y158" s="82">
        <v>365909.40122413676</v>
      </c>
      <c r="Z158" s="120">
        <v>1294086.3830868448</v>
      </c>
    </row>
    <row r="159" spans="3:26">
      <c r="C159">
        <f t="shared" ref="C159:C165" si="35">C158+1</f>
        <v>154</v>
      </c>
      <c r="D159">
        <f t="shared" si="27"/>
        <v>55</v>
      </c>
      <c r="E159" s="5">
        <f t="shared" si="30"/>
        <v>1300000</v>
      </c>
      <c r="F159" s="125">
        <f t="shared" si="31"/>
        <v>6.1499999999999999E-2</v>
      </c>
      <c r="G159" t="s">
        <v>64</v>
      </c>
      <c r="I159" s="104">
        <v>1683874.33388057</v>
      </c>
      <c r="J159" s="5">
        <v>965245.96211723879</v>
      </c>
      <c r="K159" s="5">
        <v>1300000</v>
      </c>
      <c r="L159" s="5">
        <v>6662.5</v>
      </c>
      <c r="M159" s="5">
        <v>252</v>
      </c>
      <c r="N159" s="5">
        <v>4924.3338805700187</v>
      </c>
      <c r="O159" s="105" t="s">
        <v>81</v>
      </c>
      <c r="P159" s="105" t="s">
        <v>74</v>
      </c>
      <c r="Q159" s="106">
        <v>172374.49793321596</v>
      </c>
      <c r="R159" s="92">
        <v>124801.94110618655</v>
      </c>
      <c r="S159" s="112">
        <v>9.6001493158605039E-2</v>
      </c>
      <c r="T159" s="104">
        <v>105841.56474230364</v>
      </c>
      <c r="U159" s="5">
        <v>70090.740220475651</v>
      </c>
      <c r="V159" s="104">
        <v>186366.92764386622</v>
      </c>
      <c r="W159" s="5">
        <v>132134.2128610526</v>
      </c>
      <c r="X159" s="5">
        <v>468377.99031938583</v>
      </c>
      <c r="Y159" s="5">
        <v>329201.19453024468</v>
      </c>
      <c r="Z159" s="121">
        <v>1294447.1566474834</v>
      </c>
    </row>
    <row r="160" spans="3:26">
      <c r="C160">
        <f t="shared" si="35"/>
        <v>155</v>
      </c>
      <c r="D160">
        <f t="shared" si="27"/>
        <v>60</v>
      </c>
      <c r="E160" s="5">
        <f t="shared" si="30"/>
        <v>1300000</v>
      </c>
      <c r="F160" s="125">
        <f t="shared" si="31"/>
        <v>7.0000000000000007E-2</v>
      </c>
      <c r="G160" t="s">
        <v>64</v>
      </c>
      <c r="I160" s="104">
        <v>1610436.0882127974</v>
      </c>
      <c r="J160" s="5">
        <v>1000297.8800557482</v>
      </c>
      <c r="K160" s="5">
        <v>1300000</v>
      </c>
      <c r="L160" s="5">
        <v>7583.3333333333348</v>
      </c>
      <c r="M160" s="5">
        <v>212</v>
      </c>
      <c r="N160" s="5">
        <v>2769.4215461304411</v>
      </c>
      <c r="O160" s="105" t="s">
        <v>102</v>
      </c>
      <c r="P160" s="105" t="s">
        <v>75</v>
      </c>
      <c r="Q160" s="106">
        <v>147269.70970418485</v>
      </c>
      <c r="R160" s="92">
        <v>112865.56449460646</v>
      </c>
      <c r="S160" s="112">
        <v>8.6819664995851115E-2</v>
      </c>
      <c r="T160" s="104">
        <v>86965.465855754039</v>
      </c>
      <c r="U160" s="5">
        <v>61116.020453693665</v>
      </c>
      <c r="V160" s="104">
        <v>157747.46906277072</v>
      </c>
      <c r="W160" s="5">
        <v>118526.7435238514</v>
      </c>
      <c r="X160" s="5">
        <v>395177.6446227096</v>
      </c>
      <c r="Y160" s="5">
        <v>294490.3075572612</v>
      </c>
      <c r="Z160" s="121">
        <v>1294788.1876130095</v>
      </c>
    </row>
    <row r="161" spans="3:26">
      <c r="C161">
        <f t="shared" si="35"/>
        <v>156</v>
      </c>
      <c r="D161">
        <f t="shared" si="27"/>
        <v>65</v>
      </c>
      <c r="E161" s="5">
        <f t="shared" si="30"/>
        <v>1300000</v>
      </c>
      <c r="F161" s="125">
        <f t="shared" si="31"/>
        <v>0.08</v>
      </c>
      <c r="G161" t="s">
        <v>64</v>
      </c>
      <c r="I161" s="104">
        <v>1551323.5911832938</v>
      </c>
      <c r="J161" s="5">
        <v>1032049.7156941766</v>
      </c>
      <c r="K161" s="5">
        <v>1300000</v>
      </c>
      <c r="L161" s="5">
        <v>8666.6666666666661</v>
      </c>
      <c r="M161" s="5">
        <v>178</v>
      </c>
      <c r="N161" s="5">
        <v>8656.9245166273322</v>
      </c>
      <c r="O161" s="105" t="s">
        <v>97</v>
      </c>
      <c r="P161" s="105" t="s">
        <v>76</v>
      </c>
      <c r="Q161" s="106">
        <v>127027.2582155526</v>
      </c>
      <c r="R161" s="92">
        <v>102070.83481002109</v>
      </c>
      <c r="S161" s="112">
        <v>7.8516026776939293E-2</v>
      </c>
      <c r="T161" s="104">
        <v>71669.421646031435</v>
      </c>
      <c r="U161" s="5">
        <v>52969.051774913598</v>
      </c>
      <c r="V161" s="104">
        <v>134671.07436572996</v>
      </c>
      <c r="W161" s="5">
        <v>106220.75168342397</v>
      </c>
      <c r="X161" s="5">
        <v>336052.75422731403</v>
      </c>
      <c r="Y161" s="5">
        <v>263046.88520091074</v>
      </c>
      <c r="Z161" s="121">
        <v>1295096.6008950872</v>
      </c>
    </row>
    <row r="162" spans="3:26">
      <c r="C162">
        <f t="shared" si="35"/>
        <v>157</v>
      </c>
      <c r="D162">
        <f t="shared" si="27"/>
        <v>70</v>
      </c>
      <c r="E162" s="5">
        <f t="shared" si="30"/>
        <v>1300000</v>
      </c>
      <c r="F162" s="125">
        <f t="shared" si="31"/>
        <v>0.1</v>
      </c>
      <c r="G162" t="s">
        <v>64</v>
      </c>
      <c r="I162" s="104">
        <v>1477696.8006256986</v>
      </c>
      <c r="J162" s="5">
        <v>1076426.2507637858</v>
      </c>
      <c r="K162" s="5">
        <v>1300000</v>
      </c>
      <c r="L162" s="5">
        <v>10833.333333333334</v>
      </c>
      <c r="M162" s="5">
        <v>136</v>
      </c>
      <c r="N162" s="5">
        <v>4363.4672923651524</v>
      </c>
      <c r="O162" s="105" t="s">
        <v>100</v>
      </c>
      <c r="P162" s="105" t="s">
        <v>69</v>
      </c>
      <c r="Q162" s="106">
        <v>101880.60780137216</v>
      </c>
      <c r="R162" s="92">
        <v>86959.960502081361</v>
      </c>
      <c r="S162" s="112">
        <v>6.6892277309293355E-2</v>
      </c>
      <c r="T162" s="104">
        <v>52856.933161934656</v>
      </c>
      <c r="U162" s="5">
        <v>41652.735996946161</v>
      </c>
      <c r="V162" s="104">
        <v>106003.89289356431</v>
      </c>
      <c r="W162" s="5">
        <v>88994.354972372734</v>
      </c>
      <c r="X162" s="5">
        <v>262796.4338568711</v>
      </c>
      <c r="Y162" s="5">
        <v>219102.07880599395</v>
      </c>
      <c r="Z162" s="121">
        <v>1295528.3295697798</v>
      </c>
    </row>
    <row r="163" spans="3:26">
      <c r="C163">
        <f t="shared" si="35"/>
        <v>158</v>
      </c>
      <c r="D163">
        <f t="shared" si="27"/>
        <v>75</v>
      </c>
      <c r="E163" s="5">
        <f t="shared" si="30"/>
        <v>1300000</v>
      </c>
      <c r="F163" s="125">
        <f t="shared" si="31"/>
        <v>0.12</v>
      </c>
      <c r="G163" t="s">
        <v>64</v>
      </c>
      <c r="I163" s="104">
        <v>1433743.014771658</v>
      </c>
      <c r="J163" s="5">
        <v>1106067.0818710418</v>
      </c>
      <c r="K163" s="5">
        <v>1300000</v>
      </c>
      <c r="L163" s="5">
        <v>13000</v>
      </c>
      <c r="M163" s="5">
        <v>110</v>
      </c>
      <c r="N163" s="5">
        <v>3743.0147716579959</v>
      </c>
      <c r="O163" s="105" t="s">
        <v>85</v>
      </c>
      <c r="P163" s="105" t="s">
        <v>78</v>
      </c>
      <c r="Q163" s="106">
        <v>86837.053371591464</v>
      </c>
      <c r="R163" s="92">
        <v>76885.988012312737</v>
      </c>
      <c r="S163" s="112">
        <v>5.9143067701779031E-2</v>
      </c>
      <c r="T163" s="104">
        <v>41523.611252370727</v>
      </c>
      <c r="U163" s="5">
        <v>34070.608473801673</v>
      </c>
      <c r="V163" s="104">
        <v>88854.240843614301</v>
      </c>
      <c r="W163" s="5">
        <v>77510.026334036578</v>
      </c>
      <c r="X163" s="5">
        <v>218879.90546757649</v>
      </c>
      <c r="Y163" s="5">
        <v>189749.06842328914</v>
      </c>
      <c r="Z163" s="121">
        <v>1295816.1502943309</v>
      </c>
    </row>
    <row r="164" spans="3:26">
      <c r="C164">
        <f t="shared" si="35"/>
        <v>159</v>
      </c>
      <c r="D164">
        <f t="shared" si="27"/>
        <v>80</v>
      </c>
      <c r="E164" s="5">
        <f t="shared" si="30"/>
        <v>1300000</v>
      </c>
      <c r="F164" s="125">
        <f t="shared" si="31"/>
        <v>0.12</v>
      </c>
      <c r="G164" t="s">
        <v>64</v>
      </c>
      <c r="I164" s="104">
        <v>1433743.014771658</v>
      </c>
      <c r="J164" s="5">
        <v>1106067.0818710418</v>
      </c>
      <c r="K164" s="5">
        <v>1300000</v>
      </c>
      <c r="L164" s="5">
        <v>13000</v>
      </c>
      <c r="M164" s="5">
        <v>110</v>
      </c>
      <c r="N164" s="5">
        <v>3743.0147716579959</v>
      </c>
      <c r="O164" s="105" t="s">
        <v>85</v>
      </c>
      <c r="P164" s="105" t="s">
        <v>79</v>
      </c>
      <c r="Q164" s="106">
        <v>86837.053371591464</v>
      </c>
      <c r="R164" s="92">
        <v>76885.988012312737</v>
      </c>
      <c r="S164" s="112">
        <v>5.9143067701779031E-2</v>
      </c>
      <c r="T164" s="104">
        <v>41523.611252370727</v>
      </c>
      <c r="U164" s="5">
        <v>34070.608473801673</v>
      </c>
      <c r="V164" s="104">
        <v>88854.240843614301</v>
      </c>
      <c r="W164" s="5">
        <v>77510.026334036578</v>
      </c>
      <c r="X164" s="5">
        <v>218879.90546757649</v>
      </c>
      <c r="Y164" s="5">
        <v>189749.06842328914</v>
      </c>
      <c r="Z164" s="121">
        <v>1295816.1502943309</v>
      </c>
    </row>
    <row r="165" spans="3:26">
      <c r="C165" s="40">
        <f t="shared" si="35"/>
        <v>160</v>
      </c>
      <c r="D165" s="40">
        <f t="shared" si="27"/>
        <v>85</v>
      </c>
      <c r="E165" s="43">
        <f t="shared" si="30"/>
        <v>1300000</v>
      </c>
      <c r="F165" s="126">
        <f t="shared" si="31"/>
        <v>0.12</v>
      </c>
      <c r="G165" s="40" t="s">
        <v>64</v>
      </c>
      <c r="I165" s="113">
        <v>1433743.014771658</v>
      </c>
      <c r="J165" s="43">
        <v>1106067.0818710418</v>
      </c>
      <c r="K165" s="43">
        <v>1300000</v>
      </c>
      <c r="L165" s="43">
        <v>13000</v>
      </c>
      <c r="M165" s="43">
        <v>110</v>
      </c>
      <c r="N165" s="43">
        <v>3743.0147716579959</v>
      </c>
      <c r="O165" s="81" t="s">
        <v>85</v>
      </c>
      <c r="P165" s="81" t="s">
        <v>80</v>
      </c>
      <c r="Q165" s="114">
        <v>86837.053371591464</v>
      </c>
      <c r="R165" s="88">
        <v>76885.988012312737</v>
      </c>
      <c r="S165" s="93">
        <v>5.9143067701779031E-2</v>
      </c>
      <c r="T165" s="113">
        <v>41523.611252370727</v>
      </c>
      <c r="U165" s="43">
        <v>34070.608473801673</v>
      </c>
      <c r="V165" s="113">
        <v>88854.240843614301</v>
      </c>
      <c r="W165" s="43">
        <v>77510.026334036578</v>
      </c>
      <c r="X165" s="43">
        <v>218879.90546757649</v>
      </c>
      <c r="Y165" s="43">
        <v>189749.06842328914</v>
      </c>
      <c r="Z165" s="122">
        <v>1295816.1502943309</v>
      </c>
    </row>
    <row r="166" spans="3:26">
      <c r="C166" s="39">
        <f>C165+1</f>
        <v>161</v>
      </c>
      <c r="D166" s="39">
        <f>D158</f>
        <v>50</v>
      </c>
      <c r="E166" s="82">
        <f>ROUND(E158*1.25/100000,0)*100000</f>
        <v>1600000</v>
      </c>
      <c r="F166" s="124">
        <f t="shared" si="31"/>
        <v>5.45E-2</v>
      </c>
      <c r="G166" s="39" t="s">
        <v>64</v>
      </c>
      <c r="I166" s="42">
        <v>2183502.8764005336</v>
      </c>
      <c r="J166" s="82">
        <v>1142725.2313482298</v>
      </c>
      <c r="K166" s="82">
        <v>1600000</v>
      </c>
      <c r="L166" s="82">
        <v>7266.666666666667</v>
      </c>
      <c r="M166" s="82">
        <v>300</v>
      </c>
      <c r="N166" s="82">
        <v>3502.8764005335979</v>
      </c>
      <c r="O166" s="80" t="s">
        <v>86</v>
      </c>
      <c r="P166" s="80" t="s">
        <v>73</v>
      </c>
      <c r="Q166" s="87">
        <v>249758.95668362072</v>
      </c>
      <c r="R166" s="110">
        <v>169208.90333778618</v>
      </c>
      <c r="S166" s="111">
        <v>0.10575556458611636</v>
      </c>
      <c r="T166" s="42">
        <v>158561.23555316185</v>
      </c>
      <c r="U166" s="82">
        <v>98006.932147306085</v>
      </c>
      <c r="V166" s="42">
        <v>272245.21061932761</v>
      </c>
      <c r="W166" s="82">
        <v>180418.14980507619</v>
      </c>
      <c r="X166" s="82">
        <v>685080.40285611013</v>
      </c>
      <c r="Y166" s="82">
        <v>449994.6104407339</v>
      </c>
      <c r="Z166" s="120">
        <v>1592719.8417889636</v>
      </c>
    </row>
    <row r="167" spans="3:26">
      <c r="C167">
        <f t="shared" ref="C167:C173" si="36">C166+1</f>
        <v>162</v>
      </c>
      <c r="D167">
        <f t="shared" si="27"/>
        <v>55</v>
      </c>
      <c r="E167" s="5">
        <f t="shared" si="30"/>
        <v>1600000</v>
      </c>
      <c r="F167" s="125">
        <f t="shared" si="31"/>
        <v>6.1499999999999999E-2</v>
      </c>
      <c r="G167" t="s">
        <v>64</v>
      </c>
      <c r="I167" s="104">
        <v>2073669.6949960322</v>
      </c>
      <c r="J167" s="5">
        <v>1188346.8194807891</v>
      </c>
      <c r="K167" s="5">
        <v>1600000</v>
      </c>
      <c r="L167" s="5">
        <v>8200</v>
      </c>
      <c r="M167" s="5">
        <v>252</v>
      </c>
      <c r="N167" s="5">
        <v>7269.6949960321654</v>
      </c>
      <c r="O167" s="105" t="s">
        <v>81</v>
      </c>
      <c r="P167" s="105" t="s">
        <v>74</v>
      </c>
      <c r="Q167" s="106">
        <v>212267.39401294477</v>
      </c>
      <c r="R167" s="92">
        <v>153653.39584125424</v>
      </c>
      <c r="S167" s="112">
        <v>9.6033372400783898E-2</v>
      </c>
      <c r="T167" s="104">
        <v>130355.86858501985</v>
      </c>
      <c r="U167" s="5">
        <v>86304.887033805484</v>
      </c>
      <c r="V167" s="104">
        <v>229504.82917475695</v>
      </c>
      <c r="W167" s="5">
        <v>162684.87125902975</v>
      </c>
      <c r="X167" s="5">
        <v>575923.09177272161</v>
      </c>
      <c r="Y167" s="5">
        <v>404817.45447661937</v>
      </c>
      <c r="Z167" s="121">
        <v>1593164.2739574085</v>
      </c>
    </row>
    <row r="168" spans="3:26">
      <c r="C168">
        <f t="shared" si="36"/>
        <v>163</v>
      </c>
      <c r="D168">
        <f t="shared" si="27"/>
        <v>60</v>
      </c>
      <c r="E168" s="5">
        <f t="shared" si="30"/>
        <v>1600000</v>
      </c>
      <c r="F168" s="125">
        <f t="shared" si="31"/>
        <v>7.0000000000000007E-2</v>
      </c>
      <c r="G168" t="s">
        <v>64</v>
      </c>
      <c r="I168" s="104">
        <v>1983044.6118871199</v>
      </c>
      <c r="J168" s="5">
        <v>1231478.7338234717</v>
      </c>
      <c r="K168" s="5">
        <v>1600000</v>
      </c>
      <c r="L168" s="5">
        <v>9333.3333333333339</v>
      </c>
      <c r="M168" s="5">
        <v>212</v>
      </c>
      <c r="N168" s="5">
        <v>4377.945220453199</v>
      </c>
      <c r="O168" s="105" t="s">
        <v>102</v>
      </c>
      <c r="P168" s="105" t="s">
        <v>75</v>
      </c>
      <c r="Q168" s="106">
        <v>181333.02888190947</v>
      </c>
      <c r="R168" s="92">
        <v>138950.92140361579</v>
      </c>
      <c r="S168" s="112">
        <v>8.6844325877259876E-2</v>
      </c>
      <c r="T168" s="104">
        <v>107090.98929582536</v>
      </c>
      <c r="U168" s="5">
        <v>75248.649638310904</v>
      </c>
      <c r="V168" s="104">
        <v>194239.65292537678</v>
      </c>
      <c r="W168" s="5">
        <v>145924.05040012207</v>
      </c>
      <c r="X168" s="5">
        <v>485858.67110311158</v>
      </c>
      <c r="Y168" s="5">
        <v>362105.60052715841</v>
      </c>
      <c r="Z168" s="121">
        <v>1593584.3343506302</v>
      </c>
    </row>
    <row r="169" spans="3:26">
      <c r="C169">
        <f t="shared" si="36"/>
        <v>164</v>
      </c>
      <c r="D169">
        <f t="shared" si="27"/>
        <v>65</v>
      </c>
      <c r="E169" s="5">
        <f t="shared" si="30"/>
        <v>1600000</v>
      </c>
      <c r="F169" s="125">
        <f t="shared" si="31"/>
        <v>0.08</v>
      </c>
      <c r="G169" t="s">
        <v>64</v>
      </c>
      <c r="I169" s="104">
        <v>1910082.7026489319</v>
      </c>
      <c r="J169" s="5">
        <v>1270531.3958570503</v>
      </c>
      <c r="K169" s="5">
        <v>1600000</v>
      </c>
      <c r="L169" s="5">
        <v>10666.666666666666</v>
      </c>
      <c r="M169" s="5">
        <v>179</v>
      </c>
      <c r="N169" s="5">
        <v>749.36931559862569</v>
      </c>
      <c r="O169" s="105" t="s">
        <v>103</v>
      </c>
      <c r="P169" s="105" t="s">
        <v>76</v>
      </c>
      <c r="Q169" s="106">
        <v>156395.28976665618</v>
      </c>
      <c r="R169" s="92">
        <v>125655.95635656588</v>
      </c>
      <c r="S169" s="112">
        <v>7.8534972722853674E-2</v>
      </c>
      <c r="T169" s="104">
        <v>88251.812886064843</v>
      </c>
      <c r="U169" s="5">
        <v>65216.559444222425</v>
      </c>
      <c r="V169" s="104">
        <v>165810.63033398805</v>
      </c>
      <c r="W169" s="5">
        <v>130767.79024648511</v>
      </c>
      <c r="X169" s="5">
        <v>413157.7329867091</v>
      </c>
      <c r="Y169" s="5">
        <v>323432.7853193006</v>
      </c>
      <c r="Z169" s="121">
        <v>1593964.1811763509</v>
      </c>
    </row>
    <row r="170" spans="3:26">
      <c r="C170">
        <f t="shared" si="36"/>
        <v>165</v>
      </c>
      <c r="D170">
        <f t="shared" si="27"/>
        <v>70</v>
      </c>
      <c r="E170" s="5">
        <f t="shared" si="30"/>
        <v>1600000</v>
      </c>
      <c r="F170" s="125">
        <f t="shared" si="31"/>
        <v>0.1</v>
      </c>
      <c r="G170" t="s">
        <v>64</v>
      </c>
      <c r="I170" s="104">
        <v>1819266.6096949149</v>
      </c>
      <c r="J170" s="5">
        <v>1325120.7637489273</v>
      </c>
      <c r="K170" s="5">
        <v>1600000</v>
      </c>
      <c r="L170" s="5">
        <v>13333.333333333334</v>
      </c>
      <c r="M170" s="5">
        <v>136</v>
      </c>
      <c r="N170" s="5">
        <v>5933.2763615814038</v>
      </c>
      <c r="O170" s="105" t="s">
        <v>100</v>
      </c>
      <c r="P170" s="105" t="s">
        <v>69</v>
      </c>
      <c r="Q170" s="106">
        <v>125421.62353020128</v>
      </c>
      <c r="R170" s="92">
        <v>107046.97858137942</v>
      </c>
      <c r="S170" s="112">
        <v>6.6904361613362134E-2</v>
      </c>
      <c r="T170" s="104">
        <v>65077.48766608876</v>
      </c>
      <c r="U170" s="5">
        <v>51279.527964897374</v>
      </c>
      <c r="V170" s="104">
        <v>130500.6508244295</v>
      </c>
      <c r="W170" s="5">
        <v>109553.55558277255</v>
      </c>
      <c r="X170" s="5">
        <v>323054.76202071953</v>
      </c>
      <c r="Y170" s="5">
        <v>269375.08946364303</v>
      </c>
      <c r="Z170" s="121">
        <v>1594495.8532125703</v>
      </c>
    </row>
    <row r="171" spans="3:26">
      <c r="C171">
        <f t="shared" si="36"/>
        <v>166</v>
      </c>
      <c r="D171">
        <f t="shared" si="27"/>
        <v>75</v>
      </c>
      <c r="E171" s="5">
        <f t="shared" si="30"/>
        <v>1600000</v>
      </c>
      <c r="F171" s="125">
        <f t="shared" si="31"/>
        <v>0.12</v>
      </c>
      <c r="G171" t="s">
        <v>64</v>
      </c>
      <c r="I171" s="104">
        <v>1765047.2413376679</v>
      </c>
      <c r="J171" s="5">
        <v>1361569.5904911933</v>
      </c>
      <c r="K171" s="5">
        <v>1600000</v>
      </c>
      <c r="L171" s="5">
        <v>16000</v>
      </c>
      <c r="M171" s="5">
        <v>110</v>
      </c>
      <c r="N171" s="5">
        <v>5047.2413376679178</v>
      </c>
      <c r="O171" s="105" t="s">
        <v>85</v>
      </c>
      <c r="P171" s="105" t="s">
        <v>78</v>
      </c>
      <c r="Q171" s="106">
        <v>106895.66731484639</v>
      </c>
      <c r="R171" s="92">
        <v>94642.364729244349</v>
      </c>
      <c r="S171" s="112">
        <v>5.9151477955777722E-2</v>
      </c>
      <c r="T171" s="104">
        <v>51121.16794471116</v>
      </c>
      <c r="U171" s="5">
        <v>41943.565441862978</v>
      </c>
      <c r="V171" s="104">
        <v>109381.06073892485</v>
      </c>
      <c r="W171" s="5">
        <v>95412.295791338605</v>
      </c>
      <c r="X171" s="5">
        <v>269062.89599848242</v>
      </c>
      <c r="Y171" s="5">
        <v>233280.67156558408</v>
      </c>
      <c r="Z171" s="121">
        <v>1594850.2620567775</v>
      </c>
    </row>
    <row r="172" spans="3:26">
      <c r="C172">
        <f t="shared" si="36"/>
        <v>167</v>
      </c>
      <c r="D172">
        <f t="shared" si="27"/>
        <v>80</v>
      </c>
      <c r="E172" s="5">
        <f t="shared" si="30"/>
        <v>1600000</v>
      </c>
      <c r="F172" s="125">
        <f t="shared" si="31"/>
        <v>0.12</v>
      </c>
      <c r="G172" t="s">
        <v>64</v>
      </c>
      <c r="I172" s="104">
        <v>1765047.2413376679</v>
      </c>
      <c r="J172" s="5">
        <v>1361569.5904911933</v>
      </c>
      <c r="K172" s="5">
        <v>1600000</v>
      </c>
      <c r="L172" s="5">
        <v>16000</v>
      </c>
      <c r="M172" s="5">
        <v>110</v>
      </c>
      <c r="N172" s="5">
        <v>5047.2413376679178</v>
      </c>
      <c r="O172" s="105" t="s">
        <v>85</v>
      </c>
      <c r="P172" s="105" t="s">
        <v>79</v>
      </c>
      <c r="Q172" s="106">
        <v>106895.66731484639</v>
      </c>
      <c r="R172" s="92">
        <v>94642.364729244349</v>
      </c>
      <c r="S172" s="112">
        <v>5.9151477955777722E-2</v>
      </c>
      <c r="T172" s="104">
        <v>51121.16794471116</v>
      </c>
      <c r="U172" s="5">
        <v>41943.565441862978</v>
      </c>
      <c r="V172" s="104">
        <v>109381.06073892485</v>
      </c>
      <c r="W172" s="5">
        <v>95412.295791338605</v>
      </c>
      <c r="X172" s="5">
        <v>269062.89599848242</v>
      </c>
      <c r="Y172" s="5">
        <v>233280.67156558408</v>
      </c>
      <c r="Z172" s="121">
        <v>1594850.2620567775</v>
      </c>
    </row>
    <row r="173" spans="3:26">
      <c r="C173" s="40">
        <f t="shared" si="36"/>
        <v>168</v>
      </c>
      <c r="D173" s="40">
        <f t="shared" si="27"/>
        <v>85</v>
      </c>
      <c r="E173" s="43">
        <f t="shared" si="30"/>
        <v>1600000</v>
      </c>
      <c r="F173" s="126">
        <f t="shared" si="31"/>
        <v>0.12</v>
      </c>
      <c r="G173" s="40" t="s">
        <v>64</v>
      </c>
      <c r="I173" s="113">
        <v>1765047.2413376679</v>
      </c>
      <c r="J173" s="43">
        <v>1361569.5904911933</v>
      </c>
      <c r="K173" s="43">
        <v>1600000</v>
      </c>
      <c r="L173" s="43">
        <v>16000</v>
      </c>
      <c r="M173" s="43">
        <v>110</v>
      </c>
      <c r="N173" s="43">
        <v>5047.2413376679178</v>
      </c>
      <c r="O173" s="81" t="s">
        <v>85</v>
      </c>
      <c r="P173" s="81" t="s">
        <v>80</v>
      </c>
      <c r="Q173" s="114">
        <v>106895.66731484639</v>
      </c>
      <c r="R173" s="88">
        <v>94642.364729244349</v>
      </c>
      <c r="S173" s="93">
        <v>5.9151477955777722E-2</v>
      </c>
      <c r="T173" s="113">
        <v>51121.16794471116</v>
      </c>
      <c r="U173" s="43">
        <v>41943.565441862978</v>
      </c>
      <c r="V173" s="113">
        <v>109381.06073892485</v>
      </c>
      <c r="W173" s="43">
        <v>95412.295791338605</v>
      </c>
      <c r="X173" s="43">
        <v>269062.89599848242</v>
      </c>
      <c r="Y173" s="43">
        <v>233280.67156558408</v>
      </c>
      <c r="Z173" s="122">
        <v>1594850.2620567775</v>
      </c>
    </row>
    <row r="174" spans="3:26">
      <c r="C174" s="39">
        <f>C173+1</f>
        <v>169</v>
      </c>
      <c r="D174" s="39">
        <f>D166</f>
        <v>50</v>
      </c>
      <c r="E174" s="82">
        <f>ROUND(E166*1.25/100000,0)*100000</f>
        <v>2000000</v>
      </c>
      <c r="F174" s="124">
        <f t="shared" si="31"/>
        <v>5.45E-2</v>
      </c>
      <c r="G174" s="39" t="s">
        <v>64</v>
      </c>
      <c r="I174" s="42">
        <v>2731042.3131140787</v>
      </c>
      <c r="J174" s="82">
        <v>1428789.5639956025</v>
      </c>
      <c r="K174" s="82">
        <v>2000000</v>
      </c>
      <c r="L174" s="82">
        <v>9083.3333333333339</v>
      </c>
      <c r="M174" s="82">
        <v>300</v>
      </c>
      <c r="N174" s="82">
        <v>6042.3131140787154</v>
      </c>
      <c r="O174" s="80" t="s">
        <v>86</v>
      </c>
      <c r="P174" s="80" t="s">
        <v>73</v>
      </c>
      <c r="Q174" s="87">
        <v>312381.72619779158</v>
      </c>
      <c r="R174" s="110">
        <v>211581.67379050396</v>
      </c>
      <c r="S174" s="111">
        <v>0.10579083689525198</v>
      </c>
      <c r="T174" s="42">
        <v>198343.98323447094</v>
      </c>
      <c r="U174" s="82">
        <v>122562.81566729541</v>
      </c>
      <c r="V174" s="42">
        <v>340515.16786548251</v>
      </c>
      <c r="W174" s="82">
        <v>225603.10812117447</v>
      </c>
      <c r="X174" s="82">
        <v>855755.87729774509</v>
      </c>
      <c r="Y174" s="82">
        <v>562108.22272953938</v>
      </c>
      <c r="Z174" s="120">
        <v>1990897.786725142</v>
      </c>
    </row>
    <row r="175" spans="3:26">
      <c r="C175">
        <f t="shared" ref="C175:C181" si="37">C174+1</f>
        <v>170</v>
      </c>
      <c r="D175">
        <f t="shared" si="27"/>
        <v>55</v>
      </c>
      <c r="E175" s="5">
        <f t="shared" si="30"/>
        <v>2000000</v>
      </c>
      <c r="F175" s="125">
        <f t="shared" si="31"/>
        <v>6.1499999999999999E-2</v>
      </c>
      <c r="G175" t="s">
        <v>64</v>
      </c>
      <c r="I175" s="104">
        <v>2593382.2960461467</v>
      </c>
      <c r="J175" s="5">
        <v>1485810.2089882239</v>
      </c>
      <c r="K175" s="5">
        <v>2000000</v>
      </c>
      <c r="L175" s="5">
        <v>10250</v>
      </c>
      <c r="M175" s="5">
        <v>253</v>
      </c>
      <c r="N175" s="5">
        <v>132.29604614665732</v>
      </c>
      <c r="O175" s="105" t="s">
        <v>104</v>
      </c>
      <c r="P175" s="105" t="s">
        <v>74</v>
      </c>
      <c r="Q175" s="106">
        <v>265458.0444885398</v>
      </c>
      <c r="R175" s="92">
        <v>192122.03758849928</v>
      </c>
      <c r="S175" s="112">
        <v>9.6061018794249636E-2</v>
      </c>
      <c r="T175" s="104">
        <v>163041.60704197374</v>
      </c>
      <c r="U175" s="5">
        <v>107923.749451578</v>
      </c>
      <c r="V175" s="104">
        <v>287022.17071693554</v>
      </c>
      <c r="W175" s="5">
        <v>203419.12285088896</v>
      </c>
      <c r="X175" s="5">
        <v>719331.82224744908</v>
      </c>
      <c r="Y175" s="5">
        <v>505643.55370337621</v>
      </c>
      <c r="Z175" s="121">
        <v>1991453.7626916002</v>
      </c>
    </row>
    <row r="176" spans="3:26">
      <c r="C176">
        <f t="shared" si="37"/>
        <v>171</v>
      </c>
      <c r="D176">
        <f t="shared" si="27"/>
        <v>60</v>
      </c>
      <c r="E176" s="5">
        <f t="shared" si="30"/>
        <v>2000000</v>
      </c>
      <c r="F176" s="125">
        <f t="shared" si="31"/>
        <v>7.0000000000000007E-2</v>
      </c>
      <c r="G176" t="s">
        <v>64</v>
      </c>
      <c r="I176" s="104">
        <v>2479855.9767862009</v>
      </c>
      <c r="J176" s="5">
        <v>1539719.8721804251</v>
      </c>
      <c r="K176" s="5">
        <v>2000000</v>
      </c>
      <c r="L176" s="5">
        <v>11666.666666666666</v>
      </c>
      <c r="M176" s="5">
        <v>212</v>
      </c>
      <c r="N176" s="5">
        <v>6522.6434528678656</v>
      </c>
      <c r="O176" s="105" t="s">
        <v>102</v>
      </c>
      <c r="P176" s="105" t="s">
        <v>75</v>
      </c>
      <c r="Q176" s="106">
        <v>226750.78778553929</v>
      </c>
      <c r="R176" s="92">
        <v>173731.39728229336</v>
      </c>
      <c r="S176" s="112">
        <v>8.6865698641146682E-2</v>
      </c>
      <c r="T176" s="104">
        <v>133925.02054925155</v>
      </c>
      <c r="U176" s="5">
        <v>94092.155217799373</v>
      </c>
      <c r="V176" s="104">
        <v>242895.89807551491</v>
      </c>
      <c r="W176" s="5">
        <v>182453.79290181436</v>
      </c>
      <c r="X176" s="5">
        <v>606766.70641030581</v>
      </c>
      <c r="Y176" s="5">
        <v>452259.32448701677</v>
      </c>
      <c r="Z176" s="121">
        <v>1991979.1966674419</v>
      </c>
    </row>
    <row r="177" spans="3:26">
      <c r="C177">
        <f t="shared" si="37"/>
        <v>172</v>
      </c>
      <c r="D177">
        <f t="shared" si="27"/>
        <v>65</v>
      </c>
      <c r="E177" s="5">
        <f t="shared" si="30"/>
        <v>2000000</v>
      </c>
      <c r="F177" s="125">
        <f t="shared" si="31"/>
        <v>0.08</v>
      </c>
      <c r="G177" t="s">
        <v>64</v>
      </c>
      <c r="I177" s="104">
        <v>2388448.1272441666</v>
      </c>
      <c r="J177" s="5">
        <v>1588515.2289627653</v>
      </c>
      <c r="K177" s="5">
        <v>2000000</v>
      </c>
      <c r="L177" s="5">
        <v>13333.333333333334</v>
      </c>
      <c r="M177" s="5">
        <v>179</v>
      </c>
      <c r="N177" s="5">
        <v>1781.4605774995871</v>
      </c>
      <c r="O177" s="105" t="s">
        <v>103</v>
      </c>
      <c r="P177" s="105" t="s">
        <v>76</v>
      </c>
      <c r="Q177" s="106">
        <v>195552.67599274058</v>
      </c>
      <c r="R177" s="92">
        <v>157102.78958280347</v>
      </c>
      <c r="S177" s="112">
        <v>7.8551394791401732E-2</v>
      </c>
      <c r="T177" s="104">
        <v>110361.76529427787</v>
      </c>
      <c r="U177" s="5">
        <v>81546.61014755923</v>
      </c>
      <c r="V177" s="104">
        <v>207330.05063172427</v>
      </c>
      <c r="W177" s="5">
        <v>163497.18012439611</v>
      </c>
      <c r="X177" s="5">
        <v>515944.49191874277</v>
      </c>
      <c r="Y177" s="5">
        <v>403939.05912678601</v>
      </c>
      <c r="Z177" s="121">
        <v>1992454.2880895513</v>
      </c>
    </row>
    <row r="178" spans="3:26">
      <c r="C178">
        <f t="shared" si="37"/>
        <v>173</v>
      </c>
      <c r="D178">
        <f t="shared" si="27"/>
        <v>70</v>
      </c>
      <c r="E178" s="5">
        <f t="shared" si="30"/>
        <v>2000000</v>
      </c>
      <c r="F178" s="125">
        <f t="shared" si="31"/>
        <v>0.1</v>
      </c>
      <c r="G178" t="s">
        <v>64</v>
      </c>
      <c r="I178" s="104">
        <v>2274693.0217871997</v>
      </c>
      <c r="J178" s="5">
        <v>1656713.4477291089</v>
      </c>
      <c r="K178" s="5">
        <v>2000000</v>
      </c>
      <c r="L178" s="5">
        <v>16666.666666666668</v>
      </c>
      <c r="M178" s="5">
        <v>136</v>
      </c>
      <c r="N178" s="5">
        <v>8026.3551205326803</v>
      </c>
      <c r="O178" s="105" t="s">
        <v>100</v>
      </c>
      <c r="P178" s="105" t="s">
        <v>69</v>
      </c>
      <c r="Q178" s="106">
        <v>156809.64450197236</v>
      </c>
      <c r="R178" s="92">
        <v>133829.66935377615</v>
      </c>
      <c r="S178" s="112">
        <v>6.691483467688808E-2</v>
      </c>
      <c r="T178" s="104">
        <v>81371.560338293391</v>
      </c>
      <c r="U178" s="5">
        <v>64115.250588831754</v>
      </c>
      <c r="V178" s="104">
        <v>163162.99473224857</v>
      </c>
      <c r="W178" s="5">
        <v>136965.82306330494</v>
      </c>
      <c r="X178" s="5">
        <v>403399.19957251428</v>
      </c>
      <c r="Y178" s="5">
        <v>336405.77034050657</v>
      </c>
      <c r="Z178" s="121">
        <v>1993119.2180696153</v>
      </c>
    </row>
    <row r="179" spans="3:26">
      <c r="C179">
        <f t="shared" si="37"/>
        <v>174</v>
      </c>
      <c r="D179">
        <f t="shared" si="27"/>
        <v>75</v>
      </c>
      <c r="E179" s="5">
        <f t="shared" si="30"/>
        <v>2000000</v>
      </c>
      <c r="F179" s="125">
        <f t="shared" si="31"/>
        <v>0.12</v>
      </c>
      <c r="G179" t="s">
        <v>64</v>
      </c>
      <c r="I179" s="104">
        <v>2206786.2100923504</v>
      </c>
      <c r="J179" s="5">
        <v>1702239.6019847291</v>
      </c>
      <c r="K179" s="5">
        <v>2000000</v>
      </c>
      <c r="L179" s="5">
        <v>20000</v>
      </c>
      <c r="M179" s="5">
        <v>110</v>
      </c>
      <c r="N179" s="5">
        <v>6786.2100923503749</v>
      </c>
      <c r="O179" s="105" t="s">
        <v>85</v>
      </c>
      <c r="P179" s="105" t="s">
        <v>78</v>
      </c>
      <c r="Q179" s="106">
        <v>133640.48590585304</v>
      </c>
      <c r="R179" s="92">
        <v>118317.53368515326</v>
      </c>
      <c r="S179" s="112">
        <v>5.9158766842576628E-2</v>
      </c>
      <c r="T179" s="104">
        <v>63917.910201165192</v>
      </c>
      <c r="U179" s="5">
        <v>52440.841399278157</v>
      </c>
      <c r="V179" s="104">
        <v>136750.15393267246</v>
      </c>
      <c r="W179" s="5">
        <v>119281.98840107472</v>
      </c>
      <c r="X179" s="5">
        <v>335973.55003969069</v>
      </c>
      <c r="Y179" s="5">
        <v>291322.80908864434</v>
      </c>
      <c r="Z179" s="121">
        <v>1993562.4110733734</v>
      </c>
    </row>
    <row r="180" spans="3:26">
      <c r="C180">
        <f t="shared" si="37"/>
        <v>175</v>
      </c>
      <c r="D180">
        <f t="shared" si="27"/>
        <v>80</v>
      </c>
      <c r="E180" s="5">
        <f t="shared" si="30"/>
        <v>2000000</v>
      </c>
      <c r="F180" s="125">
        <f t="shared" si="31"/>
        <v>0.12</v>
      </c>
      <c r="G180" t="s">
        <v>64</v>
      </c>
      <c r="I180" s="104">
        <v>2206786.2100923504</v>
      </c>
      <c r="J180" s="5">
        <v>1702239.6019847291</v>
      </c>
      <c r="K180" s="5">
        <v>2000000</v>
      </c>
      <c r="L180" s="5">
        <v>20000</v>
      </c>
      <c r="M180" s="5">
        <v>110</v>
      </c>
      <c r="N180" s="5">
        <v>6786.2100923503749</v>
      </c>
      <c r="O180" s="105" t="s">
        <v>85</v>
      </c>
      <c r="P180" s="105" t="s">
        <v>79</v>
      </c>
      <c r="Q180" s="106">
        <v>133640.48590585304</v>
      </c>
      <c r="R180" s="92">
        <v>118317.53368515326</v>
      </c>
      <c r="S180" s="112">
        <v>5.9158766842576628E-2</v>
      </c>
      <c r="T180" s="104">
        <v>63917.910201165192</v>
      </c>
      <c r="U180" s="5">
        <v>52440.841399278157</v>
      </c>
      <c r="V180" s="104">
        <v>136750.15393267246</v>
      </c>
      <c r="W180" s="5">
        <v>119281.98840107472</v>
      </c>
      <c r="X180" s="5">
        <v>335973.55003969069</v>
      </c>
      <c r="Y180" s="5">
        <v>291322.80908864434</v>
      </c>
      <c r="Z180" s="121">
        <v>1993562.4110733734</v>
      </c>
    </row>
    <row r="181" spans="3:26">
      <c r="C181" s="40">
        <f t="shared" si="37"/>
        <v>176</v>
      </c>
      <c r="D181" s="40">
        <f t="shared" si="27"/>
        <v>85</v>
      </c>
      <c r="E181" s="43">
        <f t="shared" si="30"/>
        <v>2000000</v>
      </c>
      <c r="F181" s="126">
        <f t="shared" si="31"/>
        <v>0.12</v>
      </c>
      <c r="G181" s="40" t="s">
        <v>64</v>
      </c>
      <c r="I181" s="113">
        <v>2206786.2100923504</v>
      </c>
      <c r="J181" s="43">
        <v>1702239.6019847291</v>
      </c>
      <c r="K181" s="43">
        <v>2000000</v>
      </c>
      <c r="L181" s="43">
        <v>20000</v>
      </c>
      <c r="M181" s="43">
        <v>110</v>
      </c>
      <c r="N181" s="43">
        <v>6786.2100923503749</v>
      </c>
      <c r="O181" s="81" t="s">
        <v>85</v>
      </c>
      <c r="P181" s="81" t="s">
        <v>80</v>
      </c>
      <c r="Q181" s="114">
        <v>133640.48590585304</v>
      </c>
      <c r="R181" s="88">
        <v>118317.53368515326</v>
      </c>
      <c r="S181" s="93">
        <v>5.9158766842576628E-2</v>
      </c>
      <c r="T181" s="113">
        <v>63917.910201165192</v>
      </c>
      <c r="U181" s="43">
        <v>52440.841399278157</v>
      </c>
      <c r="V181" s="113">
        <v>136750.15393267246</v>
      </c>
      <c r="W181" s="43">
        <v>119281.98840107472</v>
      </c>
      <c r="X181" s="43">
        <v>335973.55003969069</v>
      </c>
      <c r="Y181" s="43">
        <v>291322.80908864434</v>
      </c>
      <c r="Z181" s="122">
        <v>1993562.4110733734</v>
      </c>
    </row>
    <row r="182" spans="3:26">
      <c r="C182" s="39">
        <f>C181+1</f>
        <v>177</v>
      </c>
      <c r="D182" s="39">
        <f>D174</f>
        <v>50</v>
      </c>
      <c r="E182" s="82">
        <f>ROUND(E174*1.25/100000,0)*100000</f>
        <v>2500000</v>
      </c>
      <c r="F182" s="124">
        <f t="shared" si="31"/>
        <v>5.45E-2</v>
      </c>
      <c r="G182" s="39" t="s">
        <v>64</v>
      </c>
      <c r="I182" s="42">
        <v>3415466.6090059406</v>
      </c>
      <c r="J182" s="82">
        <v>1786369.979804805</v>
      </c>
      <c r="K182" s="82">
        <v>2500000</v>
      </c>
      <c r="L182" s="82">
        <v>11354.166666666666</v>
      </c>
      <c r="M182" s="82">
        <v>300</v>
      </c>
      <c r="N182" s="82">
        <v>9216.6090059406124</v>
      </c>
      <c r="O182" s="80" t="s">
        <v>86</v>
      </c>
      <c r="P182" s="80" t="s">
        <v>73</v>
      </c>
      <c r="Q182" s="87">
        <v>390660.18809049658</v>
      </c>
      <c r="R182" s="110">
        <v>264547.63685639785</v>
      </c>
      <c r="S182" s="111">
        <v>0.10581905474255913</v>
      </c>
      <c r="T182" s="42">
        <v>248072.41783610074</v>
      </c>
      <c r="U182" s="82">
        <v>153257.6700672794</v>
      </c>
      <c r="V182" s="42">
        <v>425852.61442316667</v>
      </c>
      <c r="W182" s="82">
        <v>282084.30601629347</v>
      </c>
      <c r="X182" s="82">
        <v>1069100.220349764</v>
      </c>
      <c r="Y182" s="82">
        <v>702250.23809053621</v>
      </c>
      <c r="Z182" s="120">
        <v>2488620.2178953411</v>
      </c>
    </row>
    <row r="183" spans="3:26">
      <c r="C183">
        <f t="shared" ref="C183:C189" si="38">C182+1</f>
        <v>178</v>
      </c>
      <c r="D183">
        <f t="shared" ref="D183:D189" si="39">D175</f>
        <v>55</v>
      </c>
      <c r="E183" s="5">
        <f t="shared" si="30"/>
        <v>2500000</v>
      </c>
      <c r="F183" s="125">
        <f t="shared" si="31"/>
        <v>6.1499999999999999E-2</v>
      </c>
      <c r="G183" t="s">
        <v>64</v>
      </c>
      <c r="I183" s="104">
        <v>3243045.3839372047</v>
      </c>
      <c r="J183" s="5">
        <v>1857644.266692094</v>
      </c>
      <c r="K183" s="5">
        <v>2500000</v>
      </c>
      <c r="L183" s="5">
        <v>12812.5</v>
      </c>
      <c r="M183" s="5">
        <v>253</v>
      </c>
      <c r="N183" s="5">
        <v>1482.8839372047223</v>
      </c>
      <c r="O183" s="105" t="s">
        <v>104</v>
      </c>
      <c r="P183" s="105" t="s">
        <v>74</v>
      </c>
      <c r="Q183" s="106">
        <v>331947.3266507482</v>
      </c>
      <c r="R183" s="92">
        <v>240208.12038031782</v>
      </c>
      <c r="S183" s="112">
        <v>9.6083248152127126E-2</v>
      </c>
      <c r="T183" s="104">
        <v>203898.78011316725</v>
      </c>
      <c r="U183" s="5">
        <v>134947.32747379434</v>
      </c>
      <c r="V183" s="104">
        <v>358919.95238185278</v>
      </c>
      <c r="W183" s="5">
        <v>254337.25723356241</v>
      </c>
      <c r="X183" s="5">
        <v>898576.05914576817</v>
      </c>
      <c r="Y183" s="5">
        <v>631671.3489000845</v>
      </c>
      <c r="Z183" s="121">
        <v>2489315.6155921784</v>
      </c>
    </row>
    <row r="184" spans="3:26">
      <c r="C184">
        <f t="shared" si="38"/>
        <v>179</v>
      </c>
      <c r="D184">
        <f t="shared" si="39"/>
        <v>60</v>
      </c>
      <c r="E184" s="5">
        <f t="shared" si="30"/>
        <v>2500000</v>
      </c>
      <c r="F184" s="125">
        <f t="shared" si="31"/>
        <v>7.0000000000000007E-2</v>
      </c>
      <c r="G184" t="s">
        <v>64</v>
      </c>
      <c r="I184" s="104">
        <v>3100870.1829100824</v>
      </c>
      <c r="J184" s="5">
        <v>1925021.2951266316</v>
      </c>
      <c r="K184" s="5">
        <v>2500000</v>
      </c>
      <c r="L184" s="5">
        <v>14583.333333333336</v>
      </c>
      <c r="M184" s="5">
        <v>212</v>
      </c>
      <c r="N184" s="5">
        <v>9203.516243415419</v>
      </c>
      <c r="O184" s="105" t="s">
        <v>102</v>
      </c>
      <c r="P184" s="105" t="s">
        <v>75</v>
      </c>
      <c r="Q184" s="106">
        <v>283522.98641508032</v>
      </c>
      <c r="R184" s="92">
        <v>217206.9921306422</v>
      </c>
      <c r="S184" s="112">
        <v>8.6882796852256888E-2</v>
      </c>
      <c r="T184" s="104">
        <v>167467.55961603703</v>
      </c>
      <c r="U184" s="5">
        <v>117646.53719216143</v>
      </c>
      <c r="V184" s="104">
        <v>303716.20451319183</v>
      </c>
      <c r="W184" s="5">
        <v>228115.97102893222</v>
      </c>
      <c r="X184" s="5">
        <v>757901.75054430915</v>
      </c>
      <c r="Y184" s="5">
        <v>564951.47943684552</v>
      </c>
      <c r="Z184" s="121">
        <v>2489972.7745634774</v>
      </c>
    </row>
    <row r="185" spans="3:26">
      <c r="C185">
        <f t="shared" si="38"/>
        <v>180</v>
      </c>
      <c r="D185">
        <f t="shared" si="39"/>
        <v>65</v>
      </c>
      <c r="E185" s="5">
        <f t="shared" si="30"/>
        <v>2500000</v>
      </c>
      <c r="F185" s="125">
        <f t="shared" si="31"/>
        <v>0.08</v>
      </c>
      <c r="G185" t="s">
        <v>64</v>
      </c>
      <c r="I185" s="104">
        <v>2986404.9079881888</v>
      </c>
      <c r="J185" s="5">
        <v>1985995.0203448962</v>
      </c>
      <c r="K185" s="5">
        <v>2500000</v>
      </c>
      <c r="L185" s="5">
        <v>16666.666666666668</v>
      </c>
      <c r="M185" s="5">
        <v>179</v>
      </c>
      <c r="N185" s="5">
        <v>3071.5746548552997</v>
      </c>
      <c r="O185" s="105" t="s">
        <v>103</v>
      </c>
      <c r="P185" s="105" t="s">
        <v>76</v>
      </c>
      <c r="Q185" s="106">
        <v>244499.40877534344</v>
      </c>
      <c r="R185" s="92">
        <v>196411.33111559894</v>
      </c>
      <c r="S185" s="112">
        <v>7.8564532446239579E-2</v>
      </c>
      <c r="T185" s="104">
        <v>137999.20580454211</v>
      </c>
      <c r="U185" s="5">
        <v>101959.17352672901</v>
      </c>
      <c r="V185" s="104">
        <v>259229.32600389156</v>
      </c>
      <c r="W185" s="5">
        <v>204408.9174717828</v>
      </c>
      <c r="X185" s="5">
        <v>644427.94058377715</v>
      </c>
      <c r="Y185" s="5">
        <v>504571.90138613799</v>
      </c>
      <c r="Z185" s="121">
        <v>2490566.9217310343</v>
      </c>
    </row>
    <row r="186" spans="3:26">
      <c r="C186">
        <f t="shared" si="38"/>
        <v>181</v>
      </c>
      <c r="D186">
        <f t="shared" si="39"/>
        <v>70</v>
      </c>
      <c r="E186" s="5">
        <f t="shared" si="30"/>
        <v>2500000</v>
      </c>
      <c r="F186" s="125">
        <f t="shared" si="31"/>
        <v>0.1</v>
      </c>
      <c r="G186" t="s">
        <v>64</v>
      </c>
      <c r="I186" s="104">
        <v>2843976.036902565</v>
      </c>
      <c r="J186" s="5">
        <v>2071204.3027043452</v>
      </c>
      <c r="K186" s="5">
        <v>2500000</v>
      </c>
      <c r="L186" s="5">
        <v>20833.333333333332</v>
      </c>
      <c r="M186" s="5">
        <v>136</v>
      </c>
      <c r="N186" s="5">
        <v>10642.703569232021</v>
      </c>
      <c r="O186" s="105" t="s">
        <v>100</v>
      </c>
      <c r="P186" s="105" t="s">
        <v>69</v>
      </c>
      <c r="Q186" s="106">
        <v>196044.67071668754</v>
      </c>
      <c r="R186" s="92">
        <v>167308.03281927301</v>
      </c>
      <c r="S186" s="112">
        <v>6.69232131277092E-2</v>
      </c>
      <c r="T186" s="104">
        <v>101739.15117855025</v>
      </c>
      <c r="U186" s="5">
        <v>80159.903868750436</v>
      </c>
      <c r="V186" s="104">
        <v>203990.92461702373</v>
      </c>
      <c r="W186" s="5">
        <v>171231.15741397114</v>
      </c>
      <c r="X186" s="5">
        <v>503829.74651226151</v>
      </c>
      <c r="Y186" s="5">
        <v>420194.12143658829</v>
      </c>
      <c r="Z186" s="121">
        <v>2491398.4241409334</v>
      </c>
    </row>
    <row r="187" spans="3:26">
      <c r="C187">
        <f t="shared" si="38"/>
        <v>182</v>
      </c>
      <c r="D187">
        <f t="shared" si="39"/>
        <v>75</v>
      </c>
      <c r="E187" s="5">
        <f t="shared" si="30"/>
        <v>2500000</v>
      </c>
      <c r="F187" s="125">
        <f t="shared" si="31"/>
        <v>0.12</v>
      </c>
      <c r="G187" t="s">
        <v>64</v>
      </c>
      <c r="I187" s="104">
        <v>2758959.9210357</v>
      </c>
      <c r="J187" s="5">
        <v>2128077.1163516478</v>
      </c>
      <c r="K187" s="5">
        <v>2500000</v>
      </c>
      <c r="L187" s="5">
        <v>25000</v>
      </c>
      <c r="M187" s="5">
        <v>110</v>
      </c>
      <c r="N187" s="5">
        <v>8959.921035700012</v>
      </c>
      <c r="O187" s="105" t="s">
        <v>85</v>
      </c>
      <c r="P187" s="105" t="s">
        <v>78</v>
      </c>
      <c r="Q187" s="106">
        <v>167071.50914461125</v>
      </c>
      <c r="R187" s="92">
        <v>147911.49488003927</v>
      </c>
      <c r="S187" s="112">
        <v>5.9164597952015709E-2</v>
      </c>
      <c r="T187" s="104">
        <v>79913.83802173259</v>
      </c>
      <c r="U187" s="5">
        <v>65562.436346047019</v>
      </c>
      <c r="V187" s="104">
        <v>170961.52042485683</v>
      </c>
      <c r="W187" s="5">
        <v>149119.10416324472</v>
      </c>
      <c r="X187" s="5">
        <v>419611.86759120063</v>
      </c>
      <c r="Y187" s="5">
        <v>363875.48099246918</v>
      </c>
      <c r="Z187" s="121">
        <v>2491952.5973441168</v>
      </c>
    </row>
    <row r="188" spans="3:26">
      <c r="C188">
        <f t="shared" si="38"/>
        <v>183</v>
      </c>
      <c r="D188">
        <f t="shared" si="39"/>
        <v>80</v>
      </c>
      <c r="E188" s="5">
        <f t="shared" si="30"/>
        <v>2500000</v>
      </c>
      <c r="F188" s="125">
        <f t="shared" si="31"/>
        <v>0.12</v>
      </c>
      <c r="G188" t="s">
        <v>64</v>
      </c>
      <c r="I188" s="104">
        <v>2758959.9210357</v>
      </c>
      <c r="J188" s="5">
        <v>2128077.1163516478</v>
      </c>
      <c r="K188" s="5">
        <v>2500000</v>
      </c>
      <c r="L188" s="5">
        <v>25000</v>
      </c>
      <c r="M188" s="5">
        <v>110</v>
      </c>
      <c r="N188" s="5">
        <v>8959.921035700012</v>
      </c>
      <c r="O188" s="105" t="s">
        <v>85</v>
      </c>
      <c r="P188" s="105" t="s">
        <v>79</v>
      </c>
      <c r="Q188" s="106">
        <v>167071.50914461125</v>
      </c>
      <c r="R188" s="92">
        <v>147911.49488003927</v>
      </c>
      <c r="S188" s="112">
        <v>5.9164597952015709E-2</v>
      </c>
      <c r="T188" s="104">
        <v>79913.83802173259</v>
      </c>
      <c r="U188" s="5">
        <v>65562.436346047019</v>
      </c>
      <c r="V188" s="104">
        <v>170961.52042485683</v>
      </c>
      <c r="W188" s="5">
        <v>149119.10416324472</v>
      </c>
      <c r="X188" s="5">
        <v>419611.86759120063</v>
      </c>
      <c r="Y188" s="5">
        <v>363875.48099246918</v>
      </c>
      <c r="Z188" s="121">
        <v>2491952.5973441168</v>
      </c>
    </row>
    <row r="189" spans="3:26">
      <c r="C189" s="40">
        <f t="shared" si="38"/>
        <v>184</v>
      </c>
      <c r="D189" s="40">
        <f t="shared" si="39"/>
        <v>85</v>
      </c>
      <c r="E189" s="43">
        <f t="shared" si="30"/>
        <v>2500000</v>
      </c>
      <c r="F189" s="126">
        <f t="shared" si="31"/>
        <v>0.12</v>
      </c>
      <c r="G189" s="40" t="s">
        <v>64</v>
      </c>
      <c r="I189" s="113">
        <v>2758959.9210357</v>
      </c>
      <c r="J189" s="43">
        <v>2128077.1163516478</v>
      </c>
      <c r="K189" s="43">
        <v>2500000</v>
      </c>
      <c r="L189" s="43">
        <v>25000</v>
      </c>
      <c r="M189" s="43">
        <v>110</v>
      </c>
      <c r="N189" s="43">
        <v>8959.921035700012</v>
      </c>
      <c r="O189" s="81" t="s">
        <v>85</v>
      </c>
      <c r="P189" s="81" t="s">
        <v>80</v>
      </c>
      <c r="Q189" s="114">
        <v>167071.50914461125</v>
      </c>
      <c r="R189" s="88">
        <v>147911.49488003927</v>
      </c>
      <c r="S189" s="93">
        <v>5.9164597952015709E-2</v>
      </c>
      <c r="T189" s="113">
        <v>79913.83802173259</v>
      </c>
      <c r="U189" s="43">
        <v>65562.436346047019</v>
      </c>
      <c r="V189" s="113">
        <v>170961.52042485683</v>
      </c>
      <c r="W189" s="43">
        <v>149119.10416324472</v>
      </c>
      <c r="X189" s="43">
        <v>419611.86759120063</v>
      </c>
      <c r="Y189" s="43">
        <v>363875.48099246918</v>
      </c>
      <c r="Z189" s="122">
        <v>2491952.5973441168</v>
      </c>
    </row>
    <row r="190" spans="3:26">
      <c r="C190" s="39">
        <f>C189+1</f>
        <v>185</v>
      </c>
      <c r="D190" s="39">
        <f>D182</f>
        <v>50</v>
      </c>
      <c r="E190" s="82">
        <f>ROUND(E182*1.25/100000,0)*100000</f>
        <v>3100000</v>
      </c>
      <c r="F190" s="124">
        <f t="shared" si="31"/>
        <v>5.45E-2</v>
      </c>
      <c r="G190" s="39" t="s">
        <v>64</v>
      </c>
      <c r="I190" s="42">
        <v>4236775.7640762487</v>
      </c>
      <c r="J190" s="82">
        <v>2215466.4787758645</v>
      </c>
      <c r="K190" s="82">
        <v>3100000</v>
      </c>
      <c r="L190" s="82">
        <v>14079.166666666666</v>
      </c>
      <c r="M190" s="82">
        <v>300</v>
      </c>
      <c r="N190" s="82">
        <v>13025.764076248743</v>
      </c>
      <c r="O190" s="80" t="s">
        <v>86</v>
      </c>
      <c r="P190" s="80" t="s">
        <v>73</v>
      </c>
      <c r="Q190" s="87">
        <v>484594.34236175136</v>
      </c>
      <c r="R190" s="110">
        <v>328106.79253547388</v>
      </c>
      <c r="S190" s="111">
        <v>0.1058409008178948</v>
      </c>
      <c r="T190" s="42">
        <v>307746.53935806296</v>
      </c>
      <c r="U190" s="82">
        <v>190091.49534726277</v>
      </c>
      <c r="V190" s="42">
        <v>528257.55029239669</v>
      </c>
      <c r="W190" s="82">
        <v>349861.74349043984</v>
      </c>
      <c r="X190" s="82">
        <v>1325113.4320122111</v>
      </c>
      <c r="Y190" s="82">
        <v>870420.65652374201</v>
      </c>
      <c r="Z190" s="120">
        <v>3085887.1352996062</v>
      </c>
    </row>
    <row r="191" spans="3:26">
      <c r="C191">
        <f t="shared" ref="C191:C197" si="40">C190+1</f>
        <v>186</v>
      </c>
      <c r="D191">
        <f t="shared" ref="D191:D213" si="41">D183</f>
        <v>55</v>
      </c>
      <c r="E191" s="5">
        <f t="shared" ref="E191:E197" si="42">ROUND(E183*1.25/100000,0)*100000</f>
        <v>3100000</v>
      </c>
      <c r="F191" s="125">
        <f t="shared" si="31"/>
        <v>6.1499999999999999E-2</v>
      </c>
      <c r="G191" t="s">
        <v>64</v>
      </c>
      <c r="I191" s="104">
        <v>4022641.0894064666</v>
      </c>
      <c r="J191" s="5">
        <v>2303845.1359367338</v>
      </c>
      <c r="K191" s="5">
        <v>3100000</v>
      </c>
      <c r="L191" s="5">
        <v>15887.5</v>
      </c>
      <c r="M191" s="5">
        <v>253</v>
      </c>
      <c r="N191" s="5">
        <v>3103.5894064665772</v>
      </c>
      <c r="O191" s="105" t="s">
        <v>104</v>
      </c>
      <c r="P191" s="105" t="s">
        <v>74</v>
      </c>
      <c r="Q191" s="106">
        <v>411734.46524539642</v>
      </c>
      <c r="R191" s="92">
        <v>297911.41973049927</v>
      </c>
      <c r="S191" s="112">
        <v>9.6100457977580406E-2</v>
      </c>
      <c r="T191" s="104">
        <v>252927.38779859865</v>
      </c>
      <c r="U191" s="5">
        <v>167375.62110045343</v>
      </c>
      <c r="V191" s="104">
        <v>445197.29037975188</v>
      </c>
      <c r="W191" s="5">
        <v>315439.01849276916</v>
      </c>
      <c r="X191" s="5">
        <v>1113669.143423747</v>
      </c>
      <c r="Y191" s="5">
        <v>782904.70313613175</v>
      </c>
      <c r="Z191" s="121">
        <v>3086749.8390728654</v>
      </c>
    </row>
    <row r="192" spans="3:26">
      <c r="C192">
        <f t="shared" si="40"/>
        <v>187</v>
      </c>
      <c r="D192">
        <f t="shared" si="41"/>
        <v>60</v>
      </c>
      <c r="E192" s="5">
        <f t="shared" si="42"/>
        <v>3100000</v>
      </c>
      <c r="F192" s="125">
        <f t="shared" si="31"/>
        <v>7.0000000000000007E-2</v>
      </c>
      <c r="G192" t="s">
        <v>64</v>
      </c>
      <c r="I192" s="104">
        <v>3846087.2302587139</v>
      </c>
      <c r="J192" s="5">
        <v>2387383.002662071</v>
      </c>
      <c r="K192" s="5">
        <v>3100000</v>
      </c>
      <c r="L192" s="5">
        <v>18083.333333333336</v>
      </c>
      <c r="M192" s="5">
        <v>212</v>
      </c>
      <c r="N192" s="5">
        <v>12420.563592046965</v>
      </c>
      <c r="O192" s="105" t="s">
        <v>102</v>
      </c>
      <c r="P192" s="105" t="s">
        <v>75</v>
      </c>
      <c r="Q192" s="106">
        <v>351649.62477052712</v>
      </c>
      <c r="R192" s="92">
        <v>269377.70594865945</v>
      </c>
      <c r="S192" s="112">
        <v>8.6896034176986922E-2</v>
      </c>
      <c r="T192" s="104">
        <v>207718.60649617767</v>
      </c>
      <c r="U192" s="5">
        <v>145911.79556139492</v>
      </c>
      <c r="V192" s="104">
        <v>376700.57223840099</v>
      </c>
      <c r="W192" s="5">
        <v>282910.58478147164</v>
      </c>
      <c r="X192" s="5">
        <v>939263.8035051059</v>
      </c>
      <c r="Y192" s="5">
        <v>700182.06537663564</v>
      </c>
      <c r="Z192" s="121">
        <v>3087565.0680387067</v>
      </c>
    </row>
    <row r="193" spans="3:26">
      <c r="C193">
        <f t="shared" si="40"/>
        <v>188</v>
      </c>
      <c r="D193">
        <f t="shared" si="41"/>
        <v>65</v>
      </c>
      <c r="E193" s="5">
        <f t="shared" si="42"/>
        <v>3100000</v>
      </c>
      <c r="F193" s="125">
        <f t="shared" si="31"/>
        <v>0.08</v>
      </c>
      <c r="G193" t="s">
        <v>64</v>
      </c>
      <c r="I193" s="104">
        <v>3703953.0448810421</v>
      </c>
      <c r="J193" s="5">
        <v>2462970.7700034664</v>
      </c>
      <c r="K193" s="5">
        <v>3100000</v>
      </c>
      <c r="L193" s="5">
        <v>20666.666666666668</v>
      </c>
      <c r="M193" s="5">
        <v>179</v>
      </c>
      <c r="N193" s="5">
        <v>4619.7115477086045</v>
      </c>
      <c r="O193" s="105" t="s">
        <v>103</v>
      </c>
      <c r="P193" s="105" t="s">
        <v>76</v>
      </c>
      <c r="Q193" s="106">
        <v>303235.48811446945</v>
      </c>
      <c r="R193" s="92">
        <v>243581.58095495499</v>
      </c>
      <c r="S193" s="112">
        <v>7.8574703533856455E-2</v>
      </c>
      <c r="T193" s="104">
        <v>171164.13441686126</v>
      </c>
      <c r="U193" s="5">
        <v>126454.24958173388</v>
      </c>
      <c r="V193" s="104">
        <v>321508.45645049529</v>
      </c>
      <c r="W193" s="5">
        <v>253503.0022886488</v>
      </c>
      <c r="X193" s="5">
        <v>798608.07898182597</v>
      </c>
      <c r="Y193" s="5">
        <v>625331.3120973648</v>
      </c>
      <c r="Z193" s="121">
        <v>3088302.082100831</v>
      </c>
    </row>
    <row r="194" spans="3:26">
      <c r="C194">
        <f t="shared" si="40"/>
        <v>189</v>
      </c>
      <c r="D194">
        <f t="shared" si="41"/>
        <v>70</v>
      </c>
      <c r="E194" s="5">
        <f t="shared" si="42"/>
        <v>3100000</v>
      </c>
      <c r="F194" s="125">
        <f t="shared" si="31"/>
        <v>0.1</v>
      </c>
      <c r="G194" t="s">
        <v>64</v>
      </c>
      <c r="I194" s="104">
        <v>3527115.6550409906</v>
      </c>
      <c r="J194" s="5">
        <v>2568593.3286746191</v>
      </c>
      <c r="K194" s="5">
        <v>3100000</v>
      </c>
      <c r="L194" s="5">
        <v>25833.333333333332</v>
      </c>
      <c r="M194" s="5">
        <v>136</v>
      </c>
      <c r="N194" s="5">
        <v>13782.321707657538</v>
      </c>
      <c r="O194" s="105" t="s">
        <v>100</v>
      </c>
      <c r="P194" s="105" t="s">
        <v>69</v>
      </c>
      <c r="Q194" s="106">
        <v>243126.70217434439</v>
      </c>
      <c r="R194" s="92">
        <v>207482.06897786827</v>
      </c>
      <c r="S194" s="112">
        <v>6.6929699670280091E-2</v>
      </c>
      <c r="T194" s="104">
        <v>126180.26018685749</v>
      </c>
      <c r="U194" s="5">
        <v>99413.487804652206</v>
      </c>
      <c r="V194" s="104">
        <v>252984.44047875269</v>
      </c>
      <c r="W194" s="5">
        <v>212349.55863476999</v>
      </c>
      <c r="X194" s="5">
        <v>624346.40283995459</v>
      </c>
      <c r="Y194" s="5">
        <v>520740.14275188418</v>
      </c>
      <c r="Z194" s="121">
        <v>3089333.4714265033</v>
      </c>
    </row>
    <row r="195" spans="3:26">
      <c r="C195">
        <f t="shared" si="40"/>
        <v>190</v>
      </c>
      <c r="D195">
        <f t="shared" si="41"/>
        <v>75</v>
      </c>
      <c r="E195" s="5">
        <f t="shared" si="42"/>
        <v>3100000</v>
      </c>
      <c r="F195" s="125">
        <f t="shared" si="31"/>
        <v>0.12</v>
      </c>
      <c r="G195" t="s">
        <v>64</v>
      </c>
      <c r="I195" s="104">
        <v>3421568.374167718</v>
      </c>
      <c r="J195" s="5">
        <v>2639082.1335919485</v>
      </c>
      <c r="K195" s="5">
        <v>3100000</v>
      </c>
      <c r="L195" s="5">
        <v>31000</v>
      </c>
      <c r="M195" s="5">
        <v>110</v>
      </c>
      <c r="N195" s="5">
        <v>11568.374167717993</v>
      </c>
      <c r="O195" s="105" t="s">
        <v>85</v>
      </c>
      <c r="P195" s="105" t="s">
        <v>78</v>
      </c>
      <c r="Q195" s="106">
        <v>207188.73703112095</v>
      </c>
      <c r="R195" s="92">
        <v>183424.2483139023</v>
      </c>
      <c r="S195" s="112">
        <v>5.9169112359323324E-2</v>
      </c>
      <c r="T195" s="104">
        <v>99108.951406413325</v>
      </c>
      <c r="U195" s="5">
        <v>81308.350282169573</v>
      </c>
      <c r="V195" s="104">
        <v>212015.16021547775</v>
      </c>
      <c r="W195" s="5">
        <v>184923.64307784868</v>
      </c>
      <c r="X195" s="5">
        <v>519977.84865301201</v>
      </c>
      <c r="Y195" s="5">
        <v>450938.68727705872</v>
      </c>
      <c r="Z195" s="121">
        <v>3090020.8208690071</v>
      </c>
    </row>
    <row r="196" spans="3:26">
      <c r="C196">
        <f t="shared" si="40"/>
        <v>191</v>
      </c>
      <c r="D196">
        <f t="shared" si="41"/>
        <v>80</v>
      </c>
      <c r="E196" s="5">
        <f t="shared" si="42"/>
        <v>3100000</v>
      </c>
      <c r="F196" s="125">
        <f t="shared" si="31"/>
        <v>0.12</v>
      </c>
      <c r="G196" t="s">
        <v>64</v>
      </c>
      <c r="I196" s="104">
        <v>3421568.374167718</v>
      </c>
      <c r="J196" s="5">
        <v>2639082.1335919485</v>
      </c>
      <c r="K196" s="5">
        <v>3100000</v>
      </c>
      <c r="L196" s="5">
        <v>31000</v>
      </c>
      <c r="M196" s="5">
        <v>110</v>
      </c>
      <c r="N196" s="5">
        <v>11568.374167717993</v>
      </c>
      <c r="O196" s="105" t="s">
        <v>85</v>
      </c>
      <c r="P196" s="105" t="s">
        <v>79</v>
      </c>
      <c r="Q196" s="106">
        <v>207188.73703112095</v>
      </c>
      <c r="R196" s="92">
        <v>183424.2483139023</v>
      </c>
      <c r="S196" s="112">
        <v>5.9169112359323324E-2</v>
      </c>
      <c r="T196" s="104">
        <v>99108.951406413325</v>
      </c>
      <c r="U196" s="5">
        <v>81308.350282169573</v>
      </c>
      <c r="V196" s="104">
        <v>212015.16021547775</v>
      </c>
      <c r="W196" s="5">
        <v>184923.64307784868</v>
      </c>
      <c r="X196" s="5">
        <v>519977.84865301201</v>
      </c>
      <c r="Y196" s="5">
        <v>450938.68727705872</v>
      </c>
      <c r="Z196" s="121">
        <v>3090020.8208690071</v>
      </c>
    </row>
    <row r="197" spans="3:26">
      <c r="C197" s="40">
        <f t="shared" si="40"/>
        <v>192</v>
      </c>
      <c r="D197" s="40">
        <f t="shared" si="41"/>
        <v>85</v>
      </c>
      <c r="E197" s="43">
        <f t="shared" si="42"/>
        <v>3100000</v>
      </c>
      <c r="F197" s="126">
        <f t="shared" si="31"/>
        <v>0.12</v>
      </c>
      <c r="G197" s="40" t="s">
        <v>64</v>
      </c>
      <c r="I197" s="113">
        <v>3421568.374167718</v>
      </c>
      <c r="J197" s="43">
        <v>2639082.1335919485</v>
      </c>
      <c r="K197" s="43">
        <v>3100000</v>
      </c>
      <c r="L197" s="43">
        <v>31000</v>
      </c>
      <c r="M197" s="43">
        <v>110</v>
      </c>
      <c r="N197" s="43">
        <v>11568.374167717993</v>
      </c>
      <c r="O197" s="81" t="s">
        <v>85</v>
      </c>
      <c r="P197" s="81" t="s">
        <v>80</v>
      </c>
      <c r="Q197" s="114">
        <v>207188.73703112095</v>
      </c>
      <c r="R197" s="88">
        <v>183424.2483139023</v>
      </c>
      <c r="S197" s="93">
        <v>5.9169112359323324E-2</v>
      </c>
      <c r="T197" s="113">
        <v>99108.951406413325</v>
      </c>
      <c r="U197" s="43">
        <v>81308.350282169573</v>
      </c>
      <c r="V197" s="113">
        <v>212015.16021547775</v>
      </c>
      <c r="W197" s="43">
        <v>184923.64307784868</v>
      </c>
      <c r="X197" s="43">
        <v>519977.84865301201</v>
      </c>
      <c r="Y197" s="43">
        <v>450938.68727705872</v>
      </c>
      <c r="Z197" s="122">
        <v>3090020.8208690071</v>
      </c>
    </row>
    <row r="198" spans="3:26">
      <c r="C198" s="39">
        <f>C197+1</f>
        <v>193</v>
      </c>
      <c r="D198" s="39">
        <f>D190</f>
        <v>50</v>
      </c>
      <c r="E198" s="82">
        <f>ROUND(E190*1.25/100000,0)*100000</f>
        <v>3900000</v>
      </c>
      <c r="F198" s="124">
        <f t="shared" ref="F198:F213" si="43">VLOOKUP(D198,$AB$6:$AC$13,2,FALSE)</f>
        <v>5.45E-2</v>
      </c>
      <c r="G198" s="39" t="s">
        <v>64</v>
      </c>
      <c r="I198" s="42">
        <v>5331840.8469405109</v>
      </c>
      <c r="J198" s="82">
        <v>2787591.5451936615</v>
      </c>
      <c r="K198" s="82">
        <v>3900000</v>
      </c>
      <c r="L198" s="82">
        <v>17712.5</v>
      </c>
      <c r="M198" s="82">
        <v>301</v>
      </c>
      <c r="N198" s="82">
        <v>378.34694051090628</v>
      </c>
      <c r="O198" s="80" t="s">
        <v>105</v>
      </c>
      <c r="P198" s="80" t="s">
        <v>73</v>
      </c>
      <c r="Q198" s="87">
        <v>609840.20817133074</v>
      </c>
      <c r="R198" s="110">
        <v>412852.4083070202</v>
      </c>
      <c r="S198" s="111">
        <v>0.10585959187359492</v>
      </c>
      <c r="T198" s="42">
        <v>387312.03472066909</v>
      </c>
      <c r="U198" s="82">
        <v>239203.26238723643</v>
      </c>
      <c r="V198" s="42">
        <v>664797.83731531701</v>
      </c>
      <c r="W198" s="82">
        <v>440231.7454700027</v>
      </c>
      <c r="X198" s="82">
        <v>1666480.0802073169</v>
      </c>
      <c r="Y198" s="82">
        <v>1094651.4778392802</v>
      </c>
      <c r="Z198" s="120">
        <v>3882243.0230329419</v>
      </c>
    </row>
    <row r="199" spans="3:26">
      <c r="C199">
        <f t="shared" ref="C199:C205" si="44">C198+1</f>
        <v>194</v>
      </c>
      <c r="D199">
        <f t="shared" si="41"/>
        <v>55</v>
      </c>
      <c r="E199" s="5">
        <f t="shared" ref="E199:E213" si="45">ROUND(E191*1.25/100000,0)*100000</f>
        <v>3900000</v>
      </c>
      <c r="F199" s="125">
        <f t="shared" si="43"/>
        <v>6.1499999999999999E-2</v>
      </c>
      <c r="G199" t="s">
        <v>64</v>
      </c>
      <c r="I199" s="104">
        <v>5062102.0300321514</v>
      </c>
      <c r="J199" s="5">
        <v>2898779.6282629231</v>
      </c>
      <c r="K199" s="5">
        <v>3900000</v>
      </c>
      <c r="L199" s="5">
        <v>19987.5</v>
      </c>
      <c r="M199" s="5">
        <v>253</v>
      </c>
      <c r="N199" s="5">
        <v>5264.5300321513787</v>
      </c>
      <c r="O199" s="105" t="s">
        <v>104</v>
      </c>
      <c r="P199" s="105" t="s">
        <v>74</v>
      </c>
      <c r="Q199" s="106">
        <v>518117.31670492806</v>
      </c>
      <c r="R199" s="92">
        <v>374849.15219740837</v>
      </c>
      <c r="S199" s="112">
        <v>9.6115167230104714E-2</v>
      </c>
      <c r="T199" s="104">
        <v>318298.86471250729</v>
      </c>
      <c r="U199" s="5">
        <v>210613.34593599907</v>
      </c>
      <c r="V199" s="104">
        <v>560233.74104361748</v>
      </c>
      <c r="W199" s="5">
        <v>396908.03350504517</v>
      </c>
      <c r="X199" s="5">
        <v>1400459.9224610529</v>
      </c>
      <c r="Y199" s="5">
        <v>984549.1754508625</v>
      </c>
      <c r="Z199" s="121">
        <v>3883328.8037137855</v>
      </c>
    </row>
    <row r="200" spans="3:26">
      <c r="C200">
        <f t="shared" si="44"/>
        <v>195</v>
      </c>
      <c r="D200">
        <f t="shared" si="41"/>
        <v>60</v>
      </c>
      <c r="E200" s="5">
        <f t="shared" si="45"/>
        <v>3900000</v>
      </c>
      <c r="F200" s="125">
        <f t="shared" si="43"/>
        <v>7.0000000000000007E-2</v>
      </c>
      <c r="G200" t="s">
        <v>64</v>
      </c>
      <c r="I200" s="104">
        <v>4839709.9600569084</v>
      </c>
      <c r="J200" s="5">
        <v>3003865.2793759992</v>
      </c>
      <c r="K200" s="5">
        <v>3900000</v>
      </c>
      <c r="L200" s="5">
        <v>22750</v>
      </c>
      <c r="M200" s="5">
        <v>212</v>
      </c>
      <c r="N200" s="5">
        <v>16709.960056908429</v>
      </c>
      <c r="O200" s="105" t="s">
        <v>102</v>
      </c>
      <c r="P200" s="105" t="s">
        <v>75</v>
      </c>
      <c r="Q200" s="106">
        <v>442485.14257779415</v>
      </c>
      <c r="R200" s="92">
        <v>338938.6577060183</v>
      </c>
      <c r="S200" s="112">
        <v>8.6907348129748277E-2</v>
      </c>
      <c r="T200" s="104">
        <v>261386.66900303538</v>
      </c>
      <c r="U200" s="5">
        <v>183598.80672037476</v>
      </c>
      <c r="V200" s="104">
        <v>474013.06253868568</v>
      </c>
      <c r="W200" s="5">
        <v>355970.06978486129</v>
      </c>
      <c r="X200" s="5">
        <v>1181079.8741195153</v>
      </c>
      <c r="Y200" s="5">
        <v>880489.51329636399</v>
      </c>
      <c r="Z200" s="121">
        <v>3884354.7926723631</v>
      </c>
    </row>
    <row r="201" spans="3:26">
      <c r="C201">
        <f t="shared" si="44"/>
        <v>196</v>
      </c>
      <c r="D201">
        <f t="shared" si="41"/>
        <v>65</v>
      </c>
      <c r="E201" s="5">
        <f t="shared" si="45"/>
        <v>3900000</v>
      </c>
      <c r="F201" s="125">
        <f t="shared" si="43"/>
        <v>0.08</v>
      </c>
      <c r="G201" t="s">
        <v>64</v>
      </c>
      <c r="I201" s="104">
        <v>4660683.8940714924</v>
      </c>
      <c r="J201" s="5">
        <v>3098938.4362148768</v>
      </c>
      <c r="K201" s="5">
        <v>3900000</v>
      </c>
      <c r="L201" s="5">
        <v>26000</v>
      </c>
      <c r="M201" s="5">
        <v>179</v>
      </c>
      <c r="N201" s="5">
        <v>6683.8940714923665</v>
      </c>
      <c r="O201" s="105" t="s">
        <v>103</v>
      </c>
      <c r="P201" s="105" t="s">
        <v>76</v>
      </c>
      <c r="Q201" s="106">
        <v>381550.26056663389</v>
      </c>
      <c r="R201" s="92">
        <v>306475.24740742776</v>
      </c>
      <c r="S201" s="112">
        <v>7.8583396771135322E-2</v>
      </c>
      <c r="T201" s="104">
        <v>215384.03923328387</v>
      </c>
      <c r="U201" s="5">
        <v>159114.35098840547</v>
      </c>
      <c r="V201" s="104">
        <v>404547.29704596277</v>
      </c>
      <c r="W201" s="5">
        <v>318961.7820444674</v>
      </c>
      <c r="X201" s="5">
        <v>1004181.5968458805</v>
      </c>
      <c r="Y201" s="5">
        <v>786343.85971232771</v>
      </c>
      <c r="Z201" s="121">
        <v>3885282.2959272047</v>
      </c>
    </row>
    <row r="202" spans="3:26">
      <c r="C202">
        <f t="shared" si="44"/>
        <v>197</v>
      </c>
      <c r="D202">
        <f t="shared" si="41"/>
        <v>70</v>
      </c>
      <c r="E202" s="5">
        <f t="shared" si="45"/>
        <v>3900000</v>
      </c>
      <c r="F202" s="125">
        <f t="shared" si="43"/>
        <v>0.1</v>
      </c>
      <c r="G202" t="s">
        <v>64</v>
      </c>
      <c r="I202" s="104">
        <v>4437968.4792255592</v>
      </c>
      <c r="J202" s="5">
        <v>3231778.6966349911</v>
      </c>
      <c r="K202" s="5">
        <v>3900000</v>
      </c>
      <c r="L202" s="5">
        <v>32500</v>
      </c>
      <c r="M202" s="5">
        <v>136</v>
      </c>
      <c r="N202" s="5">
        <v>17968.47922555916</v>
      </c>
      <c r="O202" s="105" t="s">
        <v>100</v>
      </c>
      <c r="P202" s="105" t="s">
        <v>69</v>
      </c>
      <c r="Q202" s="106">
        <v>305902.74411788833</v>
      </c>
      <c r="R202" s="92">
        <v>261047.4505226629</v>
      </c>
      <c r="S202" s="112">
        <v>6.693524372375971E-2</v>
      </c>
      <c r="T202" s="104">
        <v>158768.40553126804</v>
      </c>
      <c r="U202" s="5">
        <v>125084.93305252191</v>
      </c>
      <c r="V202" s="104">
        <v>318309.12829439272</v>
      </c>
      <c r="W202" s="5">
        <v>267174.09359583585</v>
      </c>
      <c r="X202" s="5">
        <v>785035.2779435491</v>
      </c>
      <c r="Y202" s="5">
        <v>654801.50450561428</v>
      </c>
      <c r="Z202" s="121">
        <v>3886580.2011406054</v>
      </c>
    </row>
    <row r="203" spans="3:26">
      <c r="C203">
        <f t="shared" si="44"/>
        <v>198</v>
      </c>
      <c r="D203">
        <f t="shared" si="41"/>
        <v>75</v>
      </c>
      <c r="E203" s="5">
        <f t="shared" si="45"/>
        <v>3900000</v>
      </c>
      <c r="F203" s="125">
        <f t="shared" si="43"/>
        <v>0.12</v>
      </c>
      <c r="G203" t="s">
        <v>64</v>
      </c>
      <c r="I203" s="104">
        <v>4305046.3116770796</v>
      </c>
      <c r="J203" s="5">
        <v>3320422.1565790195</v>
      </c>
      <c r="K203" s="5">
        <v>3900000</v>
      </c>
      <c r="L203" s="5">
        <v>39000</v>
      </c>
      <c r="M203" s="5">
        <v>110</v>
      </c>
      <c r="N203" s="5">
        <v>15046.311677079648</v>
      </c>
      <c r="O203" s="105" t="s">
        <v>85</v>
      </c>
      <c r="P203" s="105" t="s">
        <v>78</v>
      </c>
      <c r="Q203" s="106">
        <v>260678.374213134</v>
      </c>
      <c r="R203" s="92">
        <v>230774.58622571998</v>
      </c>
      <c r="S203" s="112">
        <v>5.9172970827107686E-2</v>
      </c>
      <c r="T203" s="104">
        <v>124702.43591932126</v>
      </c>
      <c r="U203" s="5">
        <v>102302.90219699984</v>
      </c>
      <c r="V203" s="104">
        <v>266753.34660297283</v>
      </c>
      <c r="W203" s="5">
        <v>232663.02829732074</v>
      </c>
      <c r="X203" s="5">
        <v>653799.15673542814</v>
      </c>
      <c r="Y203" s="5">
        <v>567022.96232317877</v>
      </c>
      <c r="Z203" s="121">
        <v>3887445.118902198</v>
      </c>
    </row>
    <row r="204" spans="3:26">
      <c r="C204">
        <f t="shared" si="44"/>
        <v>199</v>
      </c>
      <c r="D204">
        <f t="shared" si="41"/>
        <v>80</v>
      </c>
      <c r="E204" s="5">
        <f t="shared" si="45"/>
        <v>3900000</v>
      </c>
      <c r="F204" s="125">
        <f t="shared" si="43"/>
        <v>0.12</v>
      </c>
      <c r="G204" t="s">
        <v>64</v>
      </c>
      <c r="I204" s="104">
        <v>4305046.3116770796</v>
      </c>
      <c r="J204" s="5">
        <v>3320422.1565790195</v>
      </c>
      <c r="K204" s="5">
        <v>3900000</v>
      </c>
      <c r="L204" s="5">
        <v>39000</v>
      </c>
      <c r="M204" s="5">
        <v>110</v>
      </c>
      <c r="N204" s="5">
        <v>15046.311677079648</v>
      </c>
      <c r="O204" s="105" t="s">
        <v>85</v>
      </c>
      <c r="P204" s="105" t="s">
        <v>79</v>
      </c>
      <c r="Q204" s="106">
        <v>260678.374213134</v>
      </c>
      <c r="R204" s="92">
        <v>230774.58622571998</v>
      </c>
      <c r="S204" s="112">
        <v>5.9172970827107686E-2</v>
      </c>
      <c r="T204" s="104">
        <v>124702.43591932126</v>
      </c>
      <c r="U204" s="5">
        <v>102302.90219699984</v>
      </c>
      <c r="V204" s="104">
        <v>266753.34660297283</v>
      </c>
      <c r="W204" s="5">
        <v>232663.02829732074</v>
      </c>
      <c r="X204" s="5">
        <v>653799.15673542814</v>
      </c>
      <c r="Y204" s="5">
        <v>567022.96232317877</v>
      </c>
      <c r="Z204" s="121">
        <v>3887445.118902198</v>
      </c>
    </row>
    <row r="205" spans="3:26">
      <c r="C205" s="40">
        <f t="shared" si="44"/>
        <v>200</v>
      </c>
      <c r="D205" s="40">
        <f t="shared" si="41"/>
        <v>85</v>
      </c>
      <c r="E205" s="43">
        <f t="shared" si="45"/>
        <v>3900000</v>
      </c>
      <c r="F205" s="126">
        <f t="shared" si="43"/>
        <v>0.12</v>
      </c>
      <c r="G205" s="40" t="s">
        <v>64</v>
      </c>
      <c r="I205" s="113">
        <v>4305046.3116770796</v>
      </c>
      <c r="J205" s="43">
        <v>3320422.1565790195</v>
      </c>
      <c r="K205" s="43">
        <v>3900000</v>
      </c>
      <c r="L205" s="43">
        <v>39000</v>
      </c>
      <c r="M205" s="43">
        <v>110</v>
      </c>
      <c r="N205" s="43">
        <v>15046.311677079648</v>
      </c>
      <c r="O205" s="81" t="s">
        <v>85</v>
      </c>
      <c r="P205" s="81" t="s">
        <v>80</v>
      </c>
      <c r="Q205" s="114">
        <v>260678.374213134</v>
      </c>
      <c r="R205" s="88">
        <v>230774.58622571998</v>
      </c>
      <c r="S205" s="93">
        <v>5.9172970827107686E-2</v>
      </c>
      <c r="T205" s="113">
        <v>124702.43591932126</v>
      </c>
      <c r="U205" s="43">
        <v>102302.90219699984</v>
      </c>
      <c r="V205" s="113">
        <v>266753.34660297283</v>
      </c>
      <c r="W205" s="43">
        <v>232663.02829732074</v>
      </c>
      <c r="X205" s="43">
        <v>653799.15673542814</v>
      </c>
      <c r="Y205" s="43">
        <v>567022.96232317877</v>
      </c>
      <c r="Z205" s="122">
        <v>3887445.118902198</v>
      </c>
    </row>
    <row r="206" spans="3:26">
      <c r="C206" s="39">
        <f>C205+1</f>
        <v>201</v>
      </c>
      <c r="D206" s="39">
        <f>D198</f>
        <v>50</v>
      </c>
      <c r="E206" s="82">
        <f>ROUND(E198*1.25/100000,0)*100000</f>
        <v>4900000</v>
      </c>
      <c r="F206" s="124">
        <f t="shared" si="43"/>
        <v>5.45E-2</v>
      </c>
      <c r="G206" s="39" t="s">
        <v>64</v>
      </c>
      <c r="I206" s="42">
        <v>6700695.011673918</v>
      </c>
      <c r="J206" s="82">
        <v>3502751.6287103109</v>
      </c>
      <c r="K206" s="82">
        <v>4900000</v>
      </c>
      <c r="L206" s="82">
        <v>22254.166666666668</v>
      </c>
      <c r="M206" s="82">
        <v>301</v>
      </c>
      <c r="N206" s="82">
        <v>2190.8450072510168</v>
      </c>
      <c r="O206" s="80" t="s">
        <v>105</v>
      </c>
      <c r="P206" s="80" t="s">
        <v>73</v>
      </c>
      <c r="Q206" s="87">
        <v>766398.63772767654</v>
      </c>
      <c r="R206" s="110">
        <v>518784.67941338394</v>
      </c>
      <c r="S206" s="111">
        <v>0.10587442437007835</v>
      </c>
      <c r="T206" s="42">
        <v>486768.903923932</v>
      </c>
      <c r="U206" s="82">
        <v>300592.97118720529</v>
      </c>
      <c r="V206" s="42">
        <v>835474.44700955029</v>
      </c>
      <c r="W206" s="82">
        <v>553194.53453125851</v>
      </c>
      <c r="X206" s="82">
        <v>2093171.9886611588</v>
      </c>
      <c r="Y206" s="82">
        <v>1374936.2468068686</v>
      </c>
      <c r="Z206" s="120">
        <v>4877687.8755171793</v>
      </c>
    </row>
    <row r="207" spans="3:26">
      <c r="C207">
        <f t="shared" ref="C207:C213" si="46">C206+1</f>
        <v>202</v>
      </c>
      <c r="D207">
        <f t="shared" si="41"/>
        <v>55</v>
      </c>
      <c r="E207" s="5">
        <f t="shared" si="45"/>
        <v>4900000</v>
      </c>
      <c r="F207" s="125">
        <f t="shared" si="43"/>
        <v>6.1499999999999999E-2</v>
      </c>
      <c r="G207" t="s">
        <v>64</v>
      </c>
      <c r="I207" s="104">
        <v>6361428.2058142573</v>
      </c>
      <c r="J207" s="5">
        <v>3642447.7436706615</v>
      </c>
      <c r="K207" s="5">
        <v>4900000</v>
      </c>
      <c r="L207" s="5">
        <v>25112.5</v>
      </c>
      <c r="M207" s="5">
        <v>253</v>
      </c>
      <c r="N207" s="5">
        <v>7965.7058142572641</v>
      </c>
      <c r="O207" s="105" t="s">
        <v>104</v>
      </c>
      <c r="P207" s="105" t="s">
        <v>74</v>
      </c>
      <c r="Q207" s="106">
        <v>651095.88102934253</v>
      </c>
      <c r="R207" s="92">
        <v>471021.31778104464</v>
      </c>
      <c r="S207" s="112">
        <v>9.6126799547151962E-2</v>
      </c>
      <c r="T207" s="104">
        <v>400013.21085489326</v>
      </c>
      <c r="U207" s="5">
        <v>264660.50198043103</v>
      </c>
      <c r="V207" s="104">
        <v>704029.30437345034</v>
      </c>
      <c r="W207" s="5">
        <v>498744.30227039004</v>
      </c>
      <c r="X207" s="5">
        <v>1758948.3962576862</v>
      </c>
      <c r="Y207" s="5">
        <v>1236604.7658442755</v>
      </c>
      <c r="Z207" s="121">
        <v>4879052.5095149372</v>
      </c>
    </row>
    <row r="208" spans="3:26">
      <c r="C208">
        <f t="shared" si="46"/>
        <v>203</v>
      </c>
      <c r="D208">
        <f t="shared" si="41"/>
        <v>60</v>
      </c>
      <c r="E208" s="5">
        <f t="shared" si="45"/>
        <v>4900000</v>
      </c>
      <c r="F208" s="125">
        <f t="shared" si="43"/>
        <v>7.0000000000000007E-2</v>
      </c>
      <c r="G208" t="s">
        <v>64</v>
      </c>
      <c r="I208" s="104">
        <v>6081738.3723046221</v>
      </c>
      <c r="J208" s="5">
        <v>3774468.125268403</v>
      </c>
      <c r="K208" s="5">
        <v>4900000</v>
      </c>
      <c r="L208" s="5">
        <v>28583.333333333339</v>
      </c>
      <c r="M208" s="5">
        <v>212</v>
      </c>
      <c r="N208" s="5">
        <v>22071.705637954175</v>
      </c>
      <c r="O208" s="105" t="s">
        <v>102</v>
      </c>
      <c r="P208" s="105" t="s">
        <v>75</v>
      </c>
      <c r="Q208" s="106">
        <v>556029.53983687353</v>
      </c>
      <c r="R208" s="92">
        <v>425889.84740271483</v>
      </c>
      <c r="S208" s="112">
        <v>8.6916295388309153E-2</v>
      </c>
      <c r="T208" s="104">
        <v>328471.74713660462</v>
      </c>
      <c r="U208" s="5">
        <v>230707.57066909815</v>
      </c>
      <c r="V208" s="104">
        <v>595653.67541403638</v>
      </c>
      <c r="W208" s="5">
        <v>447294.42603909509</v>
      </c>
      <c r="X208" s="5">
        <v>1483349.9623875145</v>
      </c>
      <c r="Y208" s="5">
        <v>1105873.8231960176</v>
      </c>
      <c r="Z208" s="121">
        <v>4880341.9484644206</v>
      </c>
    </row>
    <row r="209" spans="3:26">
      <c r="C209">
        <f t="shared" si="46"/>
        <v>204</v>
      </c>
      <c r="D209">
        <f t="shared" si="41"/>
        <v>65</v>
      </c>
      <c r="E209" s="5">
        <f t="shared" si="45"/>
        <v>4900000</v>
      </c>
      <c r="F209" s="125">
        <f t="shared" si="43"/>
        <v>0.08</v>
      </c>
      <c r="G209" t="s">
        <v>64</v>
      </c>
      <c r="I209" s="104">
        <v>5856597.4555595834</v>
      </c>
      <c r="J209" s="5">
        <v>3893898.0189791522</v>
      </c>
      <c r="K209" s="5">
        <v>4900000</v>
      </c>
      <c r="L209" s="5">
        <v>32666.666666666668</v>
      </c>
      <c r="M209" s="5">
        <v>179</v>
      </c>
      <c r="N209" s="5">
        <v>9264.1222262494266</v>
      </c>
      <c r="O209" s="105" t="s">
        <v>103</v>
      </c>
      <c r="P209" s="105" t="s">
        <v>76</v>
      </c>
      <c r="Q209" s="106">
        <v>479443.72613184241</v>
      </c>
      <c r="R209" s="92">
        <v>385092.33047302003</v>
      </c>
      <c r="S209" s="112">
        <v>7.8590271525106128E-2</v>
      </c>
      <c r="T209" s="104">
        <v>270658.92025381437</v>
      </c>
      <c r="U209" s="5">
        <v>199939.4777467461</v>
      </c>
      <c r="V209" s="104">
        <v>508345.84779030038</v>
      </c>
      <c r="W209" s="5">
        <v>400785.2567392427</v>
      </c>
      <c r="X209" s="5">
        <v>1261148.4941759571</v>
      </c>
      <c r="Y209" s="5">
        <v>987609.54423103598</v>
      </c>
      <c r="Z209" s="121">
        <v>4881507.5632101884</v>
      </c>
    </row>
    <row r="210" spans="3:26">
      <c r="C210">
        <f t="shared" si="46"/>
        <v>205</v>
      </c>
      <c r="D210">
        <f t="shared" si="41"/>
        <v>70</v>
      </c>
      <c r="E210" s="5">
        <f t="shared" si="45"/>
        <v>4900000</v>
      </c>
      <c r="F210" s="125">
        <f t="shared" si="43"/>
        <v>0.1</v>
      </c>
      <c r="G210" t="s">
        <v>64</v>
      </c>
      <c r="I210" s="104">
        <v>5576534.5094562704</v>
      </c>
      <c r="J210" s="5">
        <v>4060760.406585454</v>
      </c>
      <c r="K210" s="5">
        <v>4900000</v>
      </c>
      <c r="L210" s="5">
        <v>40833.333333333336</v>
      </c>
      <c r="M210" s="5">
        <v>136</v>
      </c>
      <c r="N210" s="5">
        <v>23201.17612293642</v>
      </c>
      <c r="O210" s="105" t="s">
        <v>100</v>
      </c>
      <c r="P210" s="105" t="s">
        <v>69</v>
      </c>
      <c r="Q210" s="106">
        <v>384372.79654731753</v>
      </c>
      <c r="R210" s="92">
        <v>328004.17745365604</v>
      </c>
      <c r="S210" s="112">
        <v>6.6939628051766537E-2</v>
      </c>
      <c r="T210" s="104">
        <v>199503.58721178098</v>
      </c>
      <c r="U210" s="5">
        <v>157174.23961235877</v>
      </c>
      <c r="V210" s="104">
        <v>399964.98806394188</v>
      </c>
      <c r="W210" s="5">
        <v>335704.76229716797</v>
      </c>
      <c r="X210" s="5">
        <v>985896.3718230403</v>
      </c>
      <c r="Y210" s="5">
        <v>822378.20669777645</v>
      </c>
      <c r="Z210" s="121">
        <v>4883138.61328323</v>
      </c>
    </row>
    <row r="211" spans="3:26">
      <c r="C211">
        <f t="shared" si="46"/>
        <v>206</v>
      </c>
      <c r="D211">
        <f t="shared" si="41"/>
        <v>75</v>
      </c>
      <c r="E211" s="5">
        <f t="shared" si="45"/>
        <v>4900000</v>
      </c>
      <c r="F211" s="125">
        <f t="shared" si="43"/>
        <v>0.12</v>
      </c>
      <c r="G211" t="s">
        <v>64</v>
      </c>
      <c r="I211" s="104">
        <v>5409393.7335637845</v>
      </c>
      <c r="J211" s="5">
        <v>4172097.1853128588</v>
      </c>
      <c r="K211" s="5">
        <v>4900000</v>
      </c>
      <c r="L211" s="5">
        <v>49000</v>
      </c>
      <c r="M211" s="5">
        <v>110</v>
      </c>
      <c r="N211" s="5">
        <v>19393.73356378451</v>
      </c>
      <c r="O211" s="105" t="s">
        <v>85</v>
      </c>
      <c r="P211" s="105" t="s">
        <v>78</v>
      </c>
      <c r="Q211" s="106">
        <v>327540.42069065094</v>
      </c>
      <c r="R211" s="92">
        <v>289962.50861549226</v>
      </c>
      <c r="S211" s="112">
        <v>5.9176022166426992E-2</v>
      </c>
      <c r="T211" s="104">
        <v>156694.29156045639</v>
      </c>
      <c r="U211" s="5">
        <v>128546.09209053776</v>
      </c>
      <c r="V211" s="104">
        <v>335176.07958734198</v>
      </c>
      <c r="W211" s="5">
        <v>292337.25982166117</v>
      </c>
      <c r="X211" s="5">
        <v>821075.79183844931</v>
      </c>
      <c r="Y211" s="5">
        <v>712128.30613082938</v>
      </c>
      <c r="Z211" s="121">
        <v>4884225.491443688</v>
      </c>
    </row>
    <row r="212" spans="3:26">
      <c r="C212">
        <f t="shared" si="46"/>
        <v>207</v>
      </c>
      <c r="D212">
        <f t="shared" si="41"/>
        <v>80</v>
      </c>
      <c r="E212" s="5">
        <f t="shared" si="45"/>
        <v>4900000</v>
      </c>
      <c r="F212" s="125">
        <f t="shared" si="43"/>
        <v>0.12</v>
      </c>
      <c r="G212" t="s">
        <v>64</v>
      </c>
      <c r="I212" s="104">
        <v>5409393.7335637845</v>
      </c>
      <c r="J212" s="5">
        <v>4172097.1853128588</v>
      </c>
      <c r="K212" s="5">
        <v>4900000</v>
      </c>
      <c r="L212" s="5">
        <v>49000</v>
      </c>
      <c r="M212" s="5">
        <v>110</v>
      </c>
      <c r="N212" s="5">
        <v>19393.73356378451</v>
      </c>
      <c r="O212" s="105" t="s">
        <v>85</v>
      </c>
      <c r="P212" s="105" t="s">
        <v>79</v>
      </c>
      <c r="Q212" s="106">
        <v>327540.42069065094</v>
      </c>
      <c r="R212" s="92">
        <v>289962.50861549226</v>
      </c>
      <c r="S212" s="112">
        <v>5.9176022166426992E-2</v>
      </c>
      <c r="T212" s="104">
        <v>156694.29156045639</v>
      </c>
      <c r="U212" s="5">
        <v>128546.09209053776</v>
      </c>
      <c r="V212" s="104">
        <v>335176.07958734198</v>
      </c>
      <c r="W212" s="5">
        <v>292337.25982166117</v>
      </c>
      <c r="X212" s="5">
        <v>821075.79183844931</v>
      </c>
      <c r="Y212" s="5">
        <v>712128.30613082938</v>
      </c>
      <c r="Z212" s="121">
        <v>4884225.491443688</v>
      </c>
    </row>
    <row r="213" spans="3:26">
      <c r="C213" s="40">
        <f t="shared" si="46"/>
        <v>208</v>
      </c>
      <c r="D213" s="40">
        <f t="shared" si="41"/>
        <v>85</v>
      </c>
      <c r="E213" s="43">
        <f t="shared" si="45"/>
        <v>4900000</v>
      </c>
      <c r="F213" s="126">
        <f t="shared" si="43"/>
        <v>0.12</v>
      </c>
      <c r="G213" s="40" t="s">
        <v>64</v>
      </c>
      <c r="I213" s="113">
        <v>5409393.7335637845</v>
      </c>
      <c r="J213" s="43">
        <v>4172097.1853128588</v>
      </c>
      <c r="K213" s="43">
        <v>4900000</v>
      </c>
      <c r="L213" s="43">
        <v>49000</v>
      </c>
      <c r="M213" s="43">
        <v>110</v>
      </c>
      <c r="N213" s="43">
        <v>19393.73356378451</v>
      </c>
      <c r="O213" s="81" t="s">
        <v>85</v>
      </c>
      <c r="P213" s="81" t="s">
        <v>80</v>
      </c>
      <c r="Q213" s="114">
        <v>327540.42069065094</v>
      </c>
      <c r="R213" s="88">
        <v>289962.50861549226</v>
      </c>
      <c r="S213" s="93">
        <v>5.9176022166426992E-2</v>
      </c>
      <c r="T213" s="113">
        <v>156694.29156045639</v>
      </c>
      <c r="U213" s="43">
        <v>128546.09209053776</v>
      </c>
      <c r="V213" s="113">
        <v>335176.07958734198</v>
      </c>
      <c r="W213" s="43">
        <v>292337.25982166117</v>
      </c>
      <c r="X213" s="43">
        <v>821075.79183844931</v>
      </c>
      <c r="Y213" s="43">
        <v>712128.30613082938</v>
      </c>
      <c r="Z213" s="122">
        <v>4884225.491443688</v>
      </c>
    </row>
  </sheetData>
  <mergeCells count="2">
    <mergeCell ref="C4:G4"/>
    <mergeCell ref="I4:Z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E767-289A-4974-9A2F-47F54EC4AFB2}">
  <sheetPr codeName="Sheet1"/>
  <dimension ref="B1:BN2218"/>
  <sheetViews>
    <sheetView showGridLines="0" tabSelected="1" zoomScale="85" zoomScaleNormal="85" workbookViewId="0">
      <selection activeCell="C6" sqref="C6"/>
    </sheetView>
  </sheetViews>
  <sheetFormatPr defaultRowHeight="14.4"/>
  <cols>
    <col min="1" max="1" width="2.5546875" customWidth="1"/>
    <col min="2" max="2" width="49.88671875" customWidth="1"/>
    <col min="3" max="3" width="10.5546875" bestFit="1" customWidth="1"/>
    <col min="4" max="4" width="7.6640625" bestFit="1" customWidth="1"/>
    <col min="5" max="5" width="6.33203125" bestFit="1" customWidth="1"/>
    <col min="6" max="6" width="8" customWidth="1"/>
    <col min="7" max="7" width="7" customWidth="1"/>
    <col min="8" max="8" width="5.6640625" bestFit="1" customWidth="1"/>
    <col min="9" max="9" width="12.88671875" bestFit="1" customWidth="1"/>
    <col min="10" max="10" width="7.6640625" bestFit="1" customWidth="1"/>
    <col min="11" max="11" width="7.5546875" style="161" bestFit="1" customWidth="1"/>
    <col min="12" max="12" width="7.6640625" style="161" customWidth="1"/>
    <col min="13" max="13" width="6.88671875" style="161" bestFit="1" customWidth="1"/>
    <col min="14" max="14" width="9" style="161" customWidth="1"/>
    <col min="15" max="15" width="7.6640625" bestFit="1" customWidth="1"/>
    <col min="16" max="16" width="8.88671875" bestFit="1" customWidth="1"/>
    <col min="17" max="17" width="2.5546875" customWidth="1"/>
    <col min="18" max="18" width="6.33203125" bestFit="1" customWidth="1"/>
    <col min="19" max="19" width="7.6640625" bestFit="1" customWidth="1"/>
    <col min="20" max="20" width="7.6640625" customWidth="1"/>
    <col min="21" max="21" width="5.6640625" bestFit="1" customWidth="1"/>
    <col min="22" max="22" width="12.88671875" bestFit="1" customWidth="1"/>
    <col min="23" max="23" width="7.33203125" customWidth="1"/>
    <col min="24" max="24" width="6.88671875" style="161" bestFit="1" customWidth="1"/>
    <col min="25" max="25" width="6.109375" style="161" bestFit="1" customWidth="1"/>
    <col min="26" max="26" width="7.88671875" style="161" bestFit="1" customWidth="1"/>
    <col min="27" max="27" width="7.5546875" style="161" bestFit="1" customWidth="1"/>
    <col min="28" max="28" width="7.6640625" bestFit="1" customWidth="1"/>
    <col min="29" max="29" width="9" bestFit="1" customWidth="1"/>
    <col min="30" max="30" width="9.33203125" bestFit="1" customWidth="1"/>
    <col min="31" max="31" width="2.33203125" customWidth="1"/>
    <col min="32" max="32" width="9.6640625" customWidth="1"/>
    <col min="33" max="33" width="15.33203125" bestFit="1" customWidth="1"/>
    <col min="34" max="34" width="58.6640625" bestFit="1" customWidth="1"/>
    <col min="35" max="35" width="11.6640625" customWidth="1"/>
    <col min="36" max="36" width="2.5546875" customWidth="1"/>
    <col min="37" max="37" width="4.88671875" bestFit="1" customWidth="1"/>
    <col min="38" max="38" width="8.109375" bestFit="1" customWidth="1"/>
    <col min="39" max="39" width="11.88671875" bestFit="1" customWidth="1"/>
    <col min="40" max="41" width="11.88671875" customWidth="1"/>
    <col min="42" max="43" width="6.6640625" bestFit="1" customWidth="1"/>
    <col min="44" max="44" width="2.5546875" customWidth="1"/>
    <col min="45" max="45" width="4.44140625" bestFit="1" customWidth="1"/>
    <col min="46" max="46" width="6.33203125" bestFit="1" customWidth="1"/>
    <col min="47" max="47" width="17.33203125" bestFit="1" customWidth="1"/>
    <col min="49" max="49" width="9.109375" bestFit="1" customWidth="1"/>
    <col min="50" max="50" width="16.33203125" bestFit="1" customWidth="1"/>
    <col min="51" max="51" width="2.5546875" customWidth="1"/>
    <col min="52" max="52" width="4.6640625" customWidth="1"/>
    <col min="53" max="64" width="10.44140625" bestFit="1" customWidth="1"/>
    <col min="65" max="65" width="13.44140625" bestFit="1" customWidth="1"/>
    <col min="66" max="66" width="13.6640625" bestFit="1" customWidth="1"/>
  </cols>
  <sheetData>
    <row r="1" spans="2:66">
      <c r="F1" s="1" t="s">
        <v>120</v>
      </c>
      <c r="G1" s="166"/>
      <c r="H1" s="1"/>
      <c r="S1" s="1" t="s">
        <v>121</v>
      </c>
      <c r="T1" s="1"/>
      <c r="U1" s="1"/>
      <c r="AC1" s="165"/>
      <c r="AG1" s="128"/>
      <c r="AH1" s="5"/>
      <c r="AI1" s="127"/>
      <c r="AV1" s="128">
        <v>0.06</v>
      </c>
    </row>
    <row r="2" spans="2:66">
      <c r="B2" s="38" t="s">
        <v>46</v>
      </c>
      <c r="C2" s="153" t="s">
        <v>118</v>
      </c>
      <c r="E2" s="32"/>
      <c r="F2" s="205" t="s">
        <v>111</v>
      </c>
      <c r="G2" s="139"/>
      <c r="H2" s="139"/>
      <c r="I2" s="32" t="s">
        <v>36</v>
      </c>
      <c r="J2" s="209" t="s">
        <v>3</v>
      </c>
      <c r="K2" s="211" t="s">
        <v>37</v>
      </c>
      <c r="L2" s="211" t="s">
        <v>57</v>
      </c>
      <c r="M2" s="211" t="s">
        <v>58</v>
      </c>
      <c r="N2" s="211" t="s">
        <v>59</v>
      </c>
      <c r="O2" s="213" t="s">
        <v>60</v>
      </c>
      <c r="P2" s="209" t="s">
        <v>4</v>
      </c>
      <c r="R2" s="32"/>
      <c r="S2" s="207" t="s">
        <v>111</v>
      </c>
      <c r="T2" s="32"/>
      <c r="U2" s="32"/>
      <c r="V2" s="32" t="s">
        <v>36</v>
      </c>
      <c r="W2" s="209" t="s">
        <v>3</v>
      </c>
      <c r="X2" s="211" t="s">
        <v>37</v>
      </c>
      <c r="Y2" s="211" t="s">
        <v>57</v>
      </c>
      <c r="Z2" s="211" t="s">
        <v>58</v>
      </c>
      <c r="AA2" s="211" t="s">
        <v>59</v>
      </c>
      <c r="AB2" s="213" t="s">
        <v>60</v>
      </c>
      <c r="AC2" s="209" t="s">
        <v>119</v>
      </c>
      <c r="AD2" s="209" t="s">
        <v>4</v>
      </c>
      <c r="AI2" s="127"/>
    </row>
    <row r="3" spans="2:66">
      <c r="B3" s="39" t="s">
        <v>113</v>
      </c>
      <c r="C3" s="154">
        <v>69</v>
      </c>
      <c r="E3" s="33" t="s">
        <v>7</v>
      </c>
      <c r="F3" s="206"/>
      <c r="G3" s="130" t="s">
        <v>109</v>
      </c>
      <c r="H3" s="130" t="s">
        <v>9</v>
      </c>
      <c r="I3" s="33" t="s">
        <v>2</v>
      </c>
      <c r="J3" s="210"/>
      <c r="K3" s="212"/>
      <c r="L3" s="212"/>
      <c r="M3" s="212"/>
      <c r="N3" s="212"/>
      <c r="O3" s="214"/>
      <c r="P3" s="210"/>
      <c r="R3" s="33" t="s">
        <v>7</v>
      </c>
      <c r="S3" s="208"/>
      <c r="T3" s="130" t="s">
        <v>109</v>
      </c>
      <c r="U3" s="130" t="s">
        <v>9</v>
      </c>
      <c r="V3" s="33" t="s">
        <v>2</v>
      </c>
      <c r="W3" s="210"/>
      <c r="X3" s="212"/>
      <c r="Y3" s="212"/>
      <c r="Z3" s="212"/>
      <c r="AA3" s="212"/>
      <c r="AB3" s="214"/>
      <c r="AC3" s="210"/>
      <c r="AD3" s="210"/>
      <c r="AH3" s="36" t="s">
        <v>38</v>
      </c>
      <c r="AI3" s="42">
        <f>-SUM(O:O)</f>
        <v>3762087.2105241152</v>
      </c>
      <c r="AK3" s="77" t="s">
        <v>5</v>
      </c>
      <c r="AL3" s="32" t="s">
        <v>48</v>
      </c>
      <c r="AM3" s="32" t="s">
        <v>1</v>
      </c>
      <c r="AN3" s="32"/>
      <c r="AO3" s="32"/>
      <c r="AP3" s="32" t="s">
        <v>9</v>
      </c>
      <c r="AQ3" s="78" t="s">
        <v>10</v>
      </c>
      <c r="AS3" s="51" t="s">
        <v>8</v>
      </c>
      <c r="AT3" s="52" t="s">
        <v>7</v>
      </c>
      <c r="AU3" s="53" t="str">
        <f>[1]Nominal!L4</f>
        <v>Disc factor Base</v>
      </c>
      <c r="AV3" s="53" t="str">
        <f>[1]Nominal!P4</f>
        <v>Int in period
Base</v>
      </c>
      <c r="AW3" s="53" t="s">
        <v>13</v>
      </c>
      <c r="AX3" s="54" t="s">
        <v>12</v>
      </c>
      <c r="AZ3" s="67" t="s">
        <v>8</v>
      </c>
      <c r="BA3" s="68">
        <v>1</v>
      </c>
      <c r="BB3" s="68">
        <v>2</v>
      </c>
      <c r="BC3" s="68">
        <v>3</v>
      </c>
      <c r="BD3" s="68">
        <v>4</v>
      </c>
      <c r="BE3" s="68">
        <v>5</v>
      </c>
      <c r="BF3" s="68">
        <v>6</v>
      </c>
      <c r="BG3" s="68">
        <v>7</v>
      </c>
      <c r="BH3" s="68">
        <v>8</v>
      </c>
      <c r="BI3" s="68">
        <v>9</v>
      </c>
      <c r="BJ3" s="68">
        <v>10</v>
      </c>
      <c r="BK3" s="68">
        <v>11</v>
      </c>
      <c r="BL3" s="68">
        <v>12</v>
      </c>
      <c r="BM3" s="69" t="s">
        <v>11</v>
      </c>
      <c r="BN3" s="70" t="s">
        <v>12</v>
      </c>
    </row>
    <row r="4" spans="2:66">
      <c r="B4" t="s">
        <v>0</v>
      </c>
      <c r="C4" s="155">
        <v>2798176</v>
      </c>
      <c r="E4">
        <v>1</v>
      </c>
      <c r="F4" s="129">
        <f>$C$3</f>
        <v>69</v>
      </c>
      <c r="G4" s="132">
        <f t="shared" ref="G4:G67" si="0">(1-(1-IF(F4&gt;$AK$90,0,VLOOKUP(ROUND(F4,0),$AK$4:$AL$90,2,FALSE)))^(1/12))*0</f>
        <v>0</v>
      </c>
      <c r="H4" s="131">
        <v>1</v>
      </c>
      <c r="I4" s="30">
        <f>C4*(1-$C$14-$C$15*(1+$C$20))</f>
        <v>2742212.48</v>
      </c>
      <c r="J4" s="30">
        <f t="shared" ref="J4:J67" si="1">(I4)*$AV4</f>
        <v>13347.857907314763</v>
      </c>
      <c r="K4" s="162">
        <f t="shared" ref="K4:K67" si="2">IF(I4=0,0,-$C$19)*H4</f>
        <v>-20</v>
      </c>
      <c r="L4" s="162">
        <f>-I4*($C$16/12)</f>
        <v>-2285.1770666666666</v>
      </c>
      <c r="M4" s="162">
        <f>-IF(MOD(E4-1,12)=0,1,0)*I4*($C$17)</f>
        <v>-20566.5936</v>
      </c>
      <c r="N4" s="162">
        <f>-I4*($C$18*(1+$C$20))/12</f>
        <v>-2605.1018560000007</v>
      </c>
      <c r="O4" s="83">
        <f t="shared" ref="O4:O67" si="3">-MIN(
IF(MOD(E4-1,IF($C$7="Annual",12,1))=0,1,0)
*IF(F4&lt;=$C$6,H4*$C$5*$C$4/IF($C$7="Monthly",12,1),$C$12),I4)</f>
        <v>-17488.599999999999</v>
      </c>
      <c r="P4" s="30">
        <f t="shared" ref="P4:P67" si="4">SUM(I4:O4)</f>
        <v>2712594.8653846486</v>
      </c>
      <c r="Q4" s="5"/>
      <c r="R4" s="138">
        <f ca="1">OFFSET($E$3,MATCH(C6,F4:F784,1),0)</f>
        <v>121</v>
      </c>
      <c r="S4" s="131">
        <f>$C$6</f>
        <v>79</v>
      </c>
      <c r="T4" s="132">
        <f t="shared" ref="T4:T67" si="5">(1-(1-IF(S4&gt;$AK$90,0,VLOOKUP(ROUND(S4,0),$AK$4:$AL$90,2,FALSE)))^(1/12))</f>
        <v>7.1576607612245935E-3</v>
      </c>
      <c r="U4" s="164">
        <f ca="1">OFFSET($H$3,MATCH(C6,F4:F784,1),0)</f>
        <v>1</v>
      </c>
      <c r="V4" s="30">
        <f ca="1">OFFSET($I$4,MATCH(C6,$F$4:$F$784,1),0)</f>
        <v>1209695.9444801386</v>
      </c>
      <c r="W4" s="30">
        <f t="shared" ref="W4:W67" ca="1" si="6">(V4)*$AV4</f>
        <v>5888.2561784474919</v>
      </c>
      <c r="X4" s="162">
        <f ca="1">IF(V4=0,0,-$C$19)*U4</f>
        <v>-20</v>
      </c>
      <c r="Y4" s="162">
        <f ca="1">-V4*($C$16/12)</f>
        <v>-1008.0799537334489</v>
      </c>
      <c r="Z4" s="162">
        <f ca="1">-IF(MOD(R4,12)=0,1,0)*V4*($C$17)</f>
        <v>0</v>
      </c>
      <c r="AA4" s="162">
        <f ca="1">-V4*($C$18*(1+$C$20))/12</f>
        <v>-1149.2111472561319</v>
      </c>
      <c r="AB4" s="83">
        <f t="shared" ref="AB4:AB67" ca="1" si="7">-MIN(IF(MOD(R4,IF($C$7="Annual",12,1))=0,1,0)*$C$39*U4/IF($C$7="Monthly",12,1),V4)</f>
        <v>-6234.7220095610019</v>
      </c>
      <c r="AC4" s="159">
        <f t="shared" ref="AC4:AC67" si="8">IF($C$8="Yes",-V4*T4,0)</f>
        <v>0</v>
      </c>
      <c r="AD4" s="30">
        <f t="shared" ref="AD4:AD67" ca="1" si="9">SUM(V4:AC4)</f>
        <v>1207172.1875480355</v>
      </c>
      <c r="AE4" s="5"/>
      <c r="AF4" s="151">
        <f t="shared" ref="AF4:AF67" ca="1" si="10">AB4/U4</f>
        <v>-6234.7220095610019</v>
      </c>
      <c r="AG4" s="151">
        <f t="shared" ref="AG4:AG67" ca="1" si="11">AD4/U4</f>
        <v>1207172.1875480355</v>
      </c>
      <c r="AH4" s="35" t="s">
        <v>39</v>
      </c>
      <c r="AI4" s="5">
        <f>-SUMPRODUCT(O4:O1803,AU4:AU1803)</f>
        <v>2105780.6285927654</v>
      </c>
      <c r="AJ4" s="9"/>
      <c r="AK4" s="44">
        <v>18</v>
      </c>
      <c r="AL4" s="2">
        <v>3.3E-3</v>
      </c>
      <c r="AM4" s="2">
        <v>1.6199999999999999E-3</v>
      </c>
      <c r="AN4" s="2"/>
      <c r="AO4" s="2"/>
      <c r="AP4" s="45">
        <f>(1-VLOOKUP($C$3+E4-1,$AK$4:$AL$90,2,FALSE))</f>
        <v>0.96487000000000001</v>
      </c>
      <c r="AQ4" s="46">
        <f>AP4</f>
        <v>0.96487000000000001</v>
      </c>
      <c r="AS4" s="55">
        <f>ROUNDDOWN((AT4-1)/12,0)+1</f>
        <v>1</v>
      </c>
      <c r="AT4" s="56">
        <v>1</v>
      </c>
      <c r="AU4" s="57">
        <f>1-AV4</f>
        <v>0.99513244943465695</v>
      </c>
      <c r="AV4" s="58">
        <f>((1+$AV$1)^(1/12))-1</f>
        <v>4.8675505653430484E-3</v>
      </c>
      <c r="AW4" s="59">
        <f>(1+AV4)</f>
        <v>1.004867550565343</v>
      </c>
      <c r="AX4" s="60">
        <f>AW4</f>
        <v>1.004867550565343</v>
      </c>
      <c r="AZ4" s="71">
        <f>1</f>
        <v>1</v>
      </c>
      <c r="BA4" s="72">
        <f t="shared" ref="BA4:BL4" ca="1" si="12">OFFSET($AW$3,($AZ4*12-11)*BA$3,0)</f>
        <v>1.004867550565343</v>
      </c>
      <c r="BB4" s="72">
        <f t="shared" ca="1" si="12"/>
        <v>1.004867550565343</v>
      </c>
      <c r="BC4" s="72">
        <f t="shared" ca="1" si="12"/>
        <v>1.004867550565343</v>
      </c>
      <c r="BD4" s="72">
        <f t="shared" ca="1" si="12"/>
        <v>1.004867550565343</v>
      </c>
      <c r="BE4" s="72">
        <f t="shared" ca="1" si="12"/>
        <v>1.004867550565343</v>
      </c>
      <c r="BF4" s="72">
        <f t="shared" ca="1" si="12"/>
        <v>1.004867550565343</v>
      </c>
      <c r="BG4" s="72">
        <f t="shared" ca="1" si="12"/>
        <v>1.004867550565343</v>
      </c>
      <c r="BH4" s="72">
        <f t="shared" ca="1" si="12"/>
        <v>1.004867550565343</v>
      </c>
      <c r="BI4" s="72">
        <f t="shared" ca="1" si="12"/>
        <v>1.004867550565343</v>
      </c>
      <c r="BJ4" s="72">
        <f t="shared" ca="1" si="12"/>
        <v>1.004867550565343</v>
      </c>
      <c r="BK4" s="72">
        <f t="shared" ca="1" si="12"/>
        <v>1.004867550565343</v>
      </c>
      <c r="BL4" s="72">
        <f t="shared" ca="1" si="12"/>
        <v>1.004867550565343</v>
      </c>
      <c r="BM4" s="72">
        <f t="shared" ref="BM4:BM35" ca="1" si="13">PRODUCT(BA4:BL4)-1</f>
        <v>6.0000000000000275E-2</v>
      </c>
      <c r="BN4" s="73">
        <f ca="1">PRODUCT(BA4:BL4)</f>
        <v>1.0600000000000003</v>
      </c>
    </row>
    <row r="5" spans="2:66">
      <c r="B5" t="s">
        <v>106</v>
      </c>
      <c r="C5" s="156">
        <v>7.4999999999999997E-2</v>
      </c>
      <c r="D5" s="9"/>
      <c r="E5">
        <f>E4+1</f>
        <v>2</v>
      </c>
      <c r="F5" s="9">
        <f>1/12+F4</f>
        <v>69.083333333333329</v>
      </c>
      <c r="G5" s="132">
        <f t="shared" si="0"/>
        <v>0</v>
      </c>
      <c r="H5" s="133">
        <f>H4*(1-G4)</f>
        <v>1</v>
      </c>
      <c r="I5" s="31">
        <f t="shared" ref="I5:I68" si="14">MAX(P4,0)*(1-G5)</f>
        <v>2712594.8653846486</v>
      </c>
      <c r="J5" s="31">
        <f t="shared" si="1"/>
        <v>13203.692670549697</v>
      </c>
      <c r="K5" s="163">
        <f t="shared" si="2"/>
        <v>-20</v>
      </c>
      <c r="L5" s="163">
        <f t="shared" ref="L5:L68" si="15">IF(OR(I4+O4=0,K4=0),0,-I5*($C$16/12))</f>
        <v>-2260.495721153874</v>
      </c>
      <c r="M5" s="163">
        <f t="shared" ref="M5:M14" si="16">IF(OR(I4+O4=0,K4=0),0,-IF(MOD(E5-1,12)=0,1,0)*I5*($C$17))</f>
        <v>0</v>
      </c>
      <c r="N5" s="163">
        <f t="shared" ref="N5:N68" si="17">IF(OR(I4+O4=0,K4=0),0,-I5*($C$18*(1+$C$20))/12)</f>
        <v>-2576.9651221154168</v>
      </c>
      <c r="O5" s="84">
        <f t="shared" si="3"/>
        <v>-17488.599999999999</v>
      </c>
      <c r="P5" s="31">
        <f t="shared" si="4"/>
        <v>2703452.4972119289</v>
      </c>
      <c r="Q5" s="5"/>
      <c r="R5">
        <f t="shared" ref="R5:R68" ca="1" si="18">R4+1</f>
        <v>122</v>
      </c>
      <c r="S5" s="133">
        <f t="shared" ref="S5:S68" ca="1" si="19">ROUND((R5-R4)/12+S4,2)</f>
        <v>79.08</v>
      </c>
      <c r="T5" s="132">
        <f t="shared" ca="1" si="5"/>
        <v>7.1576607612245935E-3</v>
      </c>
      <c r="U5" s="133">
        <f ca="1">U4*(1-T5)</f>
        <v>0.99284233923877541</v>
      </c>
      <c r="V5" s="31">
        <f t="shared" ref="V5:V68" ca="1" si="20">MAX(AD4,0)*(1-T5)</f>
        <v>1198531.6585491812</v>
      </c>
      <c r="W5" s="31">
        <f t="shared" ca="1" si="6"/>
        <v>5833.9134521526084</v>
      </c>
      <c r="X5" s="163">
        <f t="shared" ref="X5" ca="1" si="21">IF(V5=0,0,-$C$19)*U5</f>
        <v>-19.856846784775509</v>
      </c>
      <c r="Y5" s="163">
        <f ca="1">IF(OR(V4+AB4=0,X4=0),0,-V5*($C$16/12))</f>
        <v>-998.77638212431771</v>
      </c>
      <c r="Z5" s="163">
        <f t="shared" ref="Z5:Z68" ca="1" si="22">IF(OR(V4+AB4=0,X4=0),0,-IF(MOD(E5,12)=0,1,0)*V5*($C$17))</f>
        <v>0</v>
      </c>
      <c r="AA5" s="163">
        <f ca="1">IF(OR(V4+AB4=0,X4=0),0,-V5*($C$18*(1+$C$20))/12)</f>
        <v>-1138.6050756217223</v>
      </c>
      <c r="AB5" s="84">
        <f t="shared" ca="1" si="7"/>
        <v>-6190.0959844760227</v>
      </c>
      <c r="AC5" s="160">
        <f t="shared" si="8"/>
        <v>0</v>
      </c>
      <c r="AD5" s="31">
        <f t="shared" ca="1" si="9"/>
        <v>1196018.2377123272</v>
      </c>
      <c r="AE5" s="5"/>
      <c r="AF5" s="151">
        <f t="shared" ca="1" si="10"/>
        <v>-6234.722009561001</v>
      </c>
      <c r="AG5" s="151">
        <f t="shared" ca="1" si="11"/>
        <v>1204640.6468013132</v>
      </c>
      <c r="AH5" s="35" t="s">
        <v>40</v>
      </c>
      <c r="AI5" s="5">
        <f>C4</f>
        <v>2798176</v>
      </c>
      <c r="AJ5" s="5"/>
      <c r="AK5" s="44">
        <v>19</v>
      </c>
      <c r="AL5" s="2">
        <v>3.3500000000000001E-3</v>
      </c>
      <c r="AM5" s="2">
        <v>1.8799999999999999E-3</v>
      </c>
      <c r="AN5" s="2">
        <f t="shared" ref="AN5:AN36" si="23">$C$6+E5-1</f>
        <v>80</v>
      </c>
      <c r="AO5" s="2">
        <f t="shared" ref="AO5:AO36" si="24">IF(AN5&gt;$AK$90,0,VLOOKUP($C$6+E5-1,$AK$4:$AL$90,2,FALSE))</f>
        <v>8.992E-2</v>
      </c>
      <c r="AP5" s="45">
        <f>(1-IFERROR(AO5,1))*AP4</f>
        <v>0.8781088896</v>
      </c>
      <c r="AQ5" s="46">
        <f t="shared" ref="AQ5:AQ36" ca="1" si="25">AP5/BN4</f>
        <v>0.82840461283018851</v>
      </c>
      <c r="AS5" s="55">
        <f t="shared" ref="AS5:AS68" si="26">ROUNDDOWN((AT5-1)/12,0)+1</f>
        <v>1</v>
      </c>
      <c r="AT5" s="56">
        <f>AT4+1</f>
        <v>2</v>
      </c>
      <c r="AU5" s="57">
        <f>(1-AV5)*AU4</f>
        <v>0.99028859191782004</v>
      </c>
      <c r="AV5" s="58">
        <f t="shared" ref="AV5:AV68" si="27">((1+$AV$1)^(1/12))-1</f>
        <v>4.8675505653430484E-3</v>
      </c>
      <c r="AW5" s="59">
        <f t="shared" ref="AW5:AW68" si="28">(1+AV5)</f>
        <v>1.004867550565343</v>
      </c>
      <c r="AX5" s="60">
        <f>PRODUCT(AW$4:AW5)</f>
        <v>1.0097587941791923</v>
      </c>
      <c r="AZ5" s="71">
        <f>AZ4+1</f>
        <v>2</v>
      </c>
      <c r="BA5" s="72">
        <f t="shared" ref="BA5:BL14" ca="1" si="29">OFFSET($AW$3,($AZ5*12-12)+BA$3,0)</f>
        <v>1.004867550565343</v>
      </c>
      <c r="BB5" s="72">
        <f t="shared" ca="1" si="29"/>
        <v>1.004867550565343</v>
      </c>
      <c r="BC5" s="72">
        <f t="shared" ca="1" si="29"/>
        <v>1.004867550565343</v>
      </c>
      <c r="BD5" s="72">
        <f t="shared" ca="1" si="29"/>
        <v>1.004867550565343</v>
      </c>
      <c r="BE5" s="72">
        <f t="shared" ca="1" si="29"/>
        <v>1.004867550565343</v>
      </c>
      <c r="BF5" s="72">
        <f t="shared" ca="1" si="29"/>
        <v>1.004867550565343</v>
      </c>
      <c r="BG5" s="72">
        <f t="shared" ca="1" si="29"/>
        <v>1.004867550565343</v>
      </c>
      <c r="BH5" s="72">
        <f t="shared" ca="1" si="29"/>
        <v>1.004867550565343</v>
      </c>
      <c r="BI5" s="72">
        <f t="shared" ca="1" si="29"/>
        <v>1.004867550565343</v>
      </c>
      <c r="BJ5" s="72">
        <f t="shared" ca="1" si="29"/>
        <v>1.004867550565343</v>
      </c>
      <c r="BK5" s="72">
        <f t="shared" ca="1" si="29"/>
        <v>1.004867550565343</v>
      </c>
      <c r="BL5" s="72">
        <f t="shared" ca="1" si="29"/>
        <v>1.004867550565343</v>
      </c>
      <c r="BM5" s="72">
        <f t="shared" ca="1" si="13"/>
        <v>6.0000000000000275E-2</v>
      </c>
      <c r="BN5" s="73">
        <f t="shared" ref="BN5:BN36" ca="1" si="30">PRODUCT(BA5:BL5)*BN4</f>
        <v>1.1236000000000006</v>
      </c>
    </row>
    <row r="6" spans="2:66">
      <c r="B6" t="s">
        <v>112</v>
      </c>
      <c r="C6" s="155">
        <v>79</v>
      </c>
      <c r="E6">
        <f t="shared" ref="E6:E69" si="31">E5+1</f>
        <v>3</v>
      </c>
      <c r="F6" s="9">
        <f t="shared" ref="F6:F69" si="32">1/12+F5</f>
        <v>69.166666666666657</v>
      </c>
      <c r="G6" s="132">
        <f t="shared" si="0"/>
        <v>0</v>
      </c>
      <c r="H6" s="133">
        <f>H5*(1-G6)</f>
        <v>1</v>
      </c>
      <c r="I6" s="31">
        <f t="shared" si="14"/>
        <v>2703452.4972119289</v>
      </c>
      <c r="J6" s="31">
        <f t="shared" si="1"/>
        <v>13159.191731182002</v>
      </c>
      <c r="K6" s="163">
        <f t="shared" si="2"/>
        <v>-20</v>
      </c>
      <c r="L6" s="163">
        <f t="shared" si="15"/>
        <v>-2252.8770810099409</v>
      </c>
      <c r="M6" s="163">
        <f t="shared" si="16"/>
        <v>0</v>
      </c>
      <c r="N6" s="163">
        <f t="shared" si="17"/>
        <v>-2568.2798723513329</v>
      </c>
      <c r="O6" s="84">
        <f t="shared" si="3"/>
        <v>-17488.599999999999</v>
      </c>
      <c r="P6" s="31">
        <f t="shared" si="4"/>
        <v>2694281.9319897494</v>
      </c>
      <c r="Q6" s="5"/>
      <c r="R6">
        <f t="shared" ca="1" si="18"/>
        <v>123</v>
      </c>
      <c r="S6" s="133">
        <f t="shared" ca="1" si="19"/>
        <v>79.16</v>
      </c>
      <c r="T6" s="132">
        <f t="shared" ca="1" si="5"/>
        <v>7.1576607612245935E-3</v>
      </c>
      <c r="U6" s="133">
        <f t="shared" ref="U6:U69" ca="1" si="33">U5*(1-T6)</f>
        <v>0.98573591058512355</v>
      </c>
      <c r="V6" s="31">
        <f t="shared" ca="1" si="20"/>
        <v>1187457.5449025447</v>
      </c>
      <c r="W6" s="31">
        <f t="shared" ca="1" si="6"/>
        <v>5780.0096440112502</v>
      </c>
      <c r="X6" s="163">
        <f t="shared" ref="X6:X69" ca="1" si="34">IF(V6=0,0,-$C$19)*U6</f>
        <v>-19.714718211702472</v>
      </c>
      <c r="Y6" s="163">
        <f t="shared" ref="Y6:Y69" ca="1" si="35">IF(OR(V5+AB5=0,X5=0),0,-V6*($C$16/12))</f>
        <v>-989.54795408545397</v>
      </c>
      <c r="Z6" s="163">
        <f t="shared" ca="1" si="22"/>
        <v>0</v>
      </c>
      <c r="AA6" s="163">
        <f t="shared" ref="AA6:AA69" ca="1" si="36">IF(OR(V5+AB5=0,X5=0),0,-V6*($C$18*(1+$C$20))/12)</f>
        <v>-1128.0846676574176</v>
      </c>
      <c r="AB6" s="84">
        <f t="shared" ca="1" si="7"/>
        <v>-6145.7893773397254</v>
      </c>
      <c r="AC6" s="160">
        <f t="shared" si="8"/>
        <v>0</v>
      </c>
      <c r="AD6" s="31">
        <f t="shared" ca="1" si="9"/>
        <v>1184954.4178292616</v>
      </c>
      <c r="AE6" s="5"/>
      <c r="AF6" s="151">
        <f t="shared" ca="1" si="10"/>
        <v>-6234.7220095610019</v>
      </c>
      <c r="AG6" s="151">
        <f t="shared" ca="1" si="11"/>
        <v>1202101.2982329961</v>
      </c>
      <c r="AH6" s="1" t="str">
        <f>C7&amp;" "&amp;"benefit under Living Annuity"</f>
        <v>Monthly benefit under Living Annuity</v>
      </c>
      <c r="AI6" s="5">
        <f>$C$4*$C$5/IF($C$7="Monthly",12,1)</f>
        <v>17488.599999999999</v>
      </c>
      <c r="AJ6" s="5"/>
      <c r="AK6" s="44">
        <v>20</v>
      </c>
      <c r="AL6" s="2">
        <v>3.0200000000000001E-3</v>
      </c>
      <c r="AM6" s="2">
        <v>2.15E-3</v>
      </c>
      <c r="AN6" s="2">
        <f t="shared" si="23"/>
        <v>81</v>
      </c>
      <c r="AO6" s="2">
        <f t="shared" si="24"/>
        <v>9.7919999999999993E-2</v>
      </c>
      <c r="AP6" s="45">
        <f t="shared" ref="AP6:AP69" si="37">(1-IFERROR(AO6,1))*AP5</f>
        <v>0.79212446713036799</v>
      </c>
      <c r="AQ6" s="46">
        <f t="shared" ca="1" si="25"/>
        <v>0.70498795579420392</v>
      </c>
      <c r="AS6" s="55">
        <f t="shared" si="26"/>
        <v>1</v>
      </c>
      <c r="AT6" s="56">
        <f t="shared" ref="AT6:AT69" si="38">AT5+1</f>
        <v>3</v>
      </c>
      <c r="AU6" s="57">
        <f t="shared" ref="AU6:AU69" si="39">(1-AV6)*AU5</f>
        <v>0.98546831212237773</v>
      </c>
      <c r="AV6" s="58">
        <f t="shared" si="27"/>
        <v>4.8675505653430484E-3</v>
      </c>
      <c r="AW6" s="59">
        <f t="shared" si="28"/>
        <v>1.004867550565343</v>
      </c>
      <c r="AX6" s="60">
        <f>PRODUCT(AW$4:AW6)</f>
        <v>1.0146738461686593</v>
      </c>
      <c r="AZ6" s="71">
        <f t="shared" ref="AZ6:AZ69" si="40">AZ5+1</f>
        <v>3</v>
      </c>
      <c r="BA6" s="72">
        <f t="shared" ca="1" si="29"/>
        <v>1.004867550565343</v>
      </c>
      <c r="BB6" s="72">
        <f t="shared" ca="1" si="29"/>
        <v>1.004867550565343</v>
      </c>
      <c r="BC6" s="72">
        <f t="shared" ca="1" si="29"/>
        <v>1.004867550565343</v>
      </c>
      <c r="BD6" s="72">
        <f t="shared" ca="1" si="29"/>
        <v>1.004867550565343</v>
      </c>
      <c r="BE6" s="72">
        <f t="shared" ca="1" si="29"/>
        <v>1.004867550565343</v>
      </c>
      <c r="BF6" s="72">
        <f t="shared" ca="1" si="29"/>
        <v>1.004867550565343</v>
      </c>
      <c r="BG6" s="72">
        <f t="shared" ca="1" si="29"/>
        <v>1.004867550565343</v>
      </c>
      <c r="BH6" s="72">
        <f t="shared" ca="1" si="29"/>
        <v>1.004867550565343</v>
      </c>
      <c r="BI6" s="72">
        <f t="shared" ca="1" si="29"/>
        <v>1.004867550565343</v>
      </c>
      <c r="BJ6" s="72">
        <f t="shared" ca="1" si="29"/>
        <v>1.004867550565343</v>
      </c>
      <c r="BK6" s="72">
        <f t="shared" ca="1" si="29"/>
        <v>1.004867550565343</v>
      </c>
      <c r="BL6" s="72">
        <f t="shared" ca="1" si="29"/>
        <v>1.004867550565343</v>
      </c>
      <c r="BM6" s="72">
        <f t="shared" ca="1" si="13"/>
        <v>6.0000000000000275E-2</v>
      </c>
      <c r="BN6" s="73">
        <f t="shared" ca="1" si="30"/>
        <v>1.191016000000001</v>
      </c>
    </row>
    <row r="7" spans="2:66">
      <c r="B7" t="s">
        <v>34</v>
      </c>
      <c r="C7" s="157" t="s">
        <v>64</v>
      </c>
      <c r="E7">
        <f t="shared" si="31"/>
        <v>4</v>
      </c>
      <c r="F7" s="9">
        <f t="shared" si="32"/>
        <v>69.249999999999986</v>
      </c>
      <c r="G7" s="132">
        <f t="shared" si="0"/>
        <v>0</v>
      </c>
      <c r="H7" s="133">
        <f t="shared" ref="H7:H70" si="41">H6*(1-G7)</f>
        <v>1</v>
      </c>
      <c r="I7" s="31">
        <f t="shared" si="14"/>
        <v>2694281.9319897494</v>
      </c>
      <c r="J7" s="31">
        <f t="shared" si="1"/>
        <v>13114.553541250265</v>
      </c>
      <c r="K7" s="163">
        <f t="shared" si="2"/>
        <v>-20</v>
      </c>
      <c r="L7" s="163">
        <f t="shared" si="15"/>
        <v>-2245.2349433247914</v>
      </c>
      <c r="M7" s="163">
        <f t="shared" si="16"/>
        <v>0</v>
      </c>
      <c r="N7" s="163">
        <f t="shared" si="17"/>
        <v>-2559.5678353902626</v>
      </c>
      <c r="O7" s="84">
        <f t="shared" si="3"/>
        <v>-17488.599999999999</v>
      </c>
      <c r="P7" s="31">
        <f t="shared" si="4"/>
        <v>2685083.0827522846</v>
      </c>
      <c r="Q7" s="5"/>
      <c r="R7">
        <f t="shared" ca="1" si="18"/>
        <v>124</v>
      </c>
      <c r="S7" s="133">
        <f t="shared" ca="1" si="19"/>
        <v>79.239999999999995</v>
      </c>
      <c r="T7" s="132">
        <f t="shared" ca="1" si="5"/>
        <v>7.1576607612245935E-3</v>
      </c>
      <c r="U7" s="133">
        <f t="shared" ca="1" si="33"/>
        <v>0.97868034733699838</v>
      </c>
      <c r="V7" s="31">
        <f t="shared" ca="1" si="20"/>
        <v>1176472.9160889254</v>
      </c>
      <c r="W7" s="31">
        <f t="shared" ca="1" si="6"/>
        <v>5726.5414078194335</v>
      </c>
      <c r="X7" s="163">
        <f t="shared" ca="1" si="34"/>
        <v>-19.573606946739968</v>
      </c>
      <c r="Y7" s="163">
        <f t="shared" ca="1" si="35"/>
        <v>-980.39409674077126</v>
      </c>
      <c r="Z7" s="163">
        <f t="shared" ca="1" si="22"/>
        <v>0</v>
      </c>
      <c r="AA7" s="163">
        <f t="shared" ca="1" si="36"/>
        <v>-1117.6492702844794</v>
      </c>
      <c r="AB7" s="84">
        <f t="shared" ca="1" si="7"/>
        <v>-6101.7999018667897</v>
      </c>
      <c r="AC7" s="160">
        <f t="shared" si="8"/>
        <v>0</v>
      </c>
      <c r="AD7" s="31">
        <f t="shared" ca="1" si="9"/>
        <v>1173980.040620906</v>
      </c>
      <c r="AE7" s="5"/>
      <c r="AF7" s="151">
        <f t="shared" ca="1" si="10"/>
        <v>-6234.7220095610019</v>
      </c>
      <c r="AG7" s="151">
        <f t="shared" ca="1" si="11"/>
        <v>1199554.1177620667</v>
      </c>
      <c r="AH7" s="35" t="s">
        <v>42</v>
      </c>
      <c r="AI7" s="5">
        <f>COUNTIFS(O4:O1803,-AI6)</f>
        <v>121</v>
      </c>
      <c r="AJ7" s="5"/>
      <c r="AK7" s="44">
        <v>21</v>
      </c>
      <c r="AL7" s="2">
        <v>2.8300000000000001E-3</v>
      </c>
      <c r="AM7" s="2">
        <v>2.3500000000000001E-3</v>
      </c>
      <c r="AN7" s="2">
        <f t="shared" si="23"/>
        <v>82</v>
      </c>
      <c r="AO7" s="2">
        <f t="shared" si="24"/>
        <v>0.10664</v>
      </c>
      <c r="AP7" s="45">
        <f t="shared" si="37"/>
        <v>0.70765231395558559</v>
      </c>
      <c r="AQ7" s="46">
        <f t="shared" ca="1" si="25"/>
        <v>0.59415852847953765</v>
      </c>
      <c r="AS7" s="55">
        <f t="shared" si="26"/>
        <v>1</v>
      </c>
      <c r="AT7" s="56">
        <f t="shared" si="38"/>
        <v>4</v>
      </c>
      <c r="AU7" s="57">
        <f t="shared" si="39"/>
        <v>0.9806714952825788</v>
      </c>
      <c r="AV7" s="58">
        <f t="shared" si="27"/>
        <v>4.8675505653430484E-3</v>
      </c>
      <c r="AW7" s="59">
        <f t="shared" si="28"/>
        <v>1.004867550565343</v>
      </c>
      <c r="AX7" s="60">
        <f>PRODUCT(AW$4:AW7)</f>
        <v>1.0196128224222163</v>
      </c>
      <c r="AZ7" s="71">
        <f t="shared" si="40"/>
        <v>4</v>
      </c>
      <c r="BA7" s="72">
        <f t="shared" ca="1" si="29"/>
        <v>1.004867550565343</v>
      </c>
      <c r="BB7" s="72">
        <f t="shared" ca="1" si="29"/>
        <v>1.004867550565343</v>
      </c>
      <c r="BC7" s="72">
        <f t="shared" ca="1" si="29"/>
        <v>1.004867550565343</v>
      </c>
      <c r="BD7" s="72">
        <f t="shared" ca="1" si="29"/>
        <v>1.004867550565343</v>
      </c>
      <c r="BE7" s="72">
        <f t="shared" ca="1" si="29"/>
        <v>1.004867550565343</v>
      </c>
      <c r="BF7" s="72">
        <f t="shared" ca="1" si="29"/>
        <v>1.004867550565343</v>
      </c>
      <c r="BG7" s="72">
        <f t="shared" ca="1" si="29"/>
        <v>1.004867550565343</v>
      </c>
      <c r="BH7" s="72">
        <f t="shared" ca="1" si="29"/>
        <v>1.004867550565343</v>
      </c>
      <c r="BI7" s="72">
        <f t="shared" ca="1" si="29"/>
        <v>1.004867550565343</v>
      </c>
      <c r="BJ7" s="72">
        <f t="shared" ca="1" si="29"/>
        <v>1.004867550565343</v>
      </c>
      <c r="BK7" s="72">
        <f t="shared" ca="1" si="29"/>
        <v>1.004867550565343</v>
      </c>
      <c r="BL7" s="72">
        <f t="shared" ca="1" si="29"/>
        <v>1.004867550565343</v>
      </c>
      <c r="BM7" s="72">
        <f t="shared" ca="1" si="13"/>
        <v>6.0000000000000275E-2</v>
      </c>
      <c r="BN7" s="73">
        <f t="shared" ca="1" si="30"/>
        <v>1.2624769600000014</v>
      </c>
    </row>
    <row r="8" spans="2:66">
      <c r="B8" s="40" t="s">
        <v>125</v>
      </c>
      <c r="C8" s="158" t="s">
        <v>122</v>
      </c>
      <c r="E8">
        <f t="shared" si="31"/>
        <v>5</v>
      </c>
      <c r="F8" s="9">
        <f t="shared" si="32"/>
        <v>69.333333333333314</v>
      </c>
      <c r="G8" s="132">
        <f t="shared" si="0"/>
        <v>0</v>
      </c>
      <c r="H8" s="133">
        <f t="shared" si="41"/>
        <v>1</v>
      </c>
      <c r="I8" s="31">
        <f t="shared" si="14"/>
        <v>2685083.0827522846</v>
      </c>
      <c r="J8" s="31">
        <f t="shared" si="1"/>
        <v>13069.777677443939</v>
      </c>
      <c r="K8" s="163">
        <f t="shared" si="2"/>
        <v>-20</v>
      </c>
      <c r="L8" s="163">
        <f t="shared" si="15"/>
        <v>-2237.5692356269042</v>
      </c>
      <c r="M8" s="163">
        <f t="shared" si="16"/>
        <v>0</v>
      </c>
      <c r="N8" s="163">
        <f t="shared" si="17"/>
        <v>-2550.828928614671</v>
      </c>
      <c r="O8" s="84">
        <f t="shared" si="3"/>
        <v>-17488.599999999999</v>
      </c>
      <c r="P8" s="31">
        <f t="shared" si="4"/>
        <v>2675855.8622654867</v>
      </c>
      <c r="Q8" s="5"/>
      <c r="R8">
        <f t="shared" ca="1" si="18"/>
        <v>125</v>
      </c>
      <c r="S8" s="133">
        <f t="shared" ca="1" si="19"/>
        <v>79.319999999999993</v>
      </c>
      <c r="T8" s="132">
        <f t="shared" ca="1" si="5"/>
        <v>7.1576607612245935E-3</v>
      </c>
      <c r="U8" s="133">
        <f t="shared" ca="1" si="33"/>
        <v>0.9716752854170827</v>
      </c>
      <c r="V8" s="31">
        <f t="shared" ca="1" si="20"/>
        <v>1165577.0897496929</v>
      </c>
      <c r="W8" s="31">
        <f t="shared" ca="1" si="6"/>
        <v>5673.505422162023</v>
      </c>
      <c r="X8" s="163">
        <f t="shared" ca="1" si="34"/>
        <v>-19.433505708341656</v>
      </c>
      <c r="Y8" s="163">
        <f t="shared" ca="1" si="35"/>
        <v>-971.3142414580775</v>
      </c>
      <c r="Z8" s="163">
        <f t="shared" ca="1" si="22"/>
        <v>0</v>
      </c>
      <c r="AA8" s="163">
        <f t="shared" ca="1" si="36"/>
        <v>-1107.2982352622084</v>
      </c>
      <c r="AB8" s="84">
        <f t="shared" ca="1" si="7"/>
        <v>-6058.1252881363534</v>
      </c>
      <c r="AC8" s="160">
        <f t="shared" si="8"/>
        <v>0</v>
      </c>
      <c r="AD8" s="31">
        <f t="shared" ca="1" si="9"/>
        <v>1163094.4239012902</v>
      </c>
      <c r="AE8" s="5"/>
      <c r="AF8" s="151">
        <f t="shared" ca="1" si="10"/>
        <v>-6234.722009561001</v>
      </c>
      <c r="AG8" s="151">
        <f t="shared" ca="1" si="11"/>
        <v>1196999.0812332358</v>
      </c>
      <c r="AH8" s="35" t="s">
        <v>43</v>
      </c>
      <c r="AI8" s="5">
        <f>AI3-AI6*AI7</f>
        <v>1645966.6105241156</v>
      </c>
      <c r="AJ8" s="5"/>
      <c r="AK8" s="44">
        <v>22</v>
      </c>
      <c r="AL8" s="2">
        <v>2.66E-3</v>
      </c>
      <c r="AM8" s="2">
        <v>2.3999999999999998E-3</v>
      </c>
      <c r="AN8" s="2">
        <f t="shared" si="23"/>
        <v>83</v>
      </c>
      <c r="AO8" s="2">
        <f t="shared" si="24"/>
        <v>0.11613</v>
      </c>
      <c r="AP8" s="45">
        <f t="shared" si="37"/>
        <v>0.62547265073592351</v>
      </c>
      <c r="AQ8" s="46">
        <f t="shared" ca="1" si="25"/>
        <v>0.49543292317661214</v>
      </c>
      <c r="AS8" s="55">
        <f t="shared" si="26"/>
        <v>1</v>
      </c>
      <c r="AT8" s="56">
        <f t="shared" si="38"/>
        <v>5</v>
      </c>
      <c r="AU8" s="57">
        <f t="shared" si="39"/>
        <v>0.97589802719130025</v>
      </c>
      <c r="AV8" s="58">
        <f t="shared" si="27"/>
        <v>4.8675505653430484E-3</v>
      </c>
      <c r="AW8" s="59">
        <f t="shared" si="28"/>
        <v>1.004867550565343</v>
      </c>
      <c r="AX8" s="60">
        <f>PRODUCT(AW$4:AW8)</f>
        <v>1.0245758393924285</v>
      </c>
      <c r="AZ8" s="71">
        <f t="shared" si="40"/>
        <v>5</v>
      </c>
      <c r="BA8" s="72">
        <f t="shared" ca="1" si="29"/>
        <v>1.004867550565343</v>
      </c>
      <c r="BB8" s="72">
        <f t="shared" ca="1" si="29"/>
        <v>1.004867550565343</v>
      </c>
      <c r="BC8" s="72">
        <f t="shared" ca="1" si="29"/>
        <v>1.004867550565343</v>
      </c>
      <c r="BD8" s="72">
        <f t="shared" ca="1" si="29"/>
        <v>1.004867550565343</v>
      </c>
      <c r="BE8" s="72">
        <f t="shared" ca="1" si="29"/>
        <v>1.004867550565343</v>
      </c>
      <c r="BF8" s="72">
        <f t="shared" ca="1" si="29"/>
        <v>1.004867550565343</v>
      </c>
      <c r="BG8" s="72">
        <f t="shared" ca="1" si="29"/>
        <v>1.004867550565343</v>
      </c>
      <c r="BH8" s="72">
        <f t="shared" ca="1" si="29"/>
        <v>1.004867550565343</v>
      </c>
      <c r="BI8" s="72">
        <f t="shared" ca="1" si="29"/>
        <v>1.004867550565343</v>
      </c>
      <c r="BJ8" s="72">
        <f t="shared" ca="1" si="29"/>
        <v>1.004867550565343</v>
      </c>
      <c r="BK8" s="72">
        <f t="shared" ca="1" si="29"/>
        <v>1.004867550565343</v>
      </c>
      <c r="BL8" s="72">
        <f t="shared" ca="1" si="29"/>
        <v>1.004867550565343</v>
      </c>
      <c r="BM8" s="72">
        <f t="shared" ca="1" si="13"/>
        <v>6.0000000000000275E-2</v>
      </c>
      <c r="BN8" s="73">
        <f t="shared" ca="1" si="30"/>
        <v>1.3382255776000018</v>
      </c>
    </row>
    <row r="9" spans="2:66">
      <c r="E9">
        <f t="shared" si="31"/>
        <v>6</v>
      </c>
      <c r="F9" s="9">
        <f t="shared" si="32"/>
        <v>69.416666666666643</v>
      </c>
      <c r="G9" s="132">
        <f t="shared" si="0"/>
        <v>0</v>
      </c>
      <c r="H9" s="133">
        <f t="shared" si="41"/>
        <v>1</v>
      </c>
      <c r="I9" s="31">
        <f t="shared" si="14"/>
        <v>2675855.8622654867</v>
      </c>
      <c r="J9" s="31">
        <f t="shared" si="1"/>
        <v>13024.863715146881</v>
      </c>
      <c r="K9" s="163">
        <f t="shared" si="2"/>
        <v>-20</v>
      </c>
      <c r="L9" s="163">
        <f t="shared" si="15"/>
        <v>-2229.879885221239</v>
      </c>
      <c r="M9" s="163">
        <f t="shared" si="16"/>
        <v>0</v>
      </c>
      <c r="N9" s="163">
        <f t="shared" si="17"/>
        <v>-2542.0630691522128</v>
      </c>
      <c r="O9" s="84">
        <f t="shared" si="3"/>
        <v>-17488.599999999999</v>
      </c>
      <c r="P9" s="31">
        <f t="shared" si="4"/>
        <v>2666600.1830262598</v>
      </c>
      <c r="Q9" s="5"/>
      <c r="R9">
        <f t="shared" ca="1" si="18"/>
        <v>126</v>
      </c>
      <c r="S9" s="133">
        <f t="shared" ca="1" si="19"/>
        <v>79.400000000000006</v>
      </c>
      <c r="T9" s="132">
        <f t="shared" ca="1" si="5"/>
        <v>7.1576607612245935E-3</v>
      </c>
      <c r="U9" s="133">
        <f t="shared" ca="1" si="33"/>
        <v>0.96472036335400113</v>
      </c>
      <c r="V9" s="31">
        <f t="shared" ca="1" si="20"/>
        <v>1154769.3885817328</v>
      </c>
      <c r="W9" s="31">
        <f t="shared" ca="1" si="6"/>
        <v>5620.8983902318596</v>
      </c>
      <c r="X9" s="163">
        <f t="shared" ca="1" si="34"/>
        <v>-19.294407267080022</v>
      </c>
      <c r="Y9" s="163">
        <f t="shared" ca="1" si="35"/>
        <v>-962.30782381811071</v>
      </c>
      <c r="Z9" s="163">
        <f t="shared" ca="1" si="22"/>
        <v>0</v>
      </c>
      <c r="AA9" s="163">
        <f t="shared" ca="1" si="36"/>
        <v>-1097.0309191526464</v>
      </c>
      <c r="AB9" s="84">
        <f t="shared" ca="1" si="7"/>
        <v>-6014.7632824748771</v>
      </c>
      <c r="AC9" s="160">
        <f t="shared" si="8"/>
        <v>0</v>
      </c>
      <c r="AD9" s="31">
        <f t="shared" ca="1" si="9"/>
        <v>1152296.890539252</v>
      </c>
      <c r="AE9" s="5"/>
      <c r="AF9" s="151">
        <f t="shared" ca="1" si="10"/>
        <v>-6234.722009561001</v>
      </c>
      <c r="AG9" s="151">
        <f t="shared" ca="1" si="11"/>
        <v>1194436.1644167141</v>
      </c>
      <c r="AH9" s="89" t="s">
        <v>44</v>
      </c>
      <c r="AI9" s="80" t="str">
        <f>TEXT(AI7/IF(C7="Annual",1,12),"##0.00")&amp;" "&amp;"Years"</f>
        <v>0.10 Years</v>
      </c>
      <c r="AJ9" s="5"/>
      <c r="AK9" s="44">
        <v>23</v>
      </c>
      <c r="AL9" s="2">
        <v>2.5100000000000001E-3</v>
      </c>
      <c r="AM9" s="2">
        <v>2.32E-3</v>
      </c>
      <c r="AN9" s="2">
        <f t="shared" si="23"/>
        <v>84</v>
      </c>
      <c r="AO9" s="2">
        <f t="shared" si="24"/>
        <v>0.12645000000000001</v>
      </c>
      <c r="AP9" s="45">
        <f t="shared" si="37"/>
        <v>0.54638163405036599</v>
      </c>
      <c r="AQ9" s="46">
        <f t="shared" ca="1" si="25"/>
        <v>0.4082881415480466</v>
      </c>
      <c r="AS9" s="55">
        <f t="shared" si="26"/>
        <v>1</v>
      </c>
      <c r="AT9" s="56">
        <f t="shared" si="38"/>
        <v>6</v>
      </c>
      <c r="AU9" s="57">
        <f t="shared" si="39"/>
        <v>0.97114779419732811</v>
      </c>
      <c r="AV9" s="58">
        <f t="shared" si="27"/>
        <v>4.8675505653430484E-3</v>
      </c>
      <c r="AW9" s="59">
        <f t="shared" si="28"/>
        <v>1.004867550565343</v>
      </c>
      <c r="AX9" s="60">
        <f>PRODUCT(AW$4:AW9)</f>
        <v>1.0295630140987</v>
      </c>
      <c r="AZ9" s="71">
        <f t="shared" si="40"/>
        <v>6</v>
      </c>
      <c r="BA9" s="72">
        <f t="shared" ca="1" si="29"/>
        <v>1.004867550565343</v>
      </c>
      <c r="BB9" s="72">
        <f t="shared" ca="1" si="29"/>
        <v>1.004867550565343</v>
      </c>
      <c r="BC9" s="72">
        <f t="shared" ca="1" si="29"/>
        <v>1.004867550565343</v>
      </c>
      <c r="BD9" s="72">
        <f t="shared" ca="1" si="29"/>
        <v>1.004867550565343</v>
      </c>
      <c r="BE9" s="72">
        <f t="shared" ca="1" si="29"/>
        <v>1.004867550565343</v>
      </c>
      <c r="BF9" s="72">
        <f t="shared" ca="1" si="29"/>
        <v>1.004867550565343</v>
      </c>
      <c r="BG9" s="72">
        <f t="shared" ca="1" si="29"/>
        <v>1.004867550565343</v>
      </c>
      <c r="BH9" s="72">
        <f t="shared" ca="1" si="29"/>
        <v>1.004867550565343</v>
      </c>
      <c r="BI9" s="72">
        <f t="shared" ca="1" si="29"/>
        <v>1.004867550565343</v>
      </c>
      <c r="BJ9" s="72">
        <f t="shared" ca="1" si="29"/>
        <v>1.004867550565343</v>
      </c>
      <c r="BK9" s="72">
        <f t="shared" ca="1" si="29"/>
        <v>1.004867550565343</v>
      </c>
      <c r="BL9" s="72">
        <f t="shared" ca="1" si="29"/>
        <v>1.004867550565343</v>
      </c>
      <c r="BM9" s="72">
        <f t="shared" ca="1" si="13"/>
        <v>6.0000000000000275E-2</v>
      </c>
      <c r="BN9" s="73">
        <f t="shared" ca="1" si="30"/>
        <v>1.4185191122560024</v>
      </c>
    </row>
    <row r="10" spans="2:66">
      <c r="B10" s="145" t="str">
        <f>"Living Annuity per "&amp;IF($C$7="Annual", "Annum", "Month")&amp; " between "&amp;ROUND(C3,0)&amp;" and "&amp;ROUND(C6,0)</f>
        <v>Living Annuity per Month between 69 and 79</v>
      </c>
      <c r="C10" s="146">
        <f>H4*$C$5*$C$4/IF($C$7="Monthly",12,1)</f>
        <v>17488.599999999999</v>
      </c>
      <c r="E10">
        <f t="shared" si="31"/>
        <v>7</v>
      </c>
      <c r="F10" s="9">
        <f t="shared" si="32"/>
        <v>69.499999999999972</v>
      </c>
      <c r="G10" s="132">
        <f t="shared" si="0"/>
        <v>0</v>
      </c>
      <c r="H10" s="133">
        <f t="shared" si="41"/>
        <v>1</v>
      </c>
      <c r="I10" s="31">
        <f t="shared" si="14"/>
        <v>2666600.1830262598</v>
      </c>
      <c r="J10" s="31">
        <f t="shared" si="1"/>
        <v>12979.811228433347</v>
      </c>
      <c r="K10" s="163">
        <f t="shared" si="2"/>
        <v>-20</v>
      </c>
      <c r="L10" s="163">
        <f t="shared" si="15"/>
        <v>-2222.1668191885501</v>
      </c>
      <c r="M10" s="163">
        <f t="shared" si="16"/>
        <v>0</v>
      </c>
      <c r="N10" s="163">
        <f t="shared" si="17"/>
        <v>-2533.270173874947</v>
      </c>
      <c r="O10" s="84">
        <f t="shared" si="3"/>
        <v>-17488.599999999999</v>
      </c>
      <c r="P10" s="31">
        <f t="shared" si="4"/>
        <v>2657315.9572616289</v>
      </c>
      <c r="Q10" s="5"/>
      <c r="R10">
        <f t="shared" ca="1" si="18"/>
        <v>127</v>
      </c>
      <c r="S10" s="133">
        <f t="shared" ca="1" si="19"/>
        <v>79.48</v>
      </c>
      <c r="T10" s="132">
        <f t="shared" ca="1" si="5"/>
        <v>7.1576607612245935E-3</v>
      </c>
      <c r="U10" s="133">
        <f t="shared" ca="1" si="33"/>
        <v>0.95781522226366789</v>
      </c>
      <c r="V10" s="31">
        <f t="shared" ca="1" si="20"/>
        <v>1144049.1403005579</v>
      </c>
      <c r="W10" s="31">
        <f t="shared" ca="1" si="6"/>
        <v>5568.7170396502097</v>
      </c>
      <c r="X10" s="163">
        <f t="shared" ca="1" si="34"/>
        <v>-19.156304445273356</v>
      </c>
      <c r="Y10" s="163">
        <f t="shared" ca="1" si="35"/>
        <v>-953.37428358379839</v>
      </c>
      <c r="Z10" s="163">
        <f t="shared" ca="1" si="22"/>
        <v>0</v>
      </c>
      <c r="AA10" s="163">
        <f t="shared" ca="1" si="36"/>
        <v>-1086.8466832855304</v>
      </c>
      <c r="AB10" s="84">
        <f t="shared" ca="1" si="7"/>
        <v>-5971.7116473398528</v>
      </c>
      <c r="AC10" s="160">
        <f t="shared" si="8"/>
        <v>0</v>
      </c>
      <c r="AD10" s="31">
        <f t="shared" ca="1" si="9"/>
        <v>1141586.7684215538</v>
      </c>
      <c r="AE10" s="5"/>
      <c r="AF10" s="151">
        <f t="shared" ca="1" si="10"/>
        <v>-6234.7220095610019</v>
      </c>
      <c r="AG10" s="151">
        <f t="shared" ca="1" si="11"/>
        <v>1191865.3430079827</v>
      </c>
      <c r="AH10" s="90" t="s">
        <v>107</v>
      </c>
      <c r="AI10" s="81" t="str">
        <f>TEXT(SUM(AP:AP),"##0.00")&amp;" "&amp;"Years"</f>
        <v>0.07 Years</v>
      </c>
      <c r="AJ10" s="5"/>
      <c r="AK10" s="44">
        <v>24</v>
      </c>
      <c r="AL10" s="2">
        <v>2.3900000000000002E-3</v>
      </c>
      <c r="AM10" s="2">
        <v>2.1800000000000001E-3</v>
      </c>
      <c r="AN10" s="2">
        <f t="shared" si="23"/>
        <v>85</v>
      </c>
      <c r="AO10" s="2">
        <f t="shared" si="24"/>
        <v>0.13764000000000001</v>
      </c>
      <c r="AP10" s="45">
        <f t="shared" si="37"/>
        <v>0.47117766593967364</v>
      </c>
      <c r="AQ10" s="46">
        <f t="shared" ca="1" si="25"/>
        <v>0.33216166202393715</v>
      </c>
      <c r="AS10" s="55">
        <f t="shared" si="26"/>
        <v>1</v>
      </c>
      <c r="AT10" s="56">
        <f t="shared" si="38"/>
        <v>7</v>
      </c>
      <c r="AU10" s="57">
        <f t="shared" si="39"/>
        <v>0.96642068320265129</v>
      </c>
      <c r="AV10" s="58">
        <f t="shared" si="27"/>
        <v>4.8675505653430484E-3</v>
      </c>
      <c r="AW10" s="59">
        <f t="shared" si="28"/>
        <v>1.004867550565343</v>
      </c>
      <c r="AX10" s="60">
        <f>PRODUCT(AW$4:AW10)</f>
        <v>1.0345744641300325</v>
      </c>
      <c r="AZ10" s="71">
        <f t="shared" si="40"/>
        <v>7</v>
      </c>
      <c r="BA10" s="72">
        <f t="shared" ca="1" si="29"/>
        <v>1.004867550565343</v>
      </c>
      <c r="BB10" s="72">
        <f t="shared" ca="1" si="29"/>
        <v>1.004867550565343</v>
      </c>
      <c r="BC10" s="72">
        <f t="shared" ca="1" si="29"/>
        <v>1.004867550565343</v>
      </c>
      <c r="BD10" s="72">
        <f t="shared" ca="1" si="29"/>
        <v>1.004867550565343</v>
      </c>
      <c r="BE10" s="72">
        <f t="shared" ca="1" si="29"/>
        <v>1.004867550565343</v>
      </c>
      <c r="BF10" s="72">
        <f t="shared" ca="1" si="29"/>
        <v>1.004867550565343</v>
      </c>
      <c r="BG10" s="72">
        <f t="shared" ca="1" si="29"/>
        <v>1.004867550565343</v>
      </c>
      <c r="BH10" s="72">
        <f t="shared" ca="1" si="29"/>
        <v>1.004867550565343</v>
      </c>
      <c r="BI10" s="72">
        <f t="shared" ca="1" si="29"/>
        <v>1.004867550565343</v>
      </c>
      <c r="BJ10" s="72">
        <f t="shared" ca="1" si="29"/>
        <v>1.004867550565343</v>
      </c>
      <c r="BK10" s="72">
        <f t="shared" ca="1" si="29"/>
        <v>1.004867550565343</v>
      </c>
      <c r="BL10" s="72">
        <f t="shared" ca="1" si="29"/>
        <v>1.004867550565343</v>
      </c>
      <c r="BM10" s="72">
        <f t="shared" ca="1" si="13"/>
        <v>6.0000000000000275E-2</v>
      </c>
      <c r="BN10" s="73">
        <f t="shared" ca="1" si="30"/>
        <v>1.5036302589913628</v>
      </c>
    </row>
    <row r="11" spans="2:66">
      <c r="B11" s="147" t="str">
        <f>"Funds remaining at end of drawdown period aged "&amp;ROUND(C6,0)</f>
        <v>Funds remaining at end of drawdown period aged 79</v>
      </c>
      <c r="C11" s="148">
        <f ca="1">OFFSET($I$4,MATCH(C6,$F$4:$F$784,1),0)</f>
        <v>1209695.9444801386</v>
      </c>
      <c r="E11">
        <f t="shared" si="31"/>
        <v>8</v>
      </c>
      <c r="F11" s="9">
        <f t="shared" si="32"/>
        <v>69.5833333333333</v>
      </c>
      <c r="G11" s="132">
        <f t="shared" si="0"/>
        <v>0</v>
      </c>
      <c r="H11" s="133">
        <f t="shared" si="41"/>
        <v>1</v>
      </c>
      <c r="I11" s="31">
        <f t="shared" si="14"/>
        <v>2657315.9572616289</v>
      </c>
      <c r="J11" s="31">
        <f t="shared" si="1"/>
        <v>12934.619790063945</v>
      </c>
      <c r="K11" s="163">
        <f t="shared" si="2"/>
        <v>-20</v>
      </c>
      <c r="L11" s="163">
        <f t="shared" si="15"/>
        <v>-2214.4299643846907</v>
      </c>
      <c r="M11" s="163">
        <f t="shared" si="16"/>
        <v>0</v>
      </c>
      <c r="N11" s="163">
        <f t="shared" si="17"/>
        <v>-2524.4501593985478</v>
      </c>
      <c r="O11" s="84">
        <f t="shared" si="3"/>
        <v>-17488.599999999999</v>
      </c>
      <c r="P11" s="31">
        <f t="shared" si="4"/>
        <v>2648003.0969279101</v>
      </c>
      <c r="Q11" s="5"/>
      <c r="R11">
        <f t="shared" ca="1" si="18"/>
        <v>128</v>
      </c>
      <c r="S11" s="133">
        <f t="shared" ca="1" si="19"/>
        <v>79.56</v>
      </c>
      <c r="T11" s="132">
        <f t="shared" ca="1" si="5"/>
        <v>7.8211519790817308E-3</v>
      </c>
      <c r="U11" s="133">
        <f t="shared" ca="1" si="33"/>
        <v>0.95032400384246585</v>
      </c>
      <c r="V11" s="31">
        <f t="shared" ca="1" si="20"/>
        <v>1132658.2448084201</v>
      </c>
      <c r="W11" s="31">
        <f t="shared" ca="1" si="6"/>
        <v>5513.2712798576904</v>
      </c>
      <c r="X11" s="163">
        <f t="shared" ca="1" si="34"/>
        <v>-19.006480076849318</v>
      </c>
      <c r="Y11" s="163">
        <f t="shared" ca="1" si="35"/>
        <v>-943.88187067368347</v>
      </c>
      <c r="Z11" s="163">
        <f t="shared" ca="1" si="22"/>
        <v>0</v>
      </c>
      <c r="AA11" s="163">
        <f t="shared" ca="1" si="36"/>
        <v>-1076.0253325679994</v>
      </c>
      <c r="AB11" s="84">
        <f t="shared" ca="1" si="7"/>
        <v>-5925.0059829707561</v>
      </c>
      <c r="AC11" s="160">
        <f t="shared" si="8"/>
        <v>0</v>
      </c>
      <c r="AD11" s="31">
        <f t="shared" ca="1" si="9"/>
        <v>1130207.5964219884</v>
      </c>
      <c r="AE11" s="5"/>
      <c r="AF11" s="151">
        <f t="shared" ca="1" si="10"/>
        <v>-6234.7220095610019</v>
      </c>
      <c r="AG11" s="151">
        <f t="shared" ca="1" si="11"/>
        <v>1189286.5926275621</v>
      </c>
      <c r="AH11" s="85" t="s">
        <v>41</v>
      </c>
      <c r="AI11" s="87">
        <f>-SUM(L4:L1803)+$C$14*C4</f>
        <v>407682.61339515052</v>
      </c>
      <c r="AJ11" s="5"/>
      <c r="AK11" s="44">
        <v>25</v>
      </c>
      <c r="AL11" s="2">
        <v>2.2799999999999999E-3</v>
      </c>
      <c r="AM11" s="2">
        <v>2.0100000000000001E-3</v>
      </c>
      <c r="AN11" s="2">
        <f t="shared" si="23"/>
        <v>86</v>
      </c>
      <c r="AO11" s="2">
        <f t="shared" si="24"/>
        <v>0.14976</v>
      </c>
      <c r="AP11" s="45">
        <f t="shared" si="37"/>
        <v>0.40061409868854814</v>
      </c>
      <c r="AQ11" s="46">
        <f t="shared" ca="1" si="25"/>
        <v>0.26643125615021912</v>
      </c>
      <c r="AS11" s="55">
        <f t="shared" si="26"/>
        <v>1</v>
      </c>
      <c r="AT11" s="56">
        <f t="shared" si="38"/>
        <v>8</v>
      </c>
      <c r="AU11" s="57">
        <f t="shared" si="39"/>
        <v>0.96171658165976903</v>
      </c>
      <c r="AV11" s="58">
        <f t="shared" si="27"/>
        <v>4.8675505653430484E-3</v>
      </c>
      <c r="AW11" s="59">
        <f t="shared" si="28"/>
        <v>1.004867550565343</v>
      </c>
      <c r="AX11" s="60">
        <f>PRODUCT(AW$4:AW11)</f>
        <v>1.039610307647798</v>
      </c>
      <c r="AZ11" s="71">
        <f t="shared" si="40"/>
        <v>8</v>
      </c>
      <c r="BA11" s="72">
        <f t="shared" ca="1" si="29"/>
        <v>1.004867550565343</v>
      </c>
      <c r="BB11" s="72">
        <f t="shared" ca="1" si="29"/>
        <v>1.004867550565343</v>
      </c>
      <c r="BC11" s="72">
        <f t="shared" ca="1" si="29"/>
        <v>1.004867550565343</v>
      </c>
      <c r="BD11" s="72">
        <f t="shared" ca="1" si="29"/>
        <v>1.004867550565343</v>
      </c>
      <c r="BE11" s="72">
        <f t="shared" ca="1" si="29"/>
        <v>1.004867550565343</v>
      </c>
      <c r="BF11" s="72">
        <f t="shared" ca="1" si="29"/>
        <v>1.004867550565343</v>
      </c>
      <c r="BG11" s="72">
        <f t="shared" ca="1" si="29"/>
        <v>1.004867550565343</v>
      </c>
      <c r="BH11" s="72">
        <f t="shared" ca="1" si="29"/>
        <v>1.004867550565343</v>
      </c>
      <c r="BI11" s="72">
        <f t="shared" ca="1" si="29"/>
        <v>1.004867550565343</v>
      </c>
      <c r="BJ11" s="72">
        <f t="shared" ca="1" si="29"/>
        <v>1.004867550565343</v>
      </c>
      <c r="BK11" s="72">
        <f t="shared" ca="1" si="29"/>
        <v>1.004867550565343</v>
      </c>
      <c r="BL11" s="72">
        <f t="shared" ca="1" si="29"/>
        <v>1.004867550565343</v>
      </c>
      <c r="BM11" s="72">
        <f t="shared" ca="1" si="13"/>
        <v>6.0000000000000275E-2</v>
      </c>
      <c r="BN11" s="73">
        <f t="shared" ca="1" si="30"/>
        <v>1.593848074530845</v>
      </c>
    </row>
    <row r="12" spans="2:66">
      <c r="B12" s="149" t="str">
        <f>"Life Annuity per "&amp;IF($C$7="Annual", "Annum", "Month")&amp; " starting at "&amp;ROUND(C6,0)</f>
        <v>Life Annuity per Month starting at 79</v>
      </c>
      <c r="C12" s="150">
        <f>SolveLifeAnnuity/IF($C$7="Monthly",12,1)</f>
        <v>6234.7220095610019</v>
      </c>
      <c r="D12" s="168">
        <f>C12/C4*IF(C7="Annual",1,12)</f>
        <v>2.6737654856139152E-2</v>
      </c>
      <c r="E12">
        <f t="shared" si="31"/>
        <v>9</v>
      </c>
      <c r="F12" s="9">
        <f t="shared" si="32"/>
        <v>69.666666666666629</v>
      </c>
      <c r="G12" s="132">
        <f t="shared" si="0"/>
        <v>0</v>
      </c>
      <c r="H12" s="133">
        <f t="shared" si="41"/>
        <v>1</v>
      </c>
      <c r="I12" s="31">
        <f t="shared" si="14"/>
        <v>2648003.0969279101</v>
      </c>
      <c r="J12" s="31">
        <f t="shared" si="1"/>
        <v>12889.288971481592</v>
      </c>
      <c r="K12" s="163">
        <f t="shared" si="2"/>
        <v>-20</v>
      </c>
      <c r="L12" s="163">
        <f t="shared" si="15"/>
        <v>-2206.6692474399251</v>
      </c>
      <c r="M12" s="163">
        <f t="shared" si="16"/>
        <v>0</v>
      </c>
      <c r="N12" s="163">
        <f t="shared" si="17"/>
        <v>-2515.6029420815153</v>
      </c>
      <c r="O12" s="84">
        <f t="shared" si="3"/>
        <v>-17488.599999999999</v>
      </c>
      <c r="P12" s="31">
        <f t="shared" si="4"/>
        <v>2638661.5137098697</v>
      </c>
      <c r="Q12" s="5"/>
      <c r="R12">
        <f t="shared" ca="1" si="18"/>
        <v>129</v>
      </c>
      <c r="S12" s="133">
        <f t="shared" ca="1" si="19"/>
        <v>79.64</v>
      </c>
      <c r="T12" s="132">
        <f t="shared" ca="1" si="5"/>
        <v>7.8211519790817308E-3</v>
      </c>
      <c r="U12" s="133">
        <f t="shared" ca="1" si="33"/>
        <v>0.94289137537904444</v>
      </c>
      <c r="V12" s="31">
        <f t="shared" ca="1" si="20"/>
        <v>1121368.0710424595</v>
      </c>
      <c r="W12" s="31">
        <f t="shared" ca="1" si="6"/>
        <v>5458.3157881603674</v>
      </c>
      <c r="X12" s="163">
        <f t="shared" ca="1" si="34"/>
        <v>-18.85782750758089</v>
      </c>
      <c r="Y12" s="163">
        <f t="shared" ca="1" si="35"/>
        <v>-934.47339253538291</v>
      </c>
      <c r="Z12" s="163">
        <f t="shared" ca="1" si="22"/>
        <v>0</v>
      </c>
      <c r="AA12" s="163">
        <f t="shared" ca="1" si="36"/>
        <v>-1065.2996674903368</v>
      </c>
      <c r="AB12" s="84">
        <f t="shared" ca="1" si="7"/>
        <v>-5878.665610700973</v>
      </c>
      <c r="AC12" s="160">
        <f t="shared" si="8"/>
        <v>0</v>
      </c>
      <c r="AD12" s="31">
        <f t="shared" ca="1" si="9"/>
        <v>1118929.0903323852</v>
      </c>
      <c r="AE12" s="5"/>
      <c r="AF12" s="151">
        <f t="shared" ca="1" si="10"/>
        <v>-6234.7220095610019</v>
      </c>
      <c r="AG12" s="151">
        <f t="shared" ca="1" si="11"/>
        <v>1186699.8888207809</v>
      </c>
      <c r="AH12" s="91" t="s">
        <v>47</v>
      </c>
      <c r="AI12" s="92">
        <f>-SUMPRODUCT(L4:L1803,AU4:AU1803)+$C$14*C4</f>
        <v>269379.37621828687</v>
      </c>
      <c r="AJ12" s="5"/>
      <c r="AK12" s="44">
        <v>26</v>
      </c>
      <c r="AL12" s="2">
        <v>2.2000000000000001E-3</v>
      </c>
      <c r="AM12" s="2">
        <v>1.8600000000000001E-3</v>
      </c>
      <c r="AN12" s="2">
        <f t="shared" si="23"/>
        <v>87</v>
      </c>
      <c r="AO12" s="2">
        <f t="shared" si="24"/>
        <v>0.16286</v>
      </c>
      <c r="AP12" s="45">
        <f t="shared" si="37"/>
        <v>0.33537008657613121</v>
      </c>
      <c r="AQ12" s="46">
        <f t="shared" ca="1" si="25"/>
        <v>0.21041534129584377</v>
      </c>
      <c r="AS12" s="55">
        <f t="shared" si="26"/>
        <v>1</v>
      </c>
      <c r="AT12" s="56">
        <f t="shared" si="38"/>
        <v>9</v>
      </c>
      <c r="AU12" s="57">
        <f t="shared" si="39"/>
        <v>0.95703537756901125</v>
      </c>
      <c r="AV12" s="58">
        <f t="shared" si="27"/>
        <v>4.8675505653430484E-3</v>
      </c>
      <c r="AW12" s="59">
        <f t="shared" si="28"/>
        <v>1.004867550565343</v>
      </c>
      <c r="AX12" s="60">
        <f>PRODUCT(AW$4:AW12)</f>
        <v>1.0446706633885257</v>
      </c>
      <c r="AZ12" s="71">
        <f t="shared" si="40"/>
        <v>9</v>
      </c>
      <c r="BA12" s="72">
        <f t="shared" ca="1" si="29"/>
        <v>1.004867550565343</v>
      </c>
      <c r="BB12" s="72">
        <f t="shared" ca="1" si="29"/>
        <v>1.004867550565343</v>
      </c>
      <c r="BC12" s="72">
        <f t="shared" ca="1" si="29"/>
        <v>1.004867550565343</v>
      </c>
      <c r="BD12" s="72">
        <f t="shared" ca="1" si="29"/>
        <v>1.004867550565343</v>
      </c>
      <c r="BE12" s="72">
        <f t="shared" ca="1" si="29"/>
        <v>1.004867550565343</v>
      </c>
      <c r="BF12" s="72">
        <f t="shared" ca="1" si="29"/>
        <v>1.004867550565343</v>
      </c>
      <c r="BG12" s="72">
        <f t="shared" ca="1" si="29"/>
        <v>1.004867550565343</v>
      </c>
      <c r="BH12" s="72">
        <f t="shared" ca="1" si="29"/>
        <v>1.004867550565343</v>
      </c>
      <c r="BI12" s="72">
        <f t="shared" ca="1" si="29"/>
        <v>1.004867550565343</v>
      </c>
      <c r="BJ12" s="72">
        <f t="shared" ca="1" si="29"/>
        <v>1.004867550565343</v>
      </c>
      <c r="BK12" s="72">
        <f t="shared" ca="1" si="29"/>
        <v>1.004867550565343</v>
      </c>
      <c r="BL12" s="72">
        <f t="shared" ca="1" si="29"/>
        <v>1.004867550565343</v>
      </c>
      <c r="BM12" s="72">
        <f t="shared" ca="1" si="13"/>
        <v>6.0000000000000275E-2</v>
      </c>
      <c r="BN12" s="73">
        <f t="shared" ca="1" si="30"/>
        <v>1.6894789590026962</v>
      </c>
    </row>
    <row r="13" spans="2:66">
      <c r="B13" s="198"/>
      <c r="C13" s="198"/>
      <c r="E13">
        <f t="shared" si="31"/>
        <v>10</v>
      </c>
      <c r="F13" s="9">
        <f t="shared" si="32"/>
        <v>69.749999999999957</v>
      </c>
      <c r="G13" s="132">
        <f t="shared" si="0"/>
        <v>0</v>
      </c>
      <c r="H13" s="133">
        <f t="shared" si="41"/>
        <v>1</v>
      </c>
      <c r="I13" s="31">
        <f t="shared" si="14"/>
        <v>2638661.5137098697</v>
      </c>
      <c r="J13" s="31">
        <f t="shared" si="1"/>
        <v>12843.818342807421</v>
      </c>
      <c r="K13" s="163">
        <f t="shared" si="2"/>
        <v>-20</v>
      </c>
      <c r="L13" s="163">
        <f t="shared" si="15"/>
        <v>-2198.8845947582249</v>
      </c>
      <c r="M13" s="163">
        <f t="shared" si="16"/>
        <v>0</v>
      </c>
      <c r="N13" s="163">
        <f t="shared" si="17"/>
        <v>-2506.7284380243768</v>
      </c>
      <c r="O13" s="84">
        <f t="shared" si="3"/>
        <v>-17488.599999999999</v>
      </c>
      <c r="P13" s="31">
        <f t="shared" si="4"/>
        <v>2629291.1190198944</v>
      </c>
      <c r="Q13" s="5"/>
      <c r="R13">
        <f t="shared" ca="1" si="18"/>
        <v>130</v>
      </c>
      <c r="S13" s="133">
        <f t="shared" ca="1" si="19"/>
        <v>79.72</v>
      </c>
      <c r="T13" s="132">
        <f t="shared" ca="1" si="5"/>
        <v>7.8211519790817308E-3</v>
      </c>
      <c r="U13" s="133">
        <f t="shared" ca="1" si="33"/>
        <v>0.93551687863243949</v>
      </c>
      <c r="V13" s="31">
        <f t="shared" ca="1" si="20"/>
        <v>1110177.7758630798</v>
      </c>
      <c r="W13" s="31">
        <f t="shared" ca="1" si="6"/>
        <v>5403.8464605336221</v>
      </c>
      <c r="X13" s="163">
        <f t="shared" ca="1" si="34"/>
        <v>-18.71033757264879</v>
      </c>
      <c r="Y13" s="163">
        <f t="shared" ca="1" si="35"/>
        <v>-925.14814655256657</v>
      </c>
      <c r="Z13" s="163">
        <f t="shared" ca="1" si="22"/>
        <v>0</v>
      </c>
      <c r="AA13" s="163">
        <f t="shared" ca="1" si="36"/>
        <v>-1054.6688870699261</v>
      </c>
      <c r="AB13" s="84">
        <f t="shared" ca="1" si="7"/>
        <v>-5832.6876735254782</v>
      </c>
      <c r="AC13" s="160">
        <f t="shared" si="8"/>
        <v>0</v>
      </c>
      <c r="AD13" s="31">
        <f t="shared" ca="1" si="9"/>
        <v>1107750.4072788928</v>
      </c>
      <c r="AE13" s="5"/>
      <c r="AF13" s="151">
        <f t="shared" ca="1" si="10"/>
        <v>-6234.722009561001</v>
      </c>
      <c r="AG13" s="151">
        <f t="shared" ca="1" si="11"/>
        <v>1184105.207057545</v>
      </c>
      <c r="AH13" s="86" t="s">
        <v>61</v>
      </c>
      <c r="AI13" s="93">
        <f>AI12/C4</f>
        <v>9.6269632867370336E-2</v>
      </c>
      <c r="AJ13" s="5"/>
      <c r="AK13" s="44">
        <v>27</v>
      </c>
      <c r="AL13" s="2">
        <v>2.1299999999999999E-3</v>
      </c>
      <c r="AM13" s="2">
        <v>1.7700000000000001E-3</v>
      </c>
      <c r="AN13" s="2">
        <f t="shared" si="23"/>
        <v>88</v>
      </c>
      <c r="AO13" s="2">
        <f t="shared" si="24"/>
        <v>0.17699000000000001</v>
      </c>
      <c r="AP13" s="45">
        <f t="shared" si="37"/>
        <v>0.27601293495302176</v>
      </c>
      <c r="AQ13" s="46">
        <f t="shared" ca="1" si="25"/>
        <v>0.16337163211310599</v>
      </c>
      <c r="AS13" s="55">
        <f t="shared" si="26"/>
        <v>1</v>
      </c>
      <c r="AT13" s="56">
        <f t="shared" si="38"/>
        <v>10</v>
      </c>
      <c r="AU13" s="57">
        <f t="shared" si="39"/>
        <v>0.95237695947587186</v>
      </c>
      <c r="AV13" s="58">
        <f t="shared" si="27"/>
        <v>4.8675505653430484E-3</v>
      </c>
      <c r="AW13" s="59">
        <f t="shared" si="28"/>
        <v>1.004867550565343</v>
      </c>
      <c r="AX13" s="60">
        <f>PRODUCT(AW$4:AW13)</f>
        <v>1.0497556506666998</v>
      </c>
      <c r="AZ13" s="71">
        <f t="shared" si="40"/>
        <v>10</v>
      </c>
      <c r="BA13" s="72">
        <f t="shared" ca="1" si="29"/>
        <v>1.004867550565343</v>
      </c>
      <c r="BB13" s="72">
        <f t="shared" ca="1" si="29"/>
        <v>1.004867550565343</v>
      </c>
      <c r="BC13" s="72">
        <f t="shared" ca="1" si="29"/>
        <v>1.004867550565343</v>
      </c>
      <c r="BD13" s="72">
        <f t="shared" ca="1" si="29"/>
        <v>1.004867550565343</v>
      </c>
      <c r="BE13" s="72">
        <f t="shared" ca="1" si="29"/>
        <v>1.004867550565343</v>
      </c>
      <c r="BF13" s="72">
        <f t="shared" ca="1" si="29"/>
        <v>1.004867550565343</v>
      </c>
      <c r="BG13" s="72">
        <f t="shared" ca="1" si="29"/>
        <v>1.004867550565343</v>
      </c>
      <c r="BH13" s="72">
        <f t="shared" ca="1" si="29"/>
        <v>1.004867550565343</v>
      </c>
      <c r="BI13" s="72">
        <f t="shared" ca="1" si="29"/>
        <v>1.004867550565343</v>
      </c>
      <c r="BJ13" s="72">
        <f t="shared" ca="1" si="29"/>
        <v>1.004867550565343</v>
      </c>
      <c r="BK13" s="72">
        <f t="shared" ca="1" si="29"/>
        <v>1.004867550565343</v>
      </c>
      <c r="BL13" s="72">
        <f t="shared" ca="1" si="29"/>
        <v>1.004867550565343</v>
      </c>
      <c r="BM13" s="72">
        <f t="shared" ca="1" si="13"/>
        <v>6.0000000000000275E-2</v>
      </c>
      <c r="BN13" s="73">
        <f t="shared" ca="1" si="30"/>
        <v>1.7908476965428584</v>
      </c>
    </row>
    <row r="14" spans="2:66">
      <c r="B14" s="39" t="s">
        <v>35</v>
      </c>
      <c r="C14" s="116">
        <v>0.02</v>
      </c>
      <c r="E14">
        <f t="shared" si="31"/>
        <v>11</v>
      </c>
      <c r="F14" s="9">
        <f t="shared" si="32"/>
        <v>69.833333333333286</v>
      </c>
      <c r="G14" s="132">
        <f t="shared" si="0"/>
        <v>0</v>
      </c>
      <c r="H14" s="133">
        <f t="shared" si="41"/>
        <v>1</v>
      </c>
      <c r="I14" s="31">
        <f t="shared" si="14"/>
        <v>2629291.1190198944</v>
      </c>
      <c r="J14" s="31">
        <f t="shared" si="1"/>
        <v>12798.207472836744</v>
      </c>
      <c r="K14" s="163">
        <f t="shared" si="2"/>
        <v>-20</v>
      </c>
      <c r="L14" s="163">
        <f t="shared" si="15"/>
        <v>-2191.0759325165786</v>
      </c>
      <c r="M14" s="163">
        <f t="shared" si="16"/>
        <v>0</v>
      </c>
      <c r="N14" s="163">
        <f t="shared" si="17"/>
        <v>-2497.8265630689002</v>
      </c>
      <c r="O14" s="84">
        <f t="shared" si="3"/>
        <v>-17488.599999999999</v>
      </c>
      <c r="P14" s="31">
        <f t="shared" si="4"/>
        <v>2619891.8239971451</v>
      </c>
      <c r="Q14" s="5"/>
      <c r="R14">
        <f t="shared" ca="1" si="18"/>
        <v>131</v>
      </c>
      <c r="S14" s="133">
        <f t="shared" ca="1" si="19"/>
        <v>79.8</v>
      </c>
      <c r="T14" s="132">
        <f t="shared" ca="1" si="5"/>
        <v>7.8211519790817308E-3</v>
      </c>
      <c r="U14" s="133">
        <f t="shared" ca="1" si="33"/>
        <v>0.92820005894565905</v>
      </c>
      <c r="V14" s="31">
        <f t="shared" ca="1" si="20"/>
        <v>1099086.5229886749</v>
      </c>
      <c r="W14" s="31">
        <f t="shared" ca="1" si="6"/>
        <v>5349.8592263344499</v>
      </c>
      <c r="X14" s="163">
        <f t="shared" ca="1" si="34"/>
        <v>-18.56400117891318</v>
      </c>
      <c r="Y14" s="163">
        <f t="shared" ca="1" si="35"/>
        <v>-915.9054358238958</v>
      </c>
      <c r="Z14" s="163">
        <f t="shared" ca="1" si="22"/>
        <v>0</v>
      </c>
      <c r="AA14" s="163">
        <f t="shared" ca="1" si="36"/>
        <v>-1044.1321968392415</v>
      </c>
      <c r="AB14" s="84">
        <f t="shared" ca="1" si="7"/>
        <v>-5787.0693367843196</v>
      </c>
      <c r="AC14" s="160">
        <f t="shared" si="8"/>
        <v>0</v>
      </c>
      <c r="AD14" s="31">
        <f t="shared" ca="1" si="9"/>
        <v>1096670.7112443831</v>
      </c>
      <c r="AE14" s="5"/>
      <c r="AF14" s="151">
        <f t="shared" ca="1" si="10"/>
        <v>-6234.7220095610019</v>
      </c>
      <c r="AG14" s="151">
        <f t="shared" ca="1" si="11"/>
        <v>1181502.5227321032</v>
      </c>
      <c r="AH14" s="36" t="s">
        <v>50</v>
      </c>
      <c r="AI14" s="42">
        <f>-SUM(M4:M1803)</f>
        <v>274158.97588727623</v>
      </c>
      <c r="AJ14" s="5"/>
      <c r="AK14" s="44">
        <v>28</v>
      </c>
      <c r="AL14" s="2">
        <v>2.0799999999999998E-3</v>
      </c>
      <c r="AM14" s="2">
        <v>1.6999999999999999E-3</v>
      </c>
      <c r="AN14" s="2">
        <f t="shared" si="23"/>
        <v>89</v>
      </c>
      <c r="AO14" s="2">
        <f t="shared" si="24"/>
        <v>0.19220000000000001</v>
      </c>
      <c r="AP14" s="45">
        <f t="shared" si="37"/>
        <v>0.22296324885505098</v>
      </c>
      <c r="AQ14" s="46">
        <f t="shared" ca="1" si="25"/>
        <v>0.12450151360468584</v>
      </c>
      <c r="AS14" s="55">
        <f t="shared" si="26"/>
        <v>1</v>
      </c>
      <c r="AT14" s="56">
        <f t="shared" si="38"/>
        <v>11</v>
      </c>
      <c r="AU14" s="57">
        <f t="shared" si="39"/>
        <v>0.94774121646835541</v>
      </c>
      <c r="AV14" s="58">
        <f t="shared" si="27"/>
        <v>4.8675505653430484E-3</v>
      </c>
      <c r="AW14" s="59">
        <f t="shared" si="28"/>
        <v>1.004867550565343</v>
      </c>
      <c r="AX14" s="60">
        <f>PRODUCT(AW$4:AW14)</f>
        <v>1.0548653893775746</v>
      </c>
      <c r="AZ14" s="71">
        <f t="shared" si="40"/>
        <v>11</v>
      </c>
      <c r="BA14" s="72">
        <f t="shared" ca="1" si="29"/>
        <v>1.004867550565343</v>
      </c>
      <c r="BB14" s="72">
        <f t="shared" ca="1" si="29"/>
        <v>1.004867550565343</v>
      </c>
      <c r="BC14" s="72">
        <f t="shared" ca="1" si="29"/>
        <v>1.004867550565343</v>
      </c>
      <c r="BD14" s="72">
        <f t="shared" ca="1" si="29"/>
        <v>1.004867550565343</v>
      </c>
      <c r="BE14" s="72">
        <f t="shared" ca="1" si="29"/>
        <v>1.004867550565343</v>
      </c>
      <c r="BF14" s="72">
        <f t="shared" ca="1" si="29"/>
        <v>1.004867550565343</v>
      </c>
      <c r="BG14" s="72">
        <f t="shared" ca="1" si="29"/>
        <v>1.004867550565343</v>
      </c>
      <c r="BH14" s="72">
        <f t="shared" ca="1" si="29"/>
        <v>1.004867550565343</v>
      </c>
      <c r="BI14" s="72">
        <f t="shared" ca="1" si="29"/>
        <v>1.004867550565343</v>
      </c>
      <c r="BJ14" s="72">
        <f t="shared" ca="1" si="29"/>
        <v>1.004867550565343</v>
      </c>
      <c r="BK14" s="72">
        <f t="shared" ca="1" si="29"/>
        <v>1.004867550565343</v>
      </c>
      <c r="BL14" s="72">
        <f t="shared" ca="1" si="29"/>
        <v>1.004867550565343</v>
      </c>
      <c r="BM14" s="72">
        <f t="shared" ca="1" si="13"/>
        <v>6.0000000000000275E-2</v>
      </c>
      <c r="BN14" s="73">
        <f t="shared" ca="1" si="30"/>
        <v>1.8982985583354304</v>
      </c>
    </row>
    <row r="15" spans="2:66">
      <c r="B15" t="s">
        <v>33</v>
      </c>
      <c r="C15" s="117">
        <v>0</v>
      </c>
      <c r="E15">
        <f t="shared" si="31"/>
        <v>12</v>
      </c>
      <c r="F15" s="9">
        <f t="shared" si="32"/>
        <v>69.916666666666615</v>
      </c>
      <c r="G15" s="132">
        <f t="shared" si="0"/>
        <v>0</v>
      </c>
      <c r="H15" s="133">
        <f t="shared" si="41"/>
        <v>1</v>
      </c>
      <c r="I15" s="31">
        <f t="shared" si="14"/>
        <v>2619891.8239971451</v>
      </c>
      <c r="J15" s="31">
        <f t="shared" si="1"/>
        <v>12752.455929034933</v>
      </c>
      <c r="K15" s="163">
        <f t="shared" si="2"/>
        <v>-20</v>
      </c>
      <c r="L15" s="163">
        <f t="shared" si="15"/>
        <v>-2183.2431866642878</v>
      </c>
      <c r="M15" s="163">
        <f>IF(OR(I14+O14=0,K14=0),0,-IF(MOD(E15-1,12)=0,1,0)*I15*($C$17))</f>
        <v>0</v>
      </c>
      <c r="N15" s="163">
        <f t="shared" si="17"/>
        <v>-2488.8972327972883</v>
      </c>
      <c r="O15" s="84">
        <f t="shared" si="3"/>
        <v>-17488.599999999999</v>
      </c>
      <c r="P15" s="31">
        <f t="shared" si="4"/>
        <v>2610463.5395067181</v>
      </c>
      <c r="Q15" s="5"/>
      <c r="R15">
        <f t="shared" ca="1" si="18"/>
        <v>132</v>
      </c>
      <c r="S15" s="133">
        <f t="shared" ca="1" si="19"/>
        <v>79.88</v>
      </c>
      <c r="T15" s="132">
        <f t="shared" ca="1" si="5"/>
        <v>7.8211519790817308E-3</v>
      </c>
      <c r="U15" s="133">
        <f t="shared" ca="1" si="33"/>
        <v>0.92094046521765238</v>
      </c>
      <c r="V15" s="31">
        <f t="shared" ca="1" si="20"/>
        <v>1088093.4829407332</v>
      </c>
      <c r="W15" s="31">
        <f t="shared" ca="1" si="6"/>
        <v>5296.3500480342527</v>
      </c>
      <c r="X15" s="163">
        <f t="shared" ca="1" si="34"/>
        <v>-18.418809304353047</v>
      </c>
      <c r="Y15" s="163">
        <f t="shared" ca="1" si="35"/>
        <v>-906.74456911727771</v>
      </c>
      <c r="Z15" s="163">
        <f t="shared" ca="1" si="22"/>
        <v>-8160.7011220554987</v>
      </c>
      <c r="AA15" s="163">
        <f t="shared" ca="1" si="36"/>
        <v>-1033.6888087936968</v>
      </c>
      <c r="AB15" s="84">
        <f t="shared" ca="1" si="7"/>
        <v>-5741.8077879878447</v>
      </c>
      <c r="AC15" s="160">
        <f t="shared" si="8"/>
        <v>0</v>
      </c>
      <c r="AD15" s="31">
        <f t="shared" ca="1" si="9"/>
        <v>1077528.4718915089</v>
      </c>
      <c r="AE15" s="5"/>
      <c r="AF15" s="151">
        <f t="shared" ca="1" si="10"/>
        <v>-6234.722009561001</v>
      </c>
      <c r="AG15" s="151">
        <f t="shared" ca="1" si="11"/>
        <v>1170030.5422423251</v>
      </c>
      <c r="AH15" s="37" t="s">
        <v>51</v>
      </c>
      <c r="AI15" s="43">
        <f>-SUMPRODUCT(M4:M1803,AU4:AU1803)</f>
        <v>170160.43184663565</v>
      </c>
      <c r="AJ15" s="5"/>
      <c r="AK15" s="44">
        <v>29</v>
      </c>
      <c r="AL15" s="2">
        <v>2.0500000000000002E-3</v>
      </c>
      <c r="AM15" s="2">
        <v>1.67E-3</v>
      </c>
      <c r="AN15" s="2">
        <f t="shared" si="23"/>
        <v>90</v>
      </c>
      <c r="AO15" s="2">
        <f t="shared" si="24"/>
        <v>0.20841999999999999</v>
      </c>
      <c r="AP15" s="45">
        <f t="shared" si="37"/>
        <v>0.17649324852868123</v>
      </c>
      <c r="AQ15" s="46">
        <f t="shared" ca="1" si="25"/>
        <v>9.2974441640752054E-2</v>
      </c>
      <c r="AS15" s="55">
        <f t="shared" si="26"/>
        <v>1</v>
      </c>
      <c r="AT15" s="56">
        <f t="shared" si="38"/>
        <v>12</v>
      </c>
      <c r="AU15" s="57">
        <f t="shared" si="39"/>
        <v>0.94312803817433599</v>
      </c>
      <c r="AV15" s="58">
        <f t="shared" si="27"/>
        <v>4.8675505653430484E-3</v>
      </c>
      <c r="AW15" s="59">
        <f t="shared" si="28"/>
        <v>1.004867550565343</v>
      </c>
      <c r="AX15" s="60">
        <f>PRODUCT(AW$4:AW15)</f>
        <v>1.0600000000000003</v>
      </c>
      <c r="AZ15" s="71">
        <f t="shared" si="40"/>
        <v>12</v>
      </c>
      <c r="BA15" s="72">
        <f t="shared" ref="BA15:BL24" ca="1" si="42">OFFSET($AW$3,($AZ15*12-12)+BA$3,0)</f>
        <v>1.004867550565343</v>
      </c>
      <c r="BB15" s="72">
        <f t="shared" ca="1" si="42"/>
        <v>1.004867550565343</v>
      </c>
      <c r="BC15" s="72">
        <f t="shared" ca="1" si="42"/>
        <v>1.004867550565343</v>
      </c>
      <c r="BD15" s="72">
        <f t="shared" ca="1" si="42"/>
        <v>1.004867550565343</v>
      </c>
      <c r="BE15" s="72">
        <f t="shared" ca="1" si="42"/>
        <v>1.004867550565343</v>
      </c>
      <c r="BF15" s="72">
        <f t="shared" ca="1" si="42"/>
        <v>1.004867550565343</v>
      </c>
      <c r="BG15" s="72">
        <f t="shared" ca="1" si="42"/>
        <v>1.004867550565343</v>
      </c>
      <c r="BH15" s="72">
        <f t="shared" ca="1" si="42"/>
        <v>1.004867550565343</v>
      </c>
      <c r="BI15" s="72">
        <f t="shared" ca="1" si="42"/>
        <v>1.004867550565343</v>
      </c>
      <c r="BJ15" s="72">
        <f t="shared" ca="1" si="42"/>
        <v>1.004867550565343</v>
      </c>
      <c r="BK15" s="72">
        <f t="shared" ca="1" si="42"/>
        <v>1.004867550565343</v>
      </c>
      <c r="BL15" s="72">
        <f t="shared" ca="1" si="42"/>
        <v>1.004867550565343</v>
      </c>
      <c r="BM15" s="72">
        <f t="shared" ca="1" si="13"/>
        <v>6.0000000000000275E-2</v>
      </c>
      <c r="BN15" s="73">
        <f t="shared" ca="1" si="30"/>
        <v>2.0121964718355567</v>
      </c>
    </row>
    <row r="16" spans="2:66">
      <c r="B16" t="s">
        <v>31</v>
      </c>
      <c r="C16" s="117">
        <v>0.01</v>
      </c>
      <c r="E16">
        <f t="shared" si="31"/>
        <v>13</v>
      </c>
      <c r="F16" s="9">
        <f t="shared" si="32"/>
        <v>69.999999999999943</v>
      </c>
      <c r="G16" s="132">
        <f t="shared" si="0"/>
        <v>0</v>
      </c>
      <c r="H16" s="133">
        <f t="shared" si="41"/>
        <v>1</v>
      </c>
      <c r="I16" s="31">
        <f t="shared" si="14"/>
        <v>2610463.5395067181</v>
      </c>
      <c r="J16" s="31">
        <f t="shared" si="1"/>
        <v>12706.563277533342</v>
      </c>
      <c r="K16" s="163">
        <f t="shared" si="2"/>
        <v>-20</v>
      </c>
      <c r="L16" s="163">
        <f t="shared" si="15"/>
        <v>-2175.3862829222653</v>
      </c>
      <c r="M16" s="163">
        <f t="shared" ref="M16:M79" si="43">IF(OR(I15+O15=0,K15=0),0,-IF(MOD(E16-1,12)=0,1,0)*I16*($C$17))</f>
        <v>-19578.476546300386</v>
      </c>
      <c r="N16" s="163">
        <f t="shared" si="17"/>
        <v>-2479.9403625313826</v>
      </c>
      <c r="O16" s="84">
        <f t="shared" si="3"/>
        <v>-17488.599999999999</v>
      </c>
      <c r="P16" s="31">
        <f t="shared" si="4"/>
        <v>2581427.6995924972</v>
      </c>
      <c r="Q16" s="5"/>
      <c r="R16">
        <f t="shared" ca="1" si="18"/>
        <v>133</v>
      </c>
      <c r="S16" s="133">
        <f t="shared" ca="1" si="19"/>
        <v>79.959999999999994</v>
      </c>
      <c r="T16" s="132">
        <f t="shared" ca="1" si="5"/>
        <v>7.8211519790817308E-3</v>
      </c>
      <c r="U16" s="133">
        <f t="shared" ca="1" si="33"/>
        <v>0.91373764987549888</v>
      </c>
      <c r="V16" s="31">
        <f t="shared" ca="1" si="20"/>
        <v>1069100.9579510577</v>
      </c>
      <c r="W16" s="31">
        <f t="shared" ca="1" si="6"/>
        <v>5203.9029722834657</v>
      </c>
      <c r="X16" s="163">
        <f t="shared" ca="1" si="34"/>
        <v>-18.274752997509978</v>
      </c>
      <c r="Y16" s="163">
        <f t="shared" ca="1" si="35"/>
        <v>-890.91746495921484</v>
      </c>
      <c r="Z16" s="163">
        <f t="shared" ca="1" si="22"/>
        <v>0</v>
      </c>
      <c r="AA16" s="163">
        <f t="shared" ca="1" si="36"/>
        <v>-1015.645910053505</v>
      </c>
      <c r="AB16" s="84">
        <f t="shared" ca="1" si="7"/>
        <v>-5696.9002366433169</v>
      </c>
      <c r="AC16" s="160">
        <f t="shared" si="8"/>
        <v>0</v>
      </c>
      <c r="AD16" s="31">
        <f t="shared" ca="1" si="9"/>
        <v>1066683.1225586876</v>
      </c>
      <c r="AE16" s="5"/>
      <c r="AF16" s="151">
        <f t="shared" ca="1" si="10"/>
        <v>-6234.722009561001</v>
      </c>
      <c r="AG16" s="151">
        <f t="shared" ca="1" si="11"/>
        <v>1167384.4485931254</v>
      </c>
      <c r="AH16" s="36" t="s">
        <v>53</v>
      </c>
      <c r="AI16" s="42">
        <f>-SUM(N4:N1803)+C15*C4</f>
        <v>400959.76647047186</v>
      </c>
      <c r="AJ16" s="5"/>
      <c r="AK16" s="44">
        <v>30</v>
      </c>
      <c r="AL16" s="2">
        <v>2.0400000000000001E-3</v>
      </c>
      <c r="AM16" s="2">
        <v>1.65E-3</v>
      </c>
      <c r="AN16" s="2">
        <f t="shared" si="23"/>
        <v>91</v>
      </c>
      <c r="AO16" s="2">
        <f t="shared" si="24"/>
        <v>0.2258</v>
      </c>
      <c r="AP16" s="45">
        <f t="shared" si="37"/>
        <v>0.136641073010905</v>
      </c>
      <c r="AQ16" s="46">
        <f t="shared" ca="1" si="25"/>
        <v>6.790642709270775E-2</v>
      </c>
      <c r="AS16" s="55">
        <f t="shared" si="26"/>
        <v>2</v>
      </c>
      <c r="AT16" s="56">
        <f t="shared" si="38"/>
        <v>13</v>
      </c>
      <c r="AU16" s="57">
        <f t="shared" si="39"/>
        <v>0.93853731475892965</v>
      </c>
      <c r="AV16" s="58">
        <f t="shared" si="27"/>
        <v>4.8675505653430484E-3</v>
      </c>
      <c r="AW16" s="59">
        <f t="shared" si="28"/>
        <v>1.004867550565343</v>
      </c>
      <c r="AX16" s="60">
        <f>PRODUCT(AW$4:AW16)</f>
        <v>1.0651596035992639</v>
      </c>
      <c r="AZ16" s="71">
        <f t="shared" si="40"/>
        <v>13</v>
      </c>
      <c r="BA16" s="72">
        <f t="shared" ca="1" si="42"/>
        <v>1.004867550565343</v>
      </c>
      <c r="BB16" s="72">
        <f t="shared" ca="1" si="42"/>
        <v>1.004867550565343</v>
      </c>
      <c r="BC16" s="72">
        <f t="shared" ca="1" si="42"/>
        <v>1.004867550565343</v>
      </c>
      <c r="BD16" s="72">
        <f t="shared" ca="1" si="42"/>
        <v>1.004867550565343</v>
      </c>
      <c r="BE16" s="72">
        <f t="shared" ca="1" si="42"/>
        <v>1.004867550565343</v>
      </c>
      <c r="BF16" s="72">
        <f t="shared" ca="1" si="42"/>
        <v>1.004867550565343</v>
      </c>
      <c r="BG16" s="72">
        <f t="shared" ca="1" si="42"/>
        <v>1.004867550565343</v>
      </c>
      <c r="BH16" s="72">
        <f t="shared" ca="1" si="42"/>
        <v>1.004867550565343</v>
      </c>
      <c r="BI16" s="72">
        <f t="shared" ca="1" si="42"/>
        <v>1.004867550565343</v>
      </c>
      <c r="BJ16" s="72">
        <f t="shared" ca="1" si="42"/>
        <v>1.004867550565343</v>
      </c>
      <c r="BK16" s="72">
        <f t="shared" ca="1" si="42"/>
        <v>1.004867550565343</v>
      </c>
      <c r="BL16" s="72">
        <f t="shared" ca="1" si="42"/>
        <v>1.004867550565343</v>
      </c>
      <c r="BM16" s="72">
        <f t="shared" ca="1" si="13"/>
        <v>6.0000000000000275E-2</v>
      </c>
      <c r="BN16" s="73">
        <f t="shared" ca="1" si="30"/>
        <v>2.1329282601456905</v>
      </c>
    </row>
    <row r="17" spans="2:66">
      <c r="B17" t="s">
        <v>108</v>
      </c>
      <c r="C17" s="117">
        <v>7.4999999999999997E-3</v>
      </c>
      <c r="E17">
        <f t="shared" si="31"/>
        <v>14</v>
      </c>
      <c r="F17" s="9">
        <f t="shared" si="32"/>
        <v>70.083333333333272</v>
      </c>
      <c r="G17" s="132">
        <f t="shared" si="0"/>
        <v>0</v>
      </c>
      <c r="H17" s="133">
        <f t="shared" si="41"/>
        <v>1</v>
      </c>
      <c r="I17" s="31">
        <f t="shared" si="14"/>
        <v>2581427.6995924972</v>
      </c>
      <c r="J17" s="31">
        <f t="shared" si="1"/>
        <v>12565.229858543666</v>
      </c>
      <c r="K17" s="163">
        <f t="shared" si="2"/>
        <v>-20</v>
      </c>
      <c r="L17" s="163">
        <f t="shared" si="15"/>
        <v>-2151.1897496604147</v>
      </c>
      <c r="M17" s="163">
        <f t="shared" si="43"/>
        <v>0</v>
      </c>
      <c r="N17" s="163">
        <f t="shared" si="17"/>
        <v>-2452.3563146128727</v>
      </c>
      <c r="O17" s="84">
        <f t="shared" si="3"/>
        <v>-17488.599999999999</v>
      </c>
      <c r="P17" s="31">
        <f t="shared" si="4"/>
        <v>2571880.7833867674</v>
      </c>
      <c r="Q17" s="5"/>
      <c r="R17">
        <f t="shared" ca="1" si="18"/>
        <v>134</v>
      </c>
      <c r="S17" s="133">
        <f t="shared" ca="1" si="19"/>
        <v>80.040000000000006</v>
      </c>
      <c r="T17" s="132">
        <f t="shared" ca="1" si="5"/>
        <v>7.8211519790817308E-3</v>
      </c>
      <c r="U17" s="133">
        <f t="shared" ca="1" si="33"/>
        <v>0.90659116884681368</v>
      </c>
      <c r="V17" s="31">
        <f t="shared" ca="1" si="20"/>
        <v>1058340.4317436346</v>
      </c>
      <c r="W17" s="31">
        <f t="shared" ca="1" si="6"/>
        <v>5151.5255668591344</v>
      </c>
      <c r="X17" s="163">
        <f t="shared" ca="1" si="34"/>
        <v>-18.131823376936275</v>
      </c>
      <c r="Y17" s="163">
        <f t="shared" ca="1" si="35"/>
        <v>-881.95035978636224</v>
      </c>
      <c r="Z17" s="163">
        <f t="shared" ca="1" si="22"/>
        <v>0</v>
      </c>
      <c r="AA17" s="163">
        <f t="shared" ca="1" si="36"/>
        <v>-1005.4234101564531</v>
      </c>
      <c r="AB17" s="84">
        <f t="shared" ca="1" si="7"/>
        <v>-5652.3439140828632</v>
      </c>
      <c r="AC17" s="160">
        <f t="shared" si="8"/>
        <v>0</v>
      </c>
      <c r="AD17" s="31">
        <f t="shared" ca="1" si="9"/>
        <v>1055934.1078030909</v>
      </c>
      <c r="AE17" s="5"/>
      <c r="AF17" s="151">
        <f t="shared" ca="1" si="10"/>
        <v>-6234.722009561001</v>
      </c>
      <c r="AG17" s="151">
        <f t="shared" ca="1" si="11"/>
        <v>1164730.1938162954</v>
      </c>
      <c r="AH17" s="37" t="s">
        <v>52</v>
      </c>
      <c r="AI17" s="43">
        <f>-SUMPRODUCT(N4:N1803,AU4:AU1803)+C15*C4</f>
        <v>243294.07608884736</v>
      </c>
      <c r="AJ17" s="5"/>
      <c r="AK17" s="44">
        <v>31</v>
      </c>
      <c r="AL17" s="2">
        <v>2.0500000000000002E-3</v>
      </c>
      <c r="AM17" s="2">
        <v>1.65E-3</v>
      </c>
      <c r="AN17" s="2">
        <f t="shared" si="23"/>
        <v>92</v>
      </c>
      <c r="AO17" s="2">
        <f t="shared" si="24"/>
        <v>0.24440000000000001</v>
      </c>
      <c r="AP17" s="45">
        <f t="shared" si="37"/>
        <v>0.10324599476703983</v>
      </c>
      <c r="AQ17" s="46">
        <f t="shared" ca="1" si="25"/>
        <v>4.8405751237028276E-2</v>
      </c>
      <c r="AS17" s="55">
        <f t="shared" si="26"/>
        <v>2</v>
      </c>
      <c r="AT17" s="56">
        <f t="shared" si="38"/>
        <v>14</v>
      </c>
      <c r="AU17" s="57">
        <f t="shared" si="39"/>
        <v>0.93396893692187932</v>
      </c>
      <c r="AV17" s="58">
        <f t="shared" si="27"/>
        <v>4.8675505653430484E-3</v>
      </c>
      <c r="AW17" s="59">
        <f t="shared" si="28"/>
        <v>1.004867550565343</v>
      </c>
      <c r="AX17" s="60">
        <f>PRODUCT(AW$4:AW17)</f>
        <v>1.070344321829944</v>
      </c>
      <c r="AZ17" s="71">
        <f t="shared" si="40"/>
        <v>14</v>
      </c>
      <c r="BA17" s="72">
        <f t="shared" ca="1" si="42"/>
        <v>1.004867550565343</v>
      </c>
      <c r="BB17" s="72">
        <f t="shared" ca="1" si="42"/>
        <v>1.004867550565343</v>
      </c>
      <c r="BC17" s="72">
        <f t="shared" ca="1" si="42"/>
        <v>1.004867550565343</v>
      </c>
      <c r="BD17" s="72">
        <f t="shared" ca="1" si="42"/>
        <v>1.004867550565343</v>
      </c>
      <c r="BE17" s="72">
        <f t="shared" ca="1" si="42"/>
        <v>1.004867550565343</v>
      </c>
      <c r="BF17" s="72">
        <f t="shared" ca="1" si="42"/>
        <v>1.004867550565343</v>
      </c>
      <c r="BG17" s="72">
        <f t="shared" ca="1" si="42"/>
        <v>1.004867550565343</v>
      </c>
      <c r="BH17" s="72">
        <f t="shared" ca="1" si="42"/>
        <v>1.004867550565343</v>
      </c>
      <c r="BI17" s="72">
        <f t="shared" ca="1" si="42"/>
        <v>1.004867550565343</v>
      </c>
      <c r="BJ17" s="72">
        <f t="shared" ca="1" si="42"/>
        <v>1.004867550565343</v>
      </c>
      <c r="BK17" s="72">
        <f t="shared" ca="1" si="42"/>
        <v>1.004867550565343</v>
      </c>
      <c r="BL17" s="72">
        <f t="shared" ca="1" si="42"/>
        <v>1.004867550565343</v>
      </c>
      <c r="BM17" s="72">
        <f t="shared" ca="1" si="13"/>
        <v>6.0000000000000275E-2</v>
      </c>
      <c r="BN17" s="73">
        <f t="shared" ca="1" si="30"/>
        <v>2.2609039557544324</v>
      </c>
    </row>
    <row r="18" spans="2:66">
      <c r="B18" t="s">
        <v>32</v>
      </c>
      <c r="C18" s="117">
        <v>0.01</v>
      </c>
      <c r="E18">
        <f t="shared" si="31"/>
        <v>15</v>
      </c>
      <c r="F18" s="9">
        <f t="shared" si="32"/>
        <v>70.1666666666666</v>
      </c>
      <c r="G18" s="132">
        <f t="shared" si="0"/>
        <v>0</v>
      </c>
      <c r="H18" s="133">
        <f t="shared" si="41"/>
        <v>1</v>
      </c>
      <c r="I18" s="31">
        <f t="shared" si="14"/>
        <v>2571880.7833867674</v>
      </c>
      <c r="J18" s="31">
        <f t="shared" si="1"/>
        <v>12518.759761169182</v>
      </c>
      <c r="K18" s="163">
        <f t="shared" si="2"/>
        <v>-20</v>
      </c>
      <c r="L18" s="163">
        <f t="shared" si="15"/>
        <v>-2143.2339861556397</v>
      </c>
      <c r="M18" s="163">
        <f t="shared" si="43"/>
        <v>0</v>
      </c>
      <c r="N18" s="163">
        <f t="shared" si="17"/>
        <v>-2443.2867442174297</v>
      </c>
      <c r="O18" s="84">
        <f t="shared" si="3"/>
        <v>-17488.599999999999</v>
      </c>
      <c r="P18" s="31">
        <f t="shared" si="4"/>
        <v>2562304.4224175634</v>
      </c>
      <c r="Q18" s="5"/>
      <c r="R18">
        <f t="shared" ca="1" si="18"/>
        <v>135</v>
      </c>
      <c r="S18" s="133">
        <f t="shared" ca="1" si="19"/>
        <v>80.12</v>
      </c>
      <c r="T18" s="132">
        <f t="shared" ca="1" si="5"/>
        <v>7.8211519790817308E-3</v>
      </c>
      <c r="U18" s="133">
        <f t="shared" ca="1" si="33"/>
        <v>0.89950058153236945</v>
      </c>
      <c r="V18" s="31">
        <f t="shared" ca="1" si="20"/>
        <v>1047675.4866660669</v>
      </c>
      <c r="W18" s="31">
        <f t="shared" ca="1" si="6"/>
        <v>5099.613407417467</v>
      </c>
      <c r="X18" s="163">
        <f t="shared" ca="1" si="34"/>
        <v>-17.990011630647388</v>
      </c>
      <c r="Y18" s="163">
        <f t="shared" ca="1" si="35"/>
        <v>-873.06290555505586</v>
      </c>
      <c r="Z18" s="163">
        <f t="shared" ca="1" si="22"/>
        <v>0</v>
      </c>
      <c r="AA18" s="163">
        <f t="shared" ca="1" si="36"/>
        <v>-995.29171233276384</v>
      </c>
      <c r="AB18" s="84">
        <f t="shared" ca="1" si="7"/>
        <v>-5608.1360732927833</v>
      </c>
      <c r="AC18" s="160">
        <f t="shared" si="8"/>
        <v>0</v>
      </c>
      <c r="AD18" s="31">
        <f t="shared" ca="1" si="9"/>
        <v>1045280.6193706732</v>
      </c>
      <c r="AE18" s="5"/>
      <c r="AF18" s="151">
        <f t="shared" ca="1" si="10"/>
        <v>-6234.722009561001</v>
      </c>
      <c r="AG18" s="151">
        <f t="shared" ca="1" si="11"/>
        <v>1162067.7527411445</v>
      </c>
      <c r="AH18" s="82" t="s">
        <v>54</v>
      </c>
      <c r="AI18" s="82">
        <f>SumOfFeesToInsurer
+SumOfAssetManagementCharges
+SumOfCommissionPayments
-SUM(K4:K1803)</f>
        <v>1090501.3557528986</v>
      </c>
      <c r="AJ18" s="5"/>
      <c r="AK18" s="44">
        <v>32</v>
      </c>
      <c r="AL18" s="2">
        <v>2.0799999999999998E-3</v>
      </c>
      <c r="AM18" s="2">
        <v>1.6800000000000001E-3</v>
      </c>
      <c r="AN18" s="2">
        <f t="shared" si="23"/>
        <v>93</v>
      </c>
      <c r="AO18" s="2">
        <f t="shared" si="24"/>
        <v>0.26424999999999998</v>
      </c>
      <c r="AP18" s="45">
        <f t="shared" si="37"/>
        <v>7.596324064984955E-2</v>
      </c>
      <c r="AQ18" s="46">
        <f t="shared" ca="1" si="25"/>
        <v>3.3598614596833533E-2</v>
      </c>
      <c r="AS18" s="55">
        <f t="shared" si="26"/>
        <v>2</v>
      </c>
      <c r="AT18" s="56">
        <f t="shared" si="38"/>
        <v>15</v>
      </c>
      <c r="AU18" s="57">
        <f t="shared" si="39"/>
        <v>0.92942279589495236</v>
      </c>
      <c r="AV18" s="58">
        <f t="shared" si="27"/>
        <v>4.8675505653430484E-3</v>
      </c>
      <c r="AW18" s="59">
        <f t="shared" si="28"/>
        <v>1.004867550565343</v>
      </c>
      <c r="AX18" s="60">
        <f>PRODUCT(AW$4:AW18)</f>
        <v>1.0755542769387791</v>
      </c>
      <c r="AZ18" s="71">
        <f t="shared" si="40"/>
        <v>15</v>
      </c>
      <c r="BA18" s="72">
        <f t="shared" ca="1" si="42"/>
        <v>1.004867550565343</v>
      </c>
      <c r="BB18" s="72">
        <f t="shared" ca="1" si="42"/>
        <v>1.004867550565343</v>
      </c>
      <c r="BC18" s="72">
        <f t="shared" ca="1" si="42"/>
        <v>1.004867550565343</v>
      </c>
      <c r="BD18" s="72">
        <f t="shared" ca="1" si="42"/>
        <v>1.004867550565343</v>
      </c>
      <c r="BE18" s="72">
        <f t="shared" ca="1" si="42"/>
        <v>1.004867550565343</v>
      </c>
      <c r="BF18" s="72">
        <f t="shared" ca="1" si="42"/>
        <v>1.004867550565343</v>
      </c>
      <c r="BG18" s="72">
        <f t="shared" ca="1" si="42"/>
        <v>1.004867550565343</v>
      </c>
      <c r="BH18" s="72">
        <f t="shared" ca="1" si="42"/>
        <v>1.004867550565343</v>
      </c>
      <c r="BI18" s="72">
        <f t="shared" ca="1" si="42"/>
        <v>1.004867550565343</v>
      </c>
      <c r="BJ18" s="72">
        <f t="shared" ca="1" si="42"/>
        <v>1.004867550565343</v>
      </c>
      <c r="BK18" s="72">
        <f t="shared" ca="1" si="42"/>
        <v>1.004867550565343</v>
      </c>
      <c r="BL18" s="72">
        <f t="shared" ca="1" si="42"/>
        <v>1.004867550565343</v>
      </c>
      <c r="BM18" s="72">
        <f t="shared" ca="1" si="13"/>
        <v>6.0000000000000275E-2</v>
      </c>
      <c r="BN18" s="73">
        <f t="shared" ca="1" si="30"/>
        <v>2.3965581930996991</v>
      </c>
    </row>
    <row r="19" spans="2:66">
      <c r="B19" t="s">
        <v>30</v>
      </c>
      <c r="C19" s="118">
        <v>20</v>
      </c>
      <c r="E19">
        <f t="shared" si="31"/>
        <v>16</v>
      </c>
      <c r="F19" s="9">
        <f t="shared" si="32"/>
        <v>70.249999999999929</v>
      </c>
      <c r="G19" s="132">
        <f t="shared" si="0"/>
        <v>0</v>
      </c>
      <c r="H19" s="133">
        <f t="shared" si="41"/>
        <v>1</v>
      </c>
      <c r="I19" s="31">
        <f t="shared" si="14"/>
        <v>2562304.4224175634</v>
      </c>
      <c r="J19" s="31">
        <f t="shared" si="1"/>
        <v>12472.146339919604</v>
      </c>
      <c r="K19" s="163">
        <f t="shared" si="2"/>
        <v>-20</v>
      </c>
      <c r="L19" s="163">
        <f t="shared" si="15"/>
        <v>-2135.2536853479696</v>
      </c>
      <c r="M19" s="163">
        <f t="shared" si="43"/>
        <v>0</v>
      </c>
      <c r="N19" s="163">
        <f t="shared" si="17"/>
        <v>-2434.189201296686</v>
      </c>
      <c r="O19" s="84">
        <f t="shared" si="3"/>
        <v>-17488.599999999999</v>
      </c>
      <c r="P19" s="31">
        <f t="shared" si="4"/>
        <v>2552698.5258708377</v>
      </c>
      <c r="Q19" s="5"/>
      <c r="R19">
        <f t="shared" ca="1" si="18"/>
        <v>136</v>
      </c>
      <c r="S19" s="133">
        <f t="shared" ca="1" si="19"/>
        <v>80.2</v>
      </c>
      <c r="T19" s="132">
        <f t="shared" ca="1" si="5"/>
        <v>7.8211519790817308E-3</v>
      </c>
      <c r="U19" s="133">
        <f t="shared" ca="1" si="33"/>
        <v>0.89246545077893236</v>
      </c>
      <c r="V19" s="31">
        <f t="shared" ca="1" si="20"/>
        <v>1037105.3207857865</v>
      </c>
      <c r="W19" s="31">
        <f t="shared" ca="1" si="6"/>
        <v>5048.1625905111387</v>
      </c>
      <c r="X19" s="163">
        <f t="shared" ca="1" si="34"/>
        <v>-17.849309015578648</v>
      </c>
      <c r="Y19" s="163">
        <f t="shared" ca="1" si="35"/>
        <v>-864.25443398815548</v>
      </c>
      <c r="Z19" s="163">
        <f t="shared" ca="1" si="22"/>
        <v>0</v>
      </c>
      <c r="AA19" s="163">
        <f t="shared" ca="1" si="36"/>
        <v>-985.25005474649743</v>
      </c>
      <c r="AB19" s="84">
        <f t="shared" ca="1" si="7"/>
        <v>-5564.2739887441903</v>
      </c>
      <c r="AC19" s="160">
        <f t="shared" si="8"/>
        <v>0</v>
      </c>
      <c r="AD19" s="31">
        <f t="shared" ca="1" si="9"/>
        <v>1034721.8555898032</v>
      </c>
      <c r="AE19" s="5"/>
      <c r="AF19" s="151">
        <f t="shared" ca="1" si="10"/>
        <v>-6234.7220095610019</v>
      </c>
      <c r="AG19" s="151">
        <f t="shared" ca="1" si="11"/>
        <v>1159397.1001193505</v>
      </c>
      <c r="AH19" s="5" t="s">
        <v>55</v>
      </c>
      <c r="AI19" s="5">
        <f>PresentValueOfFeesToInsurer
+PresentValueOfAssetManagementCharges
+PresentValueOfCommissionPayments
-SUMPRODUCT(K4:K1803,AU4:AU1803)</f>
        <v>686297.92509895994</v>
      </c>
      <c r="AJ19" s="5"/>
      <c r="AK19" s="44">
        <v>33</v>
      </c>
      <c r="AL19" s="2">
        <v>2.1199999999999999E-3</v>
      </c>
      <c r="AM19" s="2">
        <v>1.73E-3</v>
      </c>
      <c r="AN19" s="2">
        <f t="shared" si="23"/>
        <v>94</v>
      </c>
      <c r="AO19" s="2">
        <f t="shared" si="24"/>
        <v>0.28538000000000002</v>
      </c>
      <c r="AP19" s="45">
        <f t="shared" si="37"/>
        <v>5.428485103319549E-2</v>
      </c>
      <c r="AQ19" s="46">
        <f t="shared" ca="1" si="25"/>
        <v>2.2651171663386014E-2</v>
      </c>
      <c r="AS19" s="55">
        <f t="shared" si="26"/>
        <v>2</v>
      </c>
      <c r="AT19" s="56">
        <f t="shared" si="38"/>
        <v>16</v>
      </c>
      <c r="AU19" s="57">
        <f t="shared" si="39"/>
        <v>0.92489878343935117</v>
      </c>
      <c r="AV19" s="58">
        <f t="shared" si="27"/>
        <v>4.8675505653430484E-3</v>
      </c>
      <c r="AW19" s="59">
        <f t="shared" si="28"/>
        <v>1.004867550565343</v>
      </c>
      <c r="AX19" s="60">
        <f>PRODUCT(AW$4:AW19)</f>
        <v>1.0807895917675496</v>
      </c>
      <c r="AZ19" s="71">
        <f t="shared" si="40"/>
        <v>16</v>
      </c>
      <c r="BA19" s="72">
        <f t="shared" ca="1" si="42"/>
        <v>1.004867550565343</v>
      </c>
      <c r="BB19" s="72">
        <f t="shared" ca="1" si="42"/>
        <v>1.004867550565343</v>
      </c>
      <c r="BC19" s="72">
        <f t="shared" ca="1" si="42"/>
        <v>1.004867550565343</v>
      </c>
      <c r="BD19" s="72">
        <f t="shared" ca="1" si="42"/>
        <v>1.004867550565343</v>
      </c>
      <c r="BE19" s="72">
        <f t="shared" ca="1" si="42"/>
        <v>1.004867550565343</v>
      </c>
      <c r="BF19" s="72">
        <f t="shared" ca="1" si="42"/>
        <v>1.004867550565343</v>
      </c>
      <c r="BG19" s="72">
        <f t="shared" ca="1" si="42"/>
        <v>1.004867550565343</v>
      </c>
      <c r="BH19" s="72">
        <f t="shared" ca="1" si="42"/>
        <v>1.004867550565343</v>
      </c>
      <c r="BI19" s="72">
        <f t="shared" ca="1" si="42"/>
        <v>1.004867550565343</v>
      </c>
      <c r="BJ19" s="72">
        <f t="shared" ca="1" si="42"/>
        <v>1.004867550565343</v>
      </c>
      <c r="BK19" s="72">
        <f t="shared" ca="1" si="42"/>
        <v>1.004867550565343</v>
      </c>
      <c r="BL19" s="72">
        <f t="shared" ca="1" si="42"/>
        <v>1.004867550565343</v>
      </c>
      <c r="BM19" s="72">
        <f t="shared" ca="1" si="13"/>
        <v>6.0000000000000275E-2</v>
      </c>
      <c r="BN19" s="73">
        <f t="shared" ca="1" si="30"/>
        <v>2.5403516846856817</v>
      </c>
    </row>
    <row r="20" spans="2:66">
      <c r="B20" s="40" t="s">
        <v>29</v>
      </c>
      <c r="C20" s="41">
        <v>0.14000000000000001</v>
      </c>
      <c r="E20">
        <f t="shared" si="31"/>
        <v>17</v>
      </c>
      <c r="F20" s="9">
        <f t="shared" si="32"/>
        <v>70.333333333333258</v>
      </c>
      <c r="G20" s="132">
        <f t="shared" si="0"/>
        <v>0</v>
      </c>
      <c r="H20" s="133">
        <f t="shared" si="41"/>
        <v>1</v>
      </c>
      <c r="I20" s="31">
        <f t="shared" si="14"/>
        <v>2552698.5258708377</v>
      </c>
      <c r="J20" s="31">
        <f t="shared" si="1"/>
        <v>12425.389152752963</v>
      </c>
      <c r="K20" s="163">
        <f t="shared" si="2"/>
        <v>-20</v>
      </c>
      <c r="L20" s="163">
        <f t="shared" si="15"/>
        <v>-2127.2487715590314</v>
      </c>
      <c r="M20" s="163">
        <f t="shared" si="43"/>
        <v>0</v>
      </c>
      <c r="N20" s="163">
        <f t="shared" si="17"/>
        <v>-2425.0635995772964</v>
      </c>
      <c r="O20" s="84">
        <f t="shared" si="3"/>
        <v>-17488.599999999999</v>
      </c>
      <c r="P20" s="31">
        <f t="shared" si="4"/>
        <v>2543063.0026524547</v>
      </c>
      <c r="Q20" s="5"/>
      <c r="R20">
        <f t="shared" ca="1" si="18"/>
        <v>137</v>
      </c>
      <c r="S20" s="133">
        <f t="shared" ca="1" si="19"/>
        <v>80.28</v>
      </c>
      <c r="T20" s="132">
        <f t="shared" ca="1" si="5"/>
        <v>7.8211519790817308E-3</v>
      </c>
      <c r="U20" s="133">
        <f t="shared" ca="1" si="33"/>
        <v>0.88548534285231062</v>
      </c>
      <c r="V20" s="31">
        <f t="shared" ca="1" si="20"/>
        <v>1026629.1387011579</v>
      </c>
      <c r="W20" s="31">
        <f t="shared" ca="1" si="6"/>
        <v>4997.1692444824675</v>
      </c>
      <c r="X20" s="163">
        <f t="shared" ca="1" si="34"/>
        <v>-17.709706857046214</v>
      </c>
      <c r="Y20" s="163">
        <f t="shared" ca="1" si="35"/>
        <v>-855.52428225096492</v>
      </c>
      <c r="Z20" s="163">
        <f t="shared" ca="1" si="22"/>
        <v>0</v>
      </c>
      <c r="AA20" s="163">
        <f t="shared" ca="1" si="36"/>
        <v>-975.29768176610014</v>
      </c>
      <c r="AB20" s="84">
        <f t="shared" ca="1" si="7"/>
        <v>-5520.7549562249706</v>
      </c>
      <c r="AC20" s="160">
        <f t="shared" si="8"/>
        <v>0</v>
      </c>
      <c r="AD20" s="31">
        <f t="shared" ca="1" si="9"/>
        <v>1024257.0213185411</v>
      </c>
      <c r="AE20" s="5"/>
      <c r="AF20" s="151">
        <f t="shared" ca="1" si="10"/>
        <v>-6234.7220095610019</v>
      </c>
      <c r="AG20" s="151">
        <f t="shared" ca="1" si="11"/>
        <v>1156718.2106247197</v>
      </c>
      <c r="AH20" s="43" t="s">
        <v>56</v>
      </c>
      <c r="AI20" s="43">
        <f>PresentValueOfBenefitsToAnnuitant+PresentValueOfBenefitsToAnnuitantExclFuneral</f>
        <v>2792078.5536917252</v>
      </c>
      <c r="AJ20" s="5"/>
      <c r="AK20" s="44">
        <v>34</v>
      </c>
      <c r="AL20" s="2">
        <v>2.1700000000000001E-3</v>
      </c>
      <c r="AM20" s="2">
        <v>1.7899999999999999E-3</v>
      </c>
      <c r="AN20" s="2">
        <f t="shared" si="23"/>
        <v>95</v>
      </c>
      <c r="AO20" s="2">
        <f t="shared" si="24"/>
        <v>0.30784</v>
      </c>
      <c r="AP20" s="45">
        <f t="shared" si="37"/>
        <v>3.7573802491136593E-2</v>
      </c>
      <c r="AQ20" s="46">
        <f t="shared" ca="1" si="25"/>
        <v>1.4790787715593641E-2</v>
      </c>
      <c r="AS20" s="55">
        <f t="shared" si="26"/>
        <v>2</v>
      </c>
      <c r="AT20" s="56">
        <f t="shared" si="38"/>
        <v>17</v>
      </c>
      <c r="AU20" s="57">
        <f t="shared" si="39"/>
        <v>0.92039679184313583</v>
      </c>
      <c r="AV20" s="58">
        <f t="shared" si="27"/>
        <v>4.8675505653430484E-3</v>
      </c>
      <c r="AW20" s="59">
        <f t="shared" si="28"/>
        <v>1.004867550565343</v>
      </c>
      <c r="AX20" s="60">
        <f>PRODUCT(AW$4:AW20)</f>
        <v>1.0860503897559746</v>
      </c>
      <c r="AZ20" s="71">
        <f t="shared" si="40"/>
        <v>17</v>
      </c>
      <c r="BA20" s="72">
        <f t="shared" ca="1" si="42"/>
        <v>1.004867550565343</v>
      </c>
      <c r="BB20" s="72">
        <f t="shared" ca="1" si="42"/>
        <v>1.004867550565343</v>
      </c>
      <c r="BC20" s="72">
        <f t="shared" ca="1" si="42"/>
        <v>1.004867550565343</v>
      </c>
      <c r="BD20" s="72">
        <f t="shared" ca="1" si="42"/>
        <v>1.004867550565343</v>
      </c>
      <c r="BE20" s="72">
        <f t="shared" ca="1" si="42"/>
        <v>1.004867550565343</v>
      </c>
      <c r="BF20" s="72">
        <f t="shared" ca="1" si="42"/>
        <v>1.004867550565343</v>
      </c>
      <c r="BG20" s="72">
        <f t="shared" ca="1" si="42"/>
        <v>1.004867550565343</v>
      </c>
      <c r="BH20" s="72">
        <f t="shared" ca="1" si="42"/>
        <v>1.004867550565343</v>
      </c>
      <c r="BI20" s="72">
        <f t="shared" ca="1" si="42"/>
        <v>1.004867550565343</v>
      </c>
      <c r="BJ20" s="72">
        <f t="shared" ca="1" si="42"/>
        <v>1.004867550565343</v>
      </c>
      <c r="BK20" s="72">
        <f t="shared" ca="1" si="42"/>
        <v>1.004867550565343</v>
      </c>
      <c r="BL20" s="72">
        <f t="shared" ca="1" si="42"/>
        <v>1.004867550565343</v>
      </c>
      <c r="BM20" s="72">
        <f t="shared" ca="1" si="13"/>
        <v>6.0000000000000275E-2</v>
      </c>
      <c r="BN20" s="73">
        <f t="shared" ca="1" si="30"/>
        <v>2.6927727857668233</v>
      </c>
    </row>
    <row r="21" spans="2:66">
      <c r="E21">
        <f t="shared" si="31"/>
        <v>18</v>
      </c>
      <c r="F21" s="9">
        <f t="shared" si="32"/>
        <v>70.416666666666586</v>
      </c>
      <c r="G21" s="132">
        <f t="shared" si="0"/>
        <v>0</v>
      </c>
      <c r="H21" s="133">
        <f t="shared" si="41"/>
        <v>1</v>
      </c>
      <c r="I21" s="31">
        <f t="shared" si="14"/>
        <v>2543063.0026524547</v>
      </c>
      <c r="J21" s="31">
        <f t="shared" si="1"/>
        <v>12378.487756263947</v>
      </c>
      <c r="K21" s="163">
        <f t="shared" si="2"/>
        <v>-20</v>
      </c>
      <c r="L21" s="163">
        <f t="shared" si="15"/>
        <v>-2119.2191688770458</v>
      </c>
      <c r="M21" s="163">
        <f t="shared" si="43"/>
        <v>0</v>
      </c>
      <c r="N21" s="163">
        <f t="shared" si="17"/>
        <v>-2415.9098525198324</v>
      </c>
      <c r="O21" s="84">
        <f t="shared" si="3"/>
        <v>-17488.599999999999</v>
      </c>
      <c r="P21" s="31">
        <f t="shared" si="4"/>
        <v>2533397.7613873216</v>
      </c>
      <c r="Q21" s="5"/>
      <c r="R21">
        <f t="shared" ca="1" si="18"/>
        <v>138</v>
      </c>
      <c r="S21" s="133">
        <f t="shared" ca="1" si="19"/>
        <v>80.36</v>
      </c>
      <c r="T21" s="132">
        <f t="shared" ca="1" si="5"/>
        <v>7.8211519790817308E-3</v>
      </c>
      <c r="U21" s="133">
        <f t="shared" ca="1" si="33"/>
        <v>0.87855982741061345</v>
      </c>
      <c r="V21" s="31">
        <f t="shared" ca="1" si="20"/>
        <v>1016246.1514891672</v>
      </c>
      <c r="W21" s="31">
        <f t="shared" ca="1" si="6"/>
        <v>4946.6295292087934</v>
      </c>
      <c r="X21" s="163">
        <f t="shared" ca="1" si="34"/>
        <v>-17.571196548212271</v>
      </c>
      <c r="Y21" s="163">
        <f t="shared" ca="1" si="35"/>
        <v>-846.87179290763947</v>
      </c>
      <c r="Z21" s="163">
        <f t="shared" ca="1" si="22"/>
        <v>0</v>
      </c>
      <c r="AA21" s="163">
        <f t="shared" ca="1" si="36"/>
        <v>-965.43384391470909</v>
      </c>
      <c r="AB21" s="84">
        <f t="shared" ca="1" si="7"/>
        <v>-5477.5762926730667</v>
      </c>
      <c r="AC21" s="160">
        <f t="shared" si="8"/>
        <v>0</v>
      </c>
      <c r="AD21" s="31">
        <f t="shared" ca="1" si="9"/>
        <v>1013885.3278923326</v>
      </c>
      <c r="AE21" s="5"/>
      <c r="AF21" s="151">
        <f t="shared" ca="1" si="10"/>
        <v>-6234.7220095610019</v>
      </c>
      <c r="AG21" s="151">
        <f t="shared" ca="1" si="11"/>
        <v>1154031.0588529469</v>
      </c>
      <c r="AH21" s="5"/>
      <c r="AI21" s="5"/>
      <c r="AJ21" s="5"/>
      <c r="AK21" s="44">
        <v>35</v>
      </c>
      <c r="AL21" s="2">
        <v>2.2499999999999998E-3</v>
      </c>
      <c r="AM21" s="2">
        <v>1.8699999999999999E-3</v>
      </c>
      <c r="AN21" s="2">
        <f t="shared" si="23"/>
        <v>96</v>
      </c>
      <c r="AO21" s="2">
        <f t="shared" si="24"/>
        <v>0.33161000000000002</v>
      </c>
      <c r="AP21" s="45">
        <f t="shared" si="37"/>
        <v>2.5113953847050789E-2</v>
      </c>
      <c r="AQ21" s="46">
        <f t="shared" ca="1" si="25"/>
        <v>9.3264288690807842E-3</v>
      </c>
      <c r="AS21" s="55">
        <f t="shared" si="26"/>
        <v>2</v>
      </c>
      <c r="AT21" s="56">
        <f t="shared" si="38"/>
        <v>18</v>
      </c>
      <c r="AU21" s="57">
        <f t="shared" si="39"/>
        <v>0.91591671391865981</v>
      </c>
      <c r="AV21" s="58">
        <f t="shared" si="27"/>
        <v>4.8675505653430484E-3</v>
      </c>
      <c r="AW21" s="59">
        <f t="shared" si="28"/>
        <v>1.004867550565343</v>
      </c>
      <c r="AX21" s="60">
        <f>PRODUCT(AW$4:AW21)</f>
        <v>1.0913367949446222</v>
      </c>
      <c r="AZ21" s="71">
        <f t="shared" si="40"/>
        <v>18</v>
      </c>
      <c r="BA21" s="72">
        <f t="shared" ca="1" si="42"/>
        <v>1.004867550565343</v>
      </c>
      <c r="BB21" s="72">
        <f t="shared" ca="1" si="42"/>
        <v>1.004867550565343</v>
      </c>
      <c r="BC21" s="72">
        <f t="shared" ca="1" si="42"/>
        <v>1.004867550565343</v>
      </c>
      <c r="BD21" s="72">
        <f t="shared" ca="1" si="42"/>
        <v>1.004867550565343</v>
      </c>
      <c r="BE21" s="72">
        <f t="shared" ca="1" si="42"/>
        <v>1.004867550565343</v>
      </c>
      <c r="BF21" s="72">
        <f t="shared" ca="1" si="42"/>
        <v>1.004867550565343</v>
      </c>
      <c r="BG21" s="72">
        <f t="shared" ca="1" si="42"/>
        <v>1.004867550565343</v>
      </c>
      <c r="BH21" s="72">
        <f t="shared" ca="1" si="42"/>
        <v>1.004867550565343</v>
      </c>
      <c r="BI21" s="72">
        <f t="shared" ca="1" si="42"/>
        <v>1.004867550565343</v>
      </c>
      <c r="BJ21" s="72">
        <f t="shared" ca="1" si="42"/>
        <v>1.004867550565343</v>
      </c>
      <c r="BK21" s="72">
        <f t="shared" ca="1" si="42"/>
        <v>1.004867550565343</v>
      </c>
      <c r="BL21" s="72">
        <f t="shared" ca="1" si="42"/>
        <v>1.004867550565343</v>
      </c>
      <c r="BM21" s="72">
        <f t="shared" ca="1" si="13"/>
        <v>6.0000000000000275E-2</v>
      </c>
      <c r="BN21" s="73">
        <f t="shared" ca="1" si="30"/>
        <v>2.8543391529128335</v>
      </c>
    </row>
    <row r="22" spans="2:66">
      <c r="B22" s="199" t="s">
        <v>124</v>
      </c>
      <c r="C22" s="200"/>
      <c r="E22">
        <f t="shared" si="31"/>
        <v>19</v>
      </c>
      <c r="F22" s="9">
        <f t="shared" si="32"/>
        <v>70.499999999999915</v>
      </c>
      <c r="G22" s="132">
        <f t="shared" si="0"/>
        <v>0</v>
      </c>
      <c r="H22" s="133">
        <f t="shared" si="41"/>
        <v>1</v>
      </c>
      <c r="I22" s="31">
        <f t="shared" si="14"/>
        <v>2533397.7613873216</v>
      </c>
      <c r="J22" s="31">
        <f t="shared" si="1"/>
        <v>12331.44170567967</v>
      </c>
      <c r="K22" s="163">
        <f t="shared" si="2"/>
        <v>-20</v>
      </c>
      <c r="L22" s="163">
        <f t="shared" si="15"/>
        <v>-2111.1648011561015</v>
      </c>
      <c r="M22" s="163">
        <f t="shared" si="43"/>
        <v>0</v>
      </c>
      <c r="N22" s="163">
        <f t="shared" si="17"/>
        <v>-2406.727873317956</v>
      </c>
      <c r="O22" s="84">
        <f t="shared" si="3"/>
        <v>-17488.599999999999</v>
      </c>
      <c r="P22" s="31">
        <f t="shared" si="4"/>
        <v>2523702.710418527</v>
      </c>
      <c r="Q22" s="5"/>
      <c r="R22">
        <f t="shared" ca="1" si="18"/>
        <v>139</v>
      </c>
      <c r="S22" s="133">
        <f t="shared" ca="1" si="19"/>
        <v>80.44</v>
      </c>
      <c r="T22" s="132">
        <f t="shared" ca="1" si="5"/>
        <v>7.8211519790817308E-3</v>
      </c>
      <c r="U22" s="133">
        <f t="shared" ca="1" si="33"/>
        <v>0.87168847747771927</v>
      </c>
      <c r="V22" s="31">
        <f t="shared" ca="1" si="20"/>
        <v>1005955.5766535255</v>
      </c>
      <c r="W22" s="31">
        <f t="shared" ca="1" si="6"/>
        <v>4896.5396358498601</v>
      </c>
      <c r="X22" s="163">
        <f t="shared" ca="1" si="34"/>
        <v>-17.433769549554384</v>
      </c>
      <c r="Y22" s="163">
        <f t="shared" ca="1" si="35"/>
        <v>-838.29631387793791</v>
      </c>
      <c r="Z22" s="163">
        <f t="shared" ca="1" si="22"/>
        <v>0</v>
      </c>
      <c r="AA22" s="163">
        <f t="shared" ca="1" si="36"/>
        <v>-955.6577978208494</v>
      </c>
      <c r="AB22" s="84">
        <f t="shared" ca="1" si="7"/>
        <v>-5434.7353360110556</v>
      </c>
      <c r="AC22" s="160">
        <f t="shared" si="8"/>
        <v>0</v>
      </c>
      <c r="AD22" s="31">
        <f t="shared" ca="1" si="9"/>
        <v>1003605.9930721159</v>
      </c>
      <c r="AE22" s="5"/>
      <c r="AF22" s="151">
        <f t="shared" ca="1" si="10"/>
        <v>-6234.722009561001</v>
      </c>
      <c r="AG22" s="151">
        <f t="shared" ca="1" si="11"/>
        <v>1151335.6193213745</v>
      </c>
      <c r="AI22" s="137">
        <f>SUM(AP4:AP90)</f>
        <v>6.8793545714581077</v>
      </c>
      <c r="AK22" s="44">
        <v>36</v>
      </c>
      <c r="AL22" s="2">
        <v>2.33E-3</v>
      </c>
      <c r="AM22" s="2">
        <v>1.97E-3</v>
      </c>
      <c r="AN22" s="2">
        <f t="shared" si="23"/>
        <v>97</v>
      </c>
      <c r="AO22" s="2">
        <f t="shared" si="24"/>
        <v>0.35671000000000003</v>
      </c>
      <c r="AP22" s="45">
        <f t="shared" si="37"/>
        <v>1.61555553702693E-2</v>
      </c>
      <c r="AQ22" s="46">
        <f t="shared" ca="1" si="25"/>
        <v>5.659998516217902E-3</v>
      </c>
      <c r="AS22" s="55">
        <f t="shared" si="26"/>
        <v>2</v>
      </c>
      <c r="AT22" s="56">
        <f t="shared" si="38"/>
        <v>19</v>
      </c>
      <c r="AU22" s="57">
        <f t="shared" si="39"/>
        <v>0.91145844300001788</v>
      </c>
      <c r="AV22" s="58">
        <f t="shared" si="27"/>
        <v>4.8675505653430484E-3</v>
      </c>
      <c r="AW22" s="59">
        <f t="shared" si="28"/>
        <v>1.004867550565343</v>
      </c>
      <c r="AX22" s="60">
        <f>PRODUCT(AW$4:AW22)</f>
        <v>1.0966489319778345</v>
      </c>
      <c r="AZ22" s="71">
        <f t="shared" si="40"/>
        <v>19</v>
      </c>
      <c r="BA22" s="72">
        <f t="shared" ca="1" si="42"/>
        <v>1.004867550565343</v>
      </c>
      <c r="BB22" s="72">
        <f t="shared" ca="1" si="42"/>
        <v>1.004867550565343</v>
      </c>
      <c r="BC22" s="72">
        <f t="shared" ca="1" si="42"/>
        <v>1.004867550565343</v>
      </c>
      <c r="BD22" s="72">
        <f t="shared" ca="1" si="42"/>
        <v>1.004867550565343</v>
      </c>
      <c r="BE22" s="72">
        <f t="shared" ca="1" si="42"/>
        <v>1.004867550565343</v>
      </c>
      <c r="BF22" s="72">
        <f t="shared" ca="1" si="42"/>
        <v>1.004867550565343</v>
      </c>
      <c r="BG22" s="72">
        <f t="shared" ca="1" si="42"/>
        <v>1.004867550565343</v>
      </c>
      <c r="BH22" s="72">
        <f t="shared" ca="1" si="42"/>
        <v>1.004867550565343</v>
      </c>
      <c r="BI22" s="72">
        <f t="shared" ca="1" si="42"/>
        <v>1.004867550565343</v>
      </c>
      <c r="BJ22" s="72">
        <f t="shared" ca="1" si="42"/>
        <v>1.004867550565343</v>
      </c>
      <c r="BK22" s="72">
        <f t="shared" ca="1" si="42"/>
        <v>1.004867550565343</v>
      </c>
      <c r="BL22" s="72">
        <f t="shared" ca="1" si="42"/>
        <v>1.004867550565343</v>
      </c>
      <c r="BM22" s="72">
        <f t="shared" ca="1" si="13"/>
        <v>6.0000000000000275E-2</v>
      </c>
      <c r="BN22" s="73">
        <f t="shared" ca="1" si="30"/>
        <v>3.0255995020876041</v>
      </c>
    </row>
    <row r="23" spans="2:66">
      <c r="B23" s="201"/>
      <c r="C23" s="202"/>
      <c r="E23">
        <f t="shared" si="31"/>
        <v>20</v>
      </c>
      <c r="F23" s="9">
        <f t="shared" si="32"/>
        <v>70.583333333333243</v>
      </c>
      <c r="G23" s="132">
        <f t="shared" si="0"/>
        <v>0</v>
      </c>
      <c r="H23" s="133">
        <f t="shared" si="41"/>
        <v>1</v>
      </c>
      <c r="I23" s="31">
        <f t="shared" si="14"/>
        <v>2523702.710418527</v>
      </c>
      <c r="J23" s="31">
        <f t="shared" si="1"/>
        <v>12284.250554855485</v>
      </c>
      <c r="K23" s="163">
        <f t="shared" si="2"/>
        <v>-20</v>
      </c>
      <c r="L23" s="163">
        <f t="shared" si="15"/>
        <v>-2103.0855920154395</v>
      </c>
      <c r="M23" s="163">
        <f t="shared" si="43"/>
        <v>0</v>
      </c>
      <c r="N23" s="163">
        <f t="shared" si="17"/>
        <v>-2397.5175748976012</v>
      </c>
      <c r="O23" s="84">
        <f t="shared" si="3"/>
        <v>-17488.599999999999</v>
      </c>
      <c r="P23" s="31">
        <f t="shared" si="4"/>
        <v>2513977.7578064692</v>
      </c>
      <c r="Q23" s="5"/>
      <c r="R23">
        <f t="shared" ca="1" si="18"/>
        <v>140</v>
      </c>
      <c r="S23" s="133">
        <f t="shared" ca="1" si="19"/>
        <v>80.52</v>
      </c>
      <c r="T23" s="132">
        <f t="shared" ca="1" si="5"/>
        <v>8.5509038556842443E-3</v>
      </c>
      <c r="U23" s="133">
        <f t="shared" ca="1" si="33"/>
        <v>0.86423475311469955</v>
      </c>
      <c r="V23" s="31">
        <f t="shared" ca="1" si="20"/>
        <v>995024.25471636781</v>
      </c>
      <c r="W23" s="31">
        <f t="shared" ca="1" si="6"/>
        <v>4843.3308735747014</v>
      </c>
      <c r="X23" s="163">
        <f t="shared" ca="1" si="34"/>
        <v>-17.284695062293991</v>
      </c>
      <c r="Y23" s="163">
        <f t="shared" ca="1" si="35"/>
        <v>-829.18687893030653</v>
      </c>
      <c r="Z23" s="163">
        <f t="shared" ca="1" si="22"/>
        <v>0</v>
      </c>
      <c r="AA23" s="163">
        <f t="shared" ca="1" si="36"/>
        <v>-945.27304198054969</v>
      </c>
      <c r="AB23" s="84">
        <f t="shared" ca="1" si="7"/>
        <v>-5388.2634366717357</v>
      </c>
      <c r="AC23" s="160">
        <f t="shared" si="8"/>
        <v>0</v>
      </c>
      <c r="AD23" s="31">
        <f t="shared" ca="1" si="9"/>
        <v>992687.57753729762</v>
      </c>
      <c r="AE23" s="5"/>
      <c r="AF23" s="151">
        <f t="shared" ca="1" si="10"/>
        <v>-6234.7220095610019</v>
      </c>
      <c r="AG23" s="151">
        <f t="shared" ca="1" si="11"/>
        <v>1148631.8664687511</v>
      </c>
      <c r="AI23" s="137">
        <f ca="1">SUM(AQ4:AQ90)</f>
        <v>5.3959525072001471</v>
      </c>
      <c r="AJ23" s="5"/>
      <c r="AK23" s="44">
        <v>37</v>
      </c>
      <c r="AL23" s="2">
        <v>2.4399999999999999E-3</v>
      </c>
      <c r="AM23" s="2">
        <v>2.0799999999999998E-3</v>
      </c>
      <c r="AN23" s="2">
        <f t="shared" si="23"/>
        <v>98</v>
      </c>
      <c r="AO23" s="2">
        <f t="shared" si="24"/>
        <v>0.38311000000000001</v>
      </c>
      <c r="AP23" s="45">
        <f t="shared" si="37"/>
        <v>9.9662005523654274E-3</v>
      </c>
      <c r="AQ23" s="46">
        <f t="shared" ca="1" si="25"/>
        <v>3.2939589478015664E-3</v>
      </c>
      <c r="AS23" s="55">
        <f t="shared" si="26"/>
        <v>2</v>
      </c>
      <c r="AT23" s="56">
        <f t="shared" si="38"/>
        <v>20</v>
      </c>
      <c r="AU23" s="57">
        <f t="shared" si="39"/>
        <v>0.9070218729405064</v>
      </c>
      <c r="AV23" s="58">
        <f t="shared" si="27"/>
        <v>4.8675505653430484E-3</v>
      </c>
      <c r="AW23" s="59">
        <f t="shared" si="28"/>
        <v>1.004867550565343</v>
      </c>
      <c r="AX23" s="60">
        <f>PRODUCT(AW$4:AW23)</f>
        <v>1.1019869261066662</v>
      </c>
      <c r="AZ23" s="71">
        <f t="shared" si="40"/>
        <v>20</v>
      </c>
      <c r="BA23" s="72">
        <f t="shared" ca="1" si="42"/>
        <v>1.004867550565343</v>
      </c>
      <c r="BB23" s="72">
        <f t="shared" ca="1" si="42"/>
        <v>1.004867550565343</v>
      </c>
      <c r="BC23" s="72">
        <f t="shared" ca="1" si="42"/>
        <v>1.004867550565343</v>
      </c>
      <c r="BD23" s="72">
        <f t="shared" ca="1" si="42"/>
        <v>1.004867550565343</v>
      </c>
      <c r="BE23" s="72">
        <f t="shared" ca="1" si="42"/>
        <v>1.004867550565343</v>
      </c>
      <c r="BF23" s="72">
        <f t="shared" ca="1" si="42"/>
        <v>1.004867550565343</v>
      </c>
      <c r="BG23" s="72">
        <f t="shared" ca="1" si="42"/>
        <v>1.004867550565343</v>
      </c>
      <c r="BH23" s="72">
        <f t="shared" ca="1" si="42"/>
        <v>1.004867550565343</v>
      </c>
      <c r="BI23" s="72">
        <f t="shared" ca="1" si="42"/>
        <v>1.004867550565343</v>
      </c>
      <c r="BJ23" s="72">
        <f t="shared" ca="1" si="42"/>
        <v>1.004867550565343</v>
      </c>
      <c r="BK23" s="72">
        <f t="shared" ca="1" si="42"/>
        <v>1.004867550565343</v>
      </c>
      <c r="BL23" s="72">
        <f t="shared" ca="1" si="42"/>
        <v>1.004867550565343</v>
      </c>
      <c r="BM23" s="72">
        <f t="shared" ca="1" si="13"/>
        <v>6.0000000000000275E-2</v>
      </c>
      <c r="BN23" s="73">
        <f t="shared" ca="1" si="30"/>
        <v>3.2071354722128613</v>
      </c>
    </row>
    <row r="24" spans="2:66">
      <c r="B24" s="201"/>
      <c r="C24" s="202"/>
      <c r="E24">
        <f t="shared" si="31"/>
        <v>21</v>
      </c>
      <c r="F24" s="9">
        <f t="shared" si="32"/>
        <v>70.666666666666572</v>
      </c>
      <c r="G24" s="132">
        <f t="shared" si="0"/>
        <v>0</v>
      </c>
      <c r="H24" s="133">
        <f t="shared" si="41"/>
        <v>1</v>
      </c>
      <c r="I24" s="31">
        <f t="shared" si="14"/>
        <v>2513977.7578064692</v>
      </c>
      <c r="J24" s="31">
        <f t="shared" si="1"/>
        <v>12236.913856270729</v>
      </c>
      <c r="K24" s="163">
        <f t="shared" si="2"/>
        <v>-20</v>
      </c>
      <c r="L24" s="163">
        <f t="shared" si="15"/>
        <v>-2094.9814648387246</v>
      </c>
      <c r="M24" s="163">
        <f t="shared" si="43"/>
        <v>0</v>
      </c>
      <c r="N24" s="163">
        <f t="shared" si="17"/>
        <v>-2388.278869916146</v>
      </c>
      <c r="O24" s="84">
        <f t="shared" si="3"/>
        <v>-17488.599999999999</v>
      </c>
      <c r="P24" s="31">
        <f t="shared" si="4"/>
        <v>2504222.811327985</v>
      </c>
      <c r="Q24" s="5"/>
      <c r="R24">
        <f t="shared" ca="1" si="18"/>
        <v>141</v>
      </c>
      <c r="S24" s="133">
        <f t="shared" ca="1" si="19"/>
        <v>80.599999999999994</v>
      </c>
      <c r="T24" s="132">
        <f t="shared" ca="1" si="5"/>
        <v>8.5509038556842443E-3</v>
      </c>
      <c r="U24" s="133">
        <f t="shared" ca="1" si="33"/>
        <v>0.85684476483207472</v>
      </c>
      <c r="V24" s="31">
        <f t="shared" ca="1" si="20"/>
        <v>984199.20150304411</v>
      </c>
      <c r="W24" s="31">
        <f t="shared" ca="1" si="6"/>
        <v>4790.6393796863194</v>
      </c>
      <c r="X24" s="163">
        <f t="shared" ca="1" si="34"/>
        <v>-17.136895296641494</v>
      </c>
      <c r="Y24" s="163">
        <f t="shared" ca="1" si="35"/>
        <v>-820.16600125253683</v>
      </c>
      <c r="Z24" s="163">
        <f t="shared" ca="1" si="22"/>
        <v>0</v>
      </c>
      <c r="AA24" s="163">
        <f t="shared" ca="1" si="36"/>
        <v>-934.98924142789201</v>
      </c>
      <c r="AB24" s="84">
        <f t="shared" ca="1" si="7"/>
        <v>-5342.1889140756566</v>
      </c>
      <c r="AC24" s="160">
        <f t="shared" si="8"/>
        <v>0</v>
      </c>
      <c r="AD24" s="31">
        <f t="shared" ca="1" si="9"/>
        <v>981875.35983067786</v>
      </c>
      <c r="AE24" s="5"/>
      <c r="AF24" s="151">
        <f t="shared" ca="1" si="10"/>
        <v>-6234.7220095610019</v>
      </c>
      <c r="AG24" s="151">
        <f t="shared" ca="1" si="11"/>
        <v>1145919.7746549887</v>
      </c>
      <c r="AJ24" s="5"/>
      <c r="AK24" s="44">
        <v>38</v>
      </c>
      <c r="AL24" s="2">
        <v>2.5600000000000002E-3</v>
      </c>
      <c r="AM24" s="2">
        <v>2.2000000000000001E-3</v>
      </c>
      <c r="AN24" s="2">
        <f t="shared" si="23"/>
        <v>99</v>
      </c>
      <c r="AO24" s="2">
        <f t="shared" si="24"/>
        <v>0.41077999999999998</v>
      </c>
      <c r="AP24" s="45">
        <f t="shared" si="37"/>
        <v>5.872284689464758E-3</v>
      </c>
      <c r="AQ24" s="46">
        <f t="shared" ca="1" si="25"/>
        <v>1.8310061237958855E-3</v>
      </c>
      <c r="AS24" s="55">
        <f t="shared" si="26"/>
        <v>2</v>
      </c>
      <c r="AT24" s="56">
        <f t="shared" si="38"/>
        <v>21</v>
      </c>
      <c r="AU24" s="57">
        <f t="shared" si="39"/>
        <v>0.90260689811009631</v>
      </c>
      <c r="AV24" s="58">
        <f t="shared" si="27"/>
        <v>4.8675505653430484E-3</v>
      </c>
      <c r="AW24" s="59">
        <f t="shared" si="28"/>
        <v>1.004867550565343</v>
      </c>
      <c r="AX24" s="60">
        <f>PRODUCT(AW$4:AW24)</f>
        <v>1.1073509031918374</v>
      </c>
      <c r="AZ24" s="71">
        <f t="shared" si="40"/>
        <v>21</v>
      </c>
      <c r="BA24" s="72">
        <f t="shared" ca="1" si="42"/>
        <v>1.004867550565343</v>
      </c>
      <c r="BB24" s="72">
        <f t="shared" ca="1" si="42"/>
        <v>1.004867550565343</v>
      </c>
      <c r="BC24" s="72">
        <f t="shared" ca="1" si="42"/>
        <v>1.004867550565343</v>
      </c>
      <c r="BD24" s="72">
        <f t="shared" ca="1" si="42"/>
        <v>1.004867550565343</v>
      </c>
      <c r="BE24" s="72">
        <f t="shared" ca="1" si="42"/>
        <v>1.004867550565343</v>
      </c>
      <c r="BF24" s="72">
        <f t="shared" ca="1" si="42"/>
        <v>1.004867550565343</v>
      </c>
      <c r="BG24" s="72">
        <f t="shared" ca="1" si="42"/>
        <v>1.004867550565343</v>
      </c>
      <c r="BH24" s="72">
        <f t="shared" ca="1" si="42"/>
        <v>1.004867550565343</v>
      </c>
      <c r="BI24" s="72">
        <f t="shared" ca="1" si="42"/>
        <v>1.004867550565343</v>
      </c>
      <c r="BJ24" s="72">
        <f t="shared" ca="1" si="42"/>
        <v>1.004867550565343</v>
      </c>
      <c r="BK24" s="72">
        <f t="shared" ca="1" si="42"/>
        <v>1.004867550565343</v>
      </c>
      <c r="BL24" s="72">
        <f t="shared" ca="1" si="42"/>
        <v>1.004867550565343</v>
      </c>
      <c r="BM24" s="72">
        <f t="shared" ca="1" si="13"/>
        <v>6.0000000000000275E-2</v>
      </c>
      <c r="BN24" s="73">
        <f t="shared" ca="1" si="30"/>
        <v>3.3995636005456338</v>
      </c>
    </row>
    <row r="25" spans="2:66">
      <c r="B25" s="201"/>
      <c r="C25" s="202"/>
      <c r="E25">
        <f t="shared" si="31"/>
        <v>22</v>
      </c>
      <c r="F25" s="9">
        <f t="shared" si="32"/>
        <v>70.749999999999901</v>
      </c>
      <c r="G25" s="132">
        <f t="shared" si="0"/>
        <v>0</v>
      </c>
      <c r="H25" s="133">
        <f t="shared" si="41"/>
        <v>1</v>
      </c>
      <c r="I25" s="31">
        <f t="shared" si="14"/>
        <v>2504222.811327985</v>
      </c>
      <c r="J25" s="31">
        <f t="shared" si="1"/>
        <v>12189.431161024491</v>
      </c>
      <c r="K25" s="163">
        <f t="shared" si="2"/>
        <v>-20</v>
      </c>
      <c r="L25" s="163">
        <f t="shared" si="15"/>
        <v>-2086.8523427733212</v>
      </c>
      <c r="M25" s="163">
        <f t="shared" si="43"/>
        <v>0</v>
      </c>
      <c r="N25" s="163">
        <f t="shared" si="17"/>
        <v>-2379.0116707615862</v>
      </c>
      <c r="O25" s="84">
        <f t="shared" si="3"/>
        <v>-17488.599999999999</v>
      </c>
      <c r="P25" s="31">
        <f t="shared" si="4"/>
        <v>2494437.7784754746</v>
      </c>
      <c r="Q25" s="5"/>
      <c r="R25">
        <f t="shared" ca="1" si="18"/>
        <v>142</v>
      </c>
      <c r="S25" s="133">
        <f t="shared" ca="1" si="19"/>
        <v>80.680000000000007</v>
      </c>
      <c r="T25" s="132">
        <f t="shared" ca="1" si="5"/>
        <v>8.5509038556842443E-3</v>
      </c>
      <c r="U25" s="133">
        <f t="shared" ca="1" si="33"/>
        <v>0.84951796762874932</v>
      </c>
      <c r="V25" s="31">
        <f t="shared" ca="1" si="20"/>
        <v>973479.43803050031</v>
      </c>
      <c r="W25" s="31">
        <f t="shared" ca="1" si="6"/>
        <v>4738.4603889351947</v>
      </c>
      <c r="X25" s="163">
        <f t="shared" ca="1" si="34"/>
        <v>-16.990359352574988</v>
      </c>
      <c r="Y25" s="163">
        <f t="shared" ca="1" si="35"/>
        <v>-811.23286502541703</v>
      </c>
      <c r="Z25" s="163">
        <f t="shared" ca="1" si="22"/>
        <v>0</v>
      </c>
      <c r="AA25" s="163">
        <f t="shared" ca="1" si="36"/>
        <v>-924.80546612897558</v>
      </c>
      <c r="AB25" s="84">
        <f t="shared" ca="1" si="7"/>
        <v>-5296.508370292494</v>
      </c>
      <c r="AC25" s="160">
        <f t="shared" si="8"/>
        <v>0</v>
      </c>
      <c r="AD25" s="31">
        <f t="shared" ca="1" si="9"/>
        <v>971168.36135863606</v>
      </c>
      <c r="AE25" s="5"/>
      <c r="AF25" s="151">
        <f t="shared" ca="1" si="10"/>
        <v>-6234.7220095610019</v>
      </c>
      <c r="AG25" s="151">
        <f t="shared" ca="1" si="11"/>
        <v>1143199.3181609192</v>
      </c>
      <c r="AH25" s="5"/>
      <c r="AI25" s="5"/>
      <c r="AJ25" s="5"/>
      <c r="AK25" s="44">
        <v>39</v>
      </c>
      <c r="AL25" s="2">
        <v>2.7200000000000002E-3</v>
      </c>
      <c r="AM25" s="2">
        <v>2.3500000000000001E-3</v>
      </c>
      <c r="AN25" s="2">
        <f t="shared" si="23"/>
        <v>100</v>
      </c>
      <c r="AO25" s="2">
        <f t="shared" si="24"/>
        <v>0.43966</v>
      </c>
      <c r="AP25" s="45">
        <f t="shared" si="37"/>
        <v>3.2904760028946828E-3</v>
      </c>
      <c r="AQ25" s="46">
        <f t="shared" ca="1" si="25"/>
        <v>9.6791129378093047E-4</v>
      </c>
      <c r="AS25" s="55">
        <f t="shared" si="26"/>
        <v>2</v>
      </c>
      <c r="AT25" s="56">
        <f t="shared" si="38"/>
        <v>22</v>
      </c>
      <c r="AU25" s="57">
        <f t="shared" si="39"/>
        <v>0.89821341339291794</v>
      </c>
      <c r="AV25" s="58">
        <f t="shared" si="27"/>
        <v>4.8675505653430484E-3</v>
      </c>
      <c r="AW25" s="59">
        <f t="shared" si="28"/>
        <v>1.004867550565343</v>
      </c>
      <c r="AX25" s="60">
        <f>PRODUCT(AW$4:AW25)</f>
        <v>1.112740989706702</v>
      </c>
      <c r="AZ25" s="71">
        <f t="shared" si="40"/>
        <v>22</v>
      </c>
      <c r="BA25" s="72">
        <f t="shared" ref="BA25:BL34" ca="1" si="44">OFFSET($AW$3,($AZ25*12-12)+BA$3,0)</f>
        <v>1.004867550565343</v>
      </c>
      <c r="BB25" s="72">
        <f t="shared" ca="1" si="44"/>
        <v>1.004867550565343</v>
      </c>
      <c r="BC25" s="72">
        <f t="shared" ca="1" si="44"/>
        <v>1.004867550565343</v>
      </c>
      <c r="BD25" s="72">
        <f t="shared" ca="1" si="44"/>
        <v>1.004867550565343</v>
      </c>
      <c r="BE25" s="72">
        <f t="shared" ca="1" si="44"/>
        <v>1.004867550565343</v>
      </c>
      <c r="BF25" s="72">
        <f t="shared" ca="1" si="44"/>
        <v>1.004867550565343</v>
      </c>
      <c r="BG25" s="72">
        <f t="shared" ca="1" si="44"/>
        <v>1.004867550565343</v>
      </c>
      <c r="BH25" s="72">
        <f t="shared" ca="1" si="44"/>
        <v>1.004867550565343</v>
      </c>
      <c r="BI25" s="72">
        <f t="shared" ca="1" si="44"/>
        <v>1.004867550565343</v>
      </c>
      <c r="BJ25" s="72">
        <f t="shared" ca="1" si="44"/>
        <v>1.004867550565343</v>
      </c>
      <c r="BK25" s="72">
        <f t="shared" ca="1" si="44"/>
        <v>1.004867550565343</v>
      </c>
      <c r="BL25" s="72">
        <f t="shared" ca="1" si="44"/>
        <v>1.004867550565343</v>
      </c>
      <c r="BM25" s="72">
        <f t="shared" ca="1" si="13"/>
        <v>6.0000000000000275E-2</v>
      </c>
      <c r="BN25" s="73">
        <f t="shared" ca="1" si="30"/>
        <v>3.6035374165783729</v>
      </c>
    </row>
    <row r="26" spans="2:66">
      <c r="B26" s="203"/>
      <c r="C26" s="204"/>
      <c r="E26">
        <f t="shared" si="31"/>
        <v>23</v>
      </c>
      <c r="F26" s="9">
        <f t="shared" si="32"/>
        <v>70.833333333333229</v>
      </c>
      <c r="G26" s="132">
        <f t="shared" si="0"/>
        <v>0</v>
      </c>
      <c r="H26" s="133">
        <f t="shared" si="41"/>
        <v>1</v>
      </c>
      <c r="I26" s="31">
        <f t="shared" si="14"/>
        <v>2494437.7784754746</v>
      </c>
      <c r="J26" s="31">
        <f t="shared" si="1"/>
        <v>12141.802018831355</v>
      </c>
      <c r="K26" s="163">
        <f t="shared" si="2"/>
        <v>-20</v>
      </c>
      <c r="L26" s="163">
        <f t="shared" si="15"/>
        <v>-2078.6981487295625</v>
      </c>
      <c r="M26" s="163">
        <f t="shared" si="43"/>
        <v>0</v>
      </c>
      <c r="N26" s="163">
        <f t="shared" si="17"/>
        <v>-2369.7158895517014</v>
      </c>
      <c r="O26" s="84">
        <f t="shared" si="3"/>
        <v>-17488.599999999999</v>
      </c>
      <c r="P26" s="31">
        <f t="shared" si="4"/>
        <v>2484622.5664560245</v>
      </c>
      <c r="Q26" s="5"/>
      <c r="R26">
        <f t="shared" ca="1" si="18"/>
        <v>143</v>
      </c>
      <c r="S26" s="133">
        <f t="shared" ca="1" si="19"/>
        <v>80.760000000000005</v>
      </c>
      <c r="T26" s="132">
        <f t="shared" ca="1" si="5"/>
        <v>8.5509038556842443E-3</v>
      </c>
      <c r="U26" s="133">
        <f t="shared" ca="1" si="33"/>
        <v>0.84225382116387959</v>
      </c>
      <c r="V26" s="31">
        <f t="shared" ca="1" si="20"/>
        <v>962863.99407297594</v>
      </c>
      <c r="W26" s="31">
        <f t="shared" ca="1" si="6"/>
        <v>4686.7891786983801</v>
      </c>
      <c r="X26" s="163">
        <f t="shared" ca="1" si="34"/>
        <v>-16.845076423277593</v>
      </c>
      <c r="Y26" s="163">
        <f t="shared" ca="1" si="35"/>
        <v>-802.38666172748003</v>
      </c>
      <c r="Z26" s="163">
        <f t="shared" ca="1" si="22"/>
        <v>0</v>
      </c>
      <c r="AA26" s="163">
        <f t="shared" ca="1" si="36"/>
        <v>-914.72079436932734</v>
      </c>
      <c r="AB26" s="84">
        <f t="shared" ca="1" si="7"/>
        <v>-5251.218436447296</v>
      </c>
      <c r="AC26" s="160">
        <f t="shared" si="8"/>
        <v>0</v>
      </c>
      <c r="AD26" s="31">
        <f t="shared" ca="1" si="9"/>
        <v>960565.61228270689</v>
      </c>
      <c r="AE26" s="5"/>
      <c r="AF26" s="151">
        <f t="shared" ca="1" si="10"/>
        <v>-6234.7220095610019</v>
      </c>
      <c r="AG26" s="151">
        <f t="shared" ca="1" si="11"/>
        <v>1140470.4711880519</v>
      </c>
      <c r="AH26" s="5"/>
      <c r="AI26" s="5"/>
      <c r="AJ26" s="5"/>
      <c r="AK26" s="44">
        <v>40</v>
      </c>
      <c r="AL26" s="2">
        <v>2.8600000000000001E-3</v>
      </c>
      <c r="AM26" s="2">
        <v>2.5200000000000001E-3</v>
      </c>
      <c r="AN26" s="2">
        <f t="shared" si="23"/>
        <v>101</v>
      </c>
      <c r="AO26" s="2">
        <f t="shared" si="24"/>
        <v>0.46966000000000002</v>
      </c>
      <c r="AP26" s="45">
        <f t="shared" si="37"/>
        <v>1.7450710433751663E-3</v>
      </c>
      <c r="AQ26" s="46">
        <f t="shared" ca="1" si="25"/>
        <v>4.8426610900356471E-4</v>
      </c>
      <c r="AS26" s="55">
        <f t="shared" si="26"/>
        <v>2</v>
      </c>
      <c r="AT26" s="56">
        <f t="shared" si="38"/>
        <v>23</v>
      </c>
      <c r="AU26" s="57">
        <f t="shared" si="39"/>
        <v>0.89384131418475854</v>
      </c>
      <c r="AV26" s="58">
        <f t="shared" si="27"/>
        <v>4.8675505653430484E-3</v>
      </c>
      <c r="AW26" s="59">
        <f t="shared" si="28"/>
        <v>1.004867550565343</v>
      </c>
      <c r="AX26" s="60">
        <f>PRODUCT(AW$4:AW26)</f>
        <v>1.1181573127402293</v>
      </c>
      <c r="AZ26" s="71">
        <f t="shared" si="40"/>
        <v>23</v>
      </c>
      <c r="BA26" s="72">
        <f t="shared" ca="1" si="44"/>
        <v>1.004867550565343</v>
      </c>
      <c r="BB26" s="72">
        <f t="shared" ca="1" si="44"/>
        <v>1.004867550565343</v>
      </c>
      <c r="BC26" s="72">
        <f t="shared" ca="1" si="44"/>
        <v>1.004867550565343</v>
      </c>
      <c r="BD26" s="72">
        <f t="shared" ca="1" si="44"/>
        <v>1.004867550565343</v>
      </c>
      <c r="BE26" s="72">
        <f t="shared" ca="1" si="44"/>
        <v>1.004867550565343</v>
      </c>
      <c r="BF26" s="72">
        <f t="shared" ca="1" si="44"/>
        <v>1.004867550565343</v>
      </c>
      <c r="BG26" s="72">
        <f t="shared" ca="1" si="44"/>
        <v>1.004867550565343</v>
      </c>
      <c r="BH26" s="72">
        <f t="shared" ca="1" si="44"/>
        <v>1.004867550565343</v>
      </c>
      <c r="BI26" s="72">
        <f t="shared" ca="1" si="44"/>
        <v>1.004867550565343</v>
      </c>
      <c r="BJ26" s="72">
        <f t="shared" ca="1" si="44"/>
        <v>1.004867550565343</v>
      </c>
      <c r="BK26" s="72">
        <f t="shared" ca="1" si="44"/>
        <v>1.004867550565343</v>
      </c>
      <c r="BL26" s="72">
        <f t="shared" ca="1" si="44"/>
        <v>1.004867550565343</v>
      </c>
      <c r="BM26" s="72">
        <f t="shared" ca="1" si="13"/>
        <v>6.0000000000000275E-2</v>
      </c>
      <c r="BN26" s="73">
        <f t="shared" ca="1" si="30"/>
        <v>3.8197496615730762</v>
      </c>
    </row>
    <row r="27" spans="2:66">
      <c r="E27">
        <f t="shared" si="31"/>
        <v>24</v>
      </c>
      <c r="F27" s="9">
        <f t="shared" si="32"/>
        <v>70.916666666666558</v>
      </c>
      <c r="G27" s="132">
        <f t="shared" si="0"/>
        <v>0</v>
      </c>
      <c r="H27" s="133">
        <f t="shared" si="41"/>
        <v>1</v>
      </c>
      <c r="I27" s="31">
        <f t="shared" si="14"/>
        <v>2484622.5664560245</v>
      </c>
      <c r="J27" s="31">
        <f t="shared" si="1"/>
        <v>12094.025978017118</v>
      </c>
      <c r="K27" s="163">
        <f t="shared" si="2"/>
        <v>-20</v>
      </c>
      <c r="L27" s="163">
        <f t="shared" si="15"/>
        <v>-2070.5188053800207</v>
      </c>
      <c r="M27" s="163">
        <f t="shared" si="43"/>
        <v>0</v>
      </c>
      <c r="N27" s="163">
        <f t="shared" si="17"/>
        <v>-2360.3914381332238</v>
      </c>
      <c r="O27" s="84">
        <f t="shared" si="3"/>
        <v>-17488.599999999999</v>
      </c>
      <c r="P27" s="31">
        <f t="shared" si="4"/>
        <v>2474777.0821905285</v>
      </c>
      <c r="Q27" s="5"/>
      <c r="R27">
        <f t="shared" ca="1" si="18"/>
        <v>144</v>
      </c>
      <c r="S27" s="133">
        <f t="shared" ca="1" si="19"/>
        <v>80.84</v>
      </c>
      <c r="T27" s="132">
        <f t="shared" ca="1" si="5"/>
        <v>8.5509038556842443E-3</v>
      </c>
      <c r="U27" s="133">
        <f t="shared" ca="1" si="33"/>
        <v>0.83505178971702454</v>
      </c>
      <c r="V27" s="31">
        <f t="shared" ca="1" si="20"/>
        <v>952351.90808500105</v>
      </c>
      <c r="W27" s="31">
        <f t="shared" ca="1" si="6"/>
        <v>4635.6210686046779</v>
      </c>
      <c r="X27" s="163">
        <f t="shared" ca="1" si="34"/>
        <v>-16.701035794340491</v>
      </c>
      <c r="Y27" s="163">
        <f t="shared" ca="1" si="35"/>
        <v>-793.62659007083425</v>
      </c>
      <c r="Z27" s="163">
        <f t="shared" ca="1" si="22"/>
        <v>-7142.6393106375081</v>
      </c>
      <c r="AA27" s="163">
        <f t="shared" ca="1" si="36"/>
        <v>-904.73431268075126</v>
      </c>
      <c r="AB27" s="84">
        <f t="shared" ca="1" si="7"/>
        <v>-5206.3157724720377</v>
      </c>
      <c r="AC27" s="160">
        <f t="shared" si="8"/>
        <v>0</v>
      </c>
      <c r="AD27" s="31">
        <f t="shared" ca="1" si="9"/>
        <v>942923.51213195024</v>
      </c>
      <c r="AE27" s="5"/>
      <c r="AF27" s="151">
        <f t="shared" ca="1" si="10"/>
        <v>-6234.722009561001</v>
      </c>
      <c r="AG27" s="151">
        <f t="shared" ca="1" si="11"/>
        <v>1129179.6793244169</v>
      </c>
      <c r="AH27" s="5"/>
      <c r="AI27" s="5"/>
      <c r="AJ27" s="5"/>
      <c r="AK27" s="44">
        <v>41</v>
      </c>
      <c r="AL27" s="2">
        <v>3.0400000000000002E-3</v>
      </c>
      <c r="AM27" s="2">
        <v>2.7100000000000002E-3</v>
      </c>
      <c r="AN27" s="2">
        <f t="shared" si="23"/>
        <v>102</v>
      </c>
      <c r="AO27" s="2">
        <f t="shared" si="24"/>
        <v>0.50066999999999995</v>
      </c>
      <c r="AP27" s="45">
        <f t="shared" si="37"/>
        <v>8.7136632408852191E-4</v>
      </c>
      <c r="AQ27" s="46">
        <f t="shared" ca="1" si="25"/>
        <v>2.2812131717806598E-4</v>
      </c>
      <c r="AS27" s="55">
        <f t="shared" si="26"/>
        <v>2</v>
      </c>
      <c r="AT27" s="56">
        <f t="shared" si="38"/>
        <v>24</v>
      </c>
      <c r="AU27" s="57">
        <f t="shared" si="39"/>
        <v>0.88949049639057154</v>
      </c>
      <c r="AV27" s="58">
        <f t="shared" si="27"/>
        <v>4.8675505653430484E-3</v>
      </c>
      <c r="AW27" s="59">
        <f t="shared" si="28"/>
        <v>1.004867550565343</v>
      </c>
      <c r="AX27" s="60">
        <f>PRODUCT(AW$4:AW27)</f>
        <v>1.1236000000000006</v>
      </c>
      <c r="AZ27" s="71">
        <f t="shared" si="40"/>
        <v>24</v>
      </c>
      <c r="BA27" s="72">
        <f t="shared" ca="1" si="44"/>
        <v>1.004867550565343</v>
      </c>
      <c r="BB27" s="72">
        <f t="shared" ca="1" si="44"/>
        <v>1.004867550565343</v>
      </c>
      <c r="BC27" s="72">
        <f t="shared" ca="1" si="44"/>
        <v>1.004867550565343</v>
      </c>
      <c r="BD27" s="72">
        <f t="shared" ca="1" si="44"/>
        <v>1.004867550565343</v>
      </c>
      <c r="BE27" s="72">
        <f t="shared" ca="1" si="44"/>
        <v>1.004867550565343</v>
      </c>
      <c r="BF27" s="72">
        <f t="shared" ca="1" si="44"/>
        <v>1.004867550565343</v>
      </c>
      <c r="BG27" s="72">
        <f t="shared" ca="1" si="44"/>
        <v>1.004867550565343</v>
      </c>
      <c r="BH27" s="72">
        <f t="shared" ca="1" si="44"/>
        <v>1.004867550565343</v>
      </c>
      <c r="BI27" s="72">
        <f t="shared" ca="1" si="44"/>
        <v>1.004867550565343</v>
      </c>
      <c r="BJ27" s="72">
        <f t="shared" ca="1" si="44"/>
        <v>1.004867550565343</v>
      </c>
      <c r="BK27" s="72">
        <f t="shared" ca="1" si="44"/>
        <v>1.004867550565343</v>
      </c>
      <c r="BL27" s="72">
        <f t="shared" ca="1" si="44"/>
        <v>1.004867550565343</v>
      </c>
      <c r="BM27" s="72">
        <f t="shared" ca="1" si="13"/>
        <v>6.0000000000000275E-2</v>
      </c>
      <c r="BN27" s="73">
        <f t="shared" ca="1" si="30"/>
        <v>4.0489346412674614</v>
      </c>
    </row>
    <row r="28" spans="2:66">
      <c r="B28" t="s">
        <v>123</v>
      </c>
      <c r="E28">
        <f t="shared" si="31"/>
        <v>25</v>
      </c>
      <c r="F28" s="9">
        <f t="shared" si="32"/>
        <v>70.999999999999886</v>
      </c>
      <c r="G28" s="132">
        <f t="shared" si="0"/>
        <v>0</v>
      </c>
      <c r="H28" s="133">
        <f t="shared" si="41"/>
        <v>1</v>
      </c>
      <c r="I28" s="31">
        <f t="shared" si="14"/>
        <v>2474777.0821905285</v>
      </c>
      <c r="J28" s="31">
        <f t="shared" si="1"/>
        <v>12046.102585514527</v>
      </c>
      <c r="K28" s="163">
        <f t="shared" si="2"/>
        <v>-20</v>
      </c>
      <c r="L28" s="163">
        <f t="shared" si="15"/>
        <v>-2062.314235158774</v>
      </c>
      <c r="M28" s="163">
        <f t="shared" si="43"/>
        <v>-18560.828116428962</v>
      </c>
      <c r="N28" s="163">
        <f t="shared" si="17"/>
        <v>-2351.0382280810027</v>
      </c>
      <c r="O28" s="84">
        <f t="shared" si="3"/>
        <v>-17488.599999999999</v>
      </c>
      <c r="P28" s="31">
        <f t="shared" si="4"/>
        <v>2446340.4041963741</v>
      </c>
      <c r="Q28" s="5"/>
      <c r="R28">
        <f t="shared" ca="1" si="18"/>
        <v>145</v>
      </c>
      <c r="S28" s="133">
        <f t="shared" ca="1" si="19"/>
        <v>80.92</v>
      </c>
      <c r="T28" s="132">
        <f t="shared" ca="1" si="5"/>
        <v>8.5509038556842443E-3</v>
      </c>
      <c r="U28" s="133">
        <f t="shared" ca="1" si="33"/>
        <v>0.82791134214863715</v>
      </c>
      <c r="V28" s="31">
        <f t="shared" ca="1" si="20"/>
        <v>934860.66383644578</v>
      </c>
      <c r="W28" s="31">
        <f t="shared" ca="1" si="6"/>
        <v>4550.4815527740693</v>
      </c>
      <c r="X28" s="163">
        <f t="shared" ca="1" si="34"/>
        <v>-16.558226842972743</v>
      </c>
      <c r="Y28" s="163">
        <f t="shared" ca="1" si="35"/>
        <v>-779.0505531970382</v>
      </c>
      <c r="Z28" s="163">
        <f t="shared" ca="1" si="22"/>
        <v>0</v>
      </c>
      <c r="AA28" s="163">
        <f t="shared" ca="1" si="36"/>
        <v>-888.11763064462366</v>
      </c>
      <c r="AB28" s="84">
        <f t="shared" ca="1" si="7"/>
        <v>-5161.797066859297</v>
      </c>
      <c r="AC28" s="160">
        <f t="shared" si="8"/>
        <v>0</v>
      </c>
      <c r="AD28" s="31">
        <f t="shared" ca="1" si="9"/>
        <v>932565.6219116759</v>
      </c>
      <c r="AE28" s="5"/>
      <c r="AF28" s="151">
        <f t="shared" ca="1" si="10"/>
        <v>-6234.7220095610019</v>
      </c>
      <c r="AG28" s="151">
        <f t="shared" ca="1" si="11"/>
        <v>1126407.5927398636</v>
      </c>
      <c r="AH28" s="5"/>
      <c r="AI28" s="5"/>
      <c r="AJ28" s="5"/>
      <c r="AK28" s="44">
        <v>42</v>
      </c>
      <c r="AL28" s="2">
        <v>3.2499999999999999E-3</v>
      </c>
      <c r="AM28" s="2">
        <v>2.9199999999999999E-3</v>
      </c>
      <c r="AN28" s="2">
        <f t="shared" si="23"/>
        <v>103</v>
      </c>
      <c r="AO28" s="2">
        <f t="shared" si="24"/>
        <v>0.53254999999999997</v>
      </c>
      <c r="AP28" s="45">
        <f t="shared" si="37"/>
        <v>4.0732018819517957E-4</v>
      </c>
      <c r="AQ28" s="46">
        <f t="shared" ca="1" si="25"/>
        <v>1.0059934878762918E-4</v>
      </c>
      <c r="AS28" s="55">
        <f t="shared" si="26"/>
        <v>3</v>
      </c>
      <c r="AT28" s="56">
        <f t="shared" si="38"/>
        <v>25</v>
      </c>
      <c r="AU28" s="57">
        <f t="shared" si="39"/>
        <v>0.88516085642199838</v>
      </c>
      <c r="AV28" s="58">
        <f t="shared" si="27"/>
        <v>4.8675505653430484E-3</v>
      </c>
      <c r="AW28" s="59">
        <f t="shared" si="28"/>
        <v>1.004867550565343</v>
      </c>
      <c r="AX28" s="60">
        <f>PRODUCT(AW$4:AW28)</f>
        <v>1.1290691798152201</v>
      </c>
      <c r="AY28" s="10"/>
      <c r="AZ28" s="71">
        <f t="shared" si="40"/>
        <v>25</v>
      </c>
      <c r="BA28" s="72">
        <f t="shared" ca="1" si="44"/>
        <v>1.004867550565343</v>
      </c>
      <c r="BB28" s="72">
        <f t="shared" ca="1" si="44"/>
        <v>1.004867550565343</v>
      </c>
      <c r="BC28" s="72">
        <f t="shared" ca="1" si="44"/>
        <v>1.004867550565343</v>
      </c>
      <c r="BD28" s="72">
        <f t="shared" ca="1" si="44"/>
        <v>1.004867550565343</v>
      </c>
      <c r="BE28" s="72">
        <f t="shared" ca="1" si="44"/>
        <v>1.004867550565343</v>
      </c>
      <c r="BF28" s="72">
        <f t="shared" ca="1" si="44"/>
        <v>1.004867550565343</v>
      </c>
      <c r="BG28" s="72">
        <f t="shared" ca="1" si="44"/>
        <v>1.004867550565343</v>
      </c>
      <c r="BH28" s="72">
        <f t="shared" ca="1" si="44"/>
        <v>1.004867550565343</v>
      </c>
      <c r="BI28" s="72">
        <f t="shared" ca="1" si="44"/>
        <v>1.004867550565343</v>
      </c>
      <c r="BJ28" s="72">
        <f t="shared" ca="1" si="44"/>
        <v>1.004867550565343</v>
      </c>
      <c r="BK28" s="72">
        <f t="shared" ca="1" si="44"/>
        <v>1.004867550565343</v>
      </c>
      <c r="BL28" s="72">
        <f t="shared" ca="1" si="44"/>
        <v>1.004867550565343</v>
      </c>
      <c r="BM28" s="72">
        <f t="shared" ca="1" si="13"/>
        <v>6.0000000000000275E-2</v>
      </c>
      <c r="BN28" s="73">
        <f t="shared" ca="1" si="30"/>
        <v>4.2918707197435104</v>
      </c>
    </row>
    <row r="29" spans="2:66">
      <c r="B29" s="199" t="s">
        <v>126</v>
      </c>
      <c r="C29" s="200"/>
      <c r="E29">
        <f t="shared" si="31"/>
        <v>26</v>
      </c>
      <c r="F29" s="9">
        <f t="shared" si="32"/>
        <v>71.083333333333215</v>
      </c>
      <c r="G29" s="132">
        <f t="shared" si="0"/>
        <v>0</v>
      </c>
      <c r="H29" s="133">
        <f t="shared" si="41"/>
        <v>1</v>
      </c>
      <c r="I29" s="31">
        <f t="shared" si="14"/>
        <v>2446340.4041963741</v>
      </c>
      <c r="J29" s="31">
        <f t="shared" si="1"/>
        <v>11907.685617467603</v>
      </c>
      <c r="K29" s="163">
        <f t="shared" si="2"/>
        <v>-20</v>
      </c>
      <c r="L29" s="163">
        <f t="shared" si="15"/>
        <v>-2038.6170034969787</v>
      </c>
      <c r="M29" s="163">
        <f t="shared" si="43"/>
        <v>0</v>
      </c>
      <c r="N29" s="163">
        <f t="shared" si="17"/>
        <v>-2324.0233839865559</v>
      </c>
      <c r="O29" s="84">
        <f t="shared" si="3"/>
        <v>-17488.599999999999</v>
      </c>
      <c r="P29" s="31">
        <f t="shared" si="4"/>
        <v>2436376.8494263575</v>
      </c>
      <c r="Q29" s="5"/>
      <c r="R29">
        <f t="shared" ca="1" si="18"/>
        <v>146</v>
      </c>
      <c r="S29" s="133">
        <f t="shared" ca="1" si="19"/>
        <v>81</v>
      </c>
      <c r="T29" s="132">
        <f t="shared" ca="1" si="5"/>
        <v>8.5509038556842443E-3</v>
      </c>
      <c r="U29" s="133">
        <f t="shared" ca="1" si="33"/>
        <v>0.82083195186089364</v>
      </c>
      <c r="V29" s="31">
        <f t="shared" ca="1" si="20"/>
        <v>924591.34293959278</v>
      </c>
      <c r="W29" s="31">
        <f t="shared" ca="1" si="6"/>
        <v>4500.495114036903</v>
      </c>
      <c r="X29" s="163">
        <f t="shared" ca="1" si="34"/>
        <v>-16.416639037217873</v>
      </c>
      <c r="Y29" s="163">
        <f t="shared" ca="1" si="35"/>
        <v>-770.49278578299402</v>
      </c>
      <c r="Z29" s="163">
        <f t="shared" ca="1" si="22"/>
        <v>0</v>
      </c>
      <c r="AA29" s="163">
        <f t="shared" ca="1" si="36"/>
        <v>-878.36177579261323</v>
      </c>
      <c r="AB29" s="84">
        <f t="shared" ca="1" si="7"/>
        <v>-5117.6590364180302</v>
      </c>
      <c r="AC29" s="160">
        <f t="shared" si="8"/>
        <v>0</v>
      </c>
      <c r="AD29" s="31">
        <f t="shared" ca="1" si="9"/>
        <v>922308.90781659877</v>
      </c>
      <c r="AE29" s="5"/>
      <c r="AF29" s="151">
        <f t="shared" ca="1" si="10"/>
        <v>-6234.7220095610019</v>
      </c>
      <c r="AG29" s="151">
        <f t="shared" ca="1" si="11"/>
        <v>1123626.9564380974</v>
      </c>
      <c r="AH29" s="5"/>
      <c r="AI29" s="5"/>
      <c r="AJ29" s="5"/>
      <c r="AK29" s="44">
        <v>43</v>
      </c>
      <c r="AL29" s="2">
        <v>3.5000000000000001E-3</v>
      </c>
      <c r="AM29" s="2">
        <v>3.1700000000000001E-3</v>
      </c>
      <c r="AN29" s="2">
        <f t="shared" si="23"/>
        <v>104</v>
      </c>
      <c r="AO29" s="2">
        <f t="shared" si="24"/>
        <v>0.56513000000000002</v>
      </c>
      <c r="AP29" s="45">
        <f t="shared" si="37"/>
        <v>1.7713133024043772E-4</v>
      </c>
      <c r="AQ29" s="46">
        <f t="shared" ca="1" si="25"/>
        <v>4.1271357365354985E-5</v>
      </c>
      <c r="AS29" s="55">
        <f t="shared" si="26"/>
        <v>3</v>
      </c>
      <c r="AT29" s="56">
        <f t="shared" si="38"/>
        <v>26</v>
      </c>
      <c r="AU29" s="57">
        <f t="shared" si="39"/>
        <v>0.88085229119490194</v>
      </c>
      <c r="AV29" s="58">
        <f t="shared" si="27"/>
        <v>4.8675505653430484E-3</v>
      </c>
      <c r="AW29" s="59">
        <f t="shared" si="28"/>
        <v>1.004867550565343</v>
      </c>
      <c r="AX29" s="60">
        <f>PRODUCT(AW$4:AW29)</f>
        <v>1.1345649811397411</v>
      </c>
      <c r="AZ29" s="71">
        <f t="shared" si="40"/>
        <v>26</v>
      </c>
      <c r="BA29" s="72">
        <f t="shared" ca="1" si="44"/>
        <v>1.004867550565343</v>
      </c>
      <c r="BB29" s="72">
        <f t="shared" ca="1" si="44"/>
        <v>1.004867550565343</v>
      </c>
      <c r="BC29" s="72">
        <f t="shared" ca="1" si="44"/>
        <v>1.004867550565343</v>
      </c>
      <c r="BD29" s="72">
        <f t="shared" ca="1" si="44"/>
        <v>1.004867550565343</v>
      </c>
      <c r="BE29" s="72">
        <f t="shared" ca="1" si="44"/>
        <v>1.004867550565343</v>
      </c>
      <c r="BF29" s="72">
        <f t="shared" ca="1" si="44"/>
        <v>1.004867550565343</v>
      </c>
      <c r="BG29" s="72">
        <f t="shared" ca="1" si="44"/>
        <v>1.004867550565343</v>
      </c>
      <c r="BH29" s="72">
        <f t="shared" ca="1" si="44"/>
        <v>1.004867550565343</v>
      </c>
      <c r="BI29" s="72">
        <f t="shared" ca="1" si="44"/>
        <v>1.004867550565343</v>
      </c>
      <c r="BJ29" s="72">
        <f t="shared" ca="1" si="44"/>
        <v>1.004867550565343</v>
      </c>
      <c r="BK29" s="72">
        <f t="shared" ca="1" si="44"/>
        <v>1.004867550565343</v>
      </c>
      <c r="BL29" s="72">
        <f t="shared" ca="1" si="44"/>
        <v>1.004867550565343</v>
      </c>
      <c r="BM29" s="72">
        <f t="shared" ca="1" si="13"/>
        <v>6.0000000000000275E-2</v>
      </c>
      <c r="BN29" s="73">
        <f t="shared" ca="1" si="30"/>
        <v>4.5493829629281226</v>
      </c>
    </row>
    <row r="30" spans="2:66">
      <c r="B30" s="201"/>
      <c r="C30" s="202"/>
      <c r="E30">
        <f t="shared" si="31"/>
        <v>27</v>
      </c>
      <c r="F30" s="9">
        <f t="shared" si="32"/>
        <v>71.166666666666544</v>
      </c>
      <c r="G30" s="132">
        <f t="shared" si="0"/>
        <v>0</v>
      </c>
      <c r="H30" s="133">
        <f t="shared" si="41"/>
        <v>1</v>
      </c>
      <c r="I30" s="31">
        <f t="shared" si="14"/>
        <v>2436376.8494263575</v>
      </c>
      <c r="J30" s="31">
        <f t="shared" si="1"/>
        <v>11859.187510813981</v>
      </c>
      <c r="K30" s="163">
        <f t="shared" si="2"/>
        <v>-20</v>
      </c>
      <c r="L30" s="163">
        <f t="shared" si="15"/>
        <v>-2030.3140411886313</v>
      </c>
      <c r="M30" s="163">
        <f t="shared" si="43"/>
        <v>0</v>
      </c>
      <c r="N30" s="163">
        <f t="shared" si="17"/>
        <v>-2314.5580069550401</v>
      </c>
      <c r="O30" s="84">
        <f t="shared" si="3"/>
        <v>-17488.599999999999</v>
      </c>
      <c r="P30" s="31">
        <f t="shared" si="4"/>
        <v>2426382.5648890282</v>
      </c>
      <c r="Q30" s="5"/>
      <c r="R30">
        <f t="shared" ca="1" si="18"/>
        <v>147</v>
      </c>
      <c r="S30" s="133">
        <f t="shared" ca="1" si="19"/>
        <v>81.08</v>
      </c>
      <c r="T30" s="132">
        <f t="shared" ca="1" si="5"/>
        <v>8.5509038556842443E-3</v>
      </c>
      <c r="U30" s="133">
        <f t="shared" ca="1" si="33"/>
        <v>0.81381309675885749</v>
      </c>
      <c r="V30" s="31">
        <f t="shared" ca="1" si="20"/>
        <v>914422.33302061795</v>
      </c>
      <c r="W30" s="31">
        <f t="shared" ca="1" si="6"/>
        <v>4450.9969440568184</v>
      </c>
      <c r="X30" s="163">
        <f t="shared" ca="1" si="34"/>
        <v>-16.27626193517715</v>
      </c>
      <c r="Y30" s="163">
        <f t="shared" ca="1" si="35"/>
        <v>-762.01861085051496</v>
      </c>
      <c r="Z30" s="163">
        <f t="shared" ca="1" si="22"/>
        <v>0</v>
      </c>
      <c r="AA30" s="163">
        <f t="shared" ca="1" si="36"/>
        <v>-868.7012163695872</v>
      </c>
      <c r="AB30" s="84">
        <f t="shared" ca="1" si="7"/>
        <v>-5073.8984260314455</v>
      </c>
      <c r="AC30" s="160">
        <f t="shared" si="8"/>
        <v>0</v>
      </c>
      <c r="AD30" s="31">
        <f t="shared" ca="1" si="9"/>
        <v>912152.435449488</v>
      </c>
      <c r="AE30" s="5"/>
      <c r="AF30" s="151">
        <f t="shared" ca="1" si="10"/>
        <v>-6234.722009561001</v>
      </c>
      <c r="AG30" s="151">
        <f t="shared" ca="1" si="11"/>
        <v>1120837.7440499335</v>
      </c>
      <c r="AH30" s="5"/>
      <c r="AI30" s="5"/>
      <c r="AJ30" s="5"/>
      <c r="AK30" s="44">
        <v>44</v>
      </c>
      <c r="AL30" s="2">
        <v>3.7699999999999999E-3</v>
      </c>
      <c r="AM30" s="2">
        <v>3.4499999999999999E-3</v>
      </c>
      <c r="AN30" s="2">
        <f t="shared" si="23"/>
        <v>105</v>
      </c>
      <c r="AO30" s="2">
        <f t="shared" si="24"/>
        <v>0</v>
      </c>
      <c r="AP30" s="45">
        <f t="shared" si="37"/>
        <v>1.7713133024043772E-4</v>
      </c>
      <c r="AQ30" s="46">
        <f t="shared" ca="1" si="25"/>
        <v>3.8935242797504689E-5</v>
      </c>
      <c r="AS30" s="55">
        <f t="shared" si="26"/>
        <v>3</v>
      </c>
      <c r="AT30" s="56">
        <f t="shared" si="38"/>
        <v>27</v>
      </c>
      <c r="AU30" s="57">
        <f t="shared" si="39"/>
        <v>0.87656469812691251</v>
      </c>
      <c r="AV30" s="58">
        <f t="shared" si="27"/>
        <v>4.8675505653430484E-3</v>
      </c>
      <c r="AW30" s="59">
        <f t="shared" si="28"/>
        <v>1.004867550565343</v>
      </c>
      <c r="AX30" s="60">
        <f>PRODUCT(AW$4:AW30)</f>
        <v>1.1400875335551064</v>
      </c>
      <c r="AZ30" s="71">
        <f t="shared" si="40"/>
        <v>27</v>
      </c>
      <c r="BA30" s="72">
        <f t="shared" ca="1" si="44"/>
        <v>1.004867550565343</v>
      </c>
      <c r="BB30" s="72">
        <f t="shared" ca="1" si="44"/>
        <v>1.004867550565343</v>
      </c>
      <c r="BC30" s="72">
        <f t="shared" ca="1" si="44"/>
        <v>1.004867550565343</v>
      </c>
      <c r="BD30" s="72">
        <f t="shared" ca="1" si="44"/>
        <v>1.004867550565343</v>
      </c>
      <c r="BE30" s="72">
        <f t="shared" ca="1" si="44"/>
        <v>1.004867550565343</v>
      </c>
      <c r="BF30" s="72">
        <f t="shared" ca="1" si="44"/>
        <v>1.004867550565343</v>
      </c>
      <c r="BG30" s="72">
        <f t="shared" ca="1" si="44"/>
        <v>1.004867550565343</v>
      </c>
      <c r="BH30" s="72">
        <f t="shared" ca="1" si="44"/>
        <v>1.004867550565343</v>
      </c>
      <c r="BI30" s="72">
        <f t="shared" ca="1" si="44"/>
        <v>1.004867550565343</v>
      </c>
      <c r="BJ30" s="72">
        <f t="shared" ca="1" si="44"/>
        <v>1.004867550565343</v>
      </c>
      <c r="BK30" s="72">
        <f t="shared" ca="1" si="44"/>
        <v>1.004867550565343</v>
      </c>
      <c r="BL30" s="72">
        <f t="shared" ca="1" si="44"/>
        <v>1.004867550565343</v>
      </c>
      <c r="BM30" s="72">
        <f t="shared" ca="1" si="13"/>
        <v>6.0000000000000275E-2</v>
      </c>
      <c r="BN30" s="73">
        <f t="shared" ca="1" si="30"/>
        <v>4.8223459407038112</v>
      </c>
    </row>
    <row r="31" spans="2:66">
      <c r="B31" s="201"/>
      <c r="C31" s="202"/>
      <c r="E31">
        <f t="shared" si="31"/>
        <v>28</v>
      </c>
      <c r="F31" s="9">
        <f t="shared" si="32"/>
        <v>71.249999999999872</v>
      </c>
      <c r="G31" s="132">
        <f t="shared" si="0"/>
        <v>0</v>
      </c>
      <c r="H31" s="133">
        <f t="shared" si="41"/>
        <v>1</v>
      </c>
      <c r="I31" s="31">
        <f t="shared" si="14"/>
        <v>2426382.5648890282</v>
      </c>
      <c r="J31" s="31">
        <f t="shared" si="1"/>
        <v>11810.539825464106</v>
      </c>
      <c r="K31" s="163">
        <f t="shared" si="2"/>
        <v>-20</v>
      </c>
      <c r="L31" s="163">
        <f t="shared" si="15"/>
        <v>-2021.985470740857</v>
      </c>
      <c r="M31" s="163">
        <f t="shared" si="43"/>
        <v>0</v>
      </c>
      <c r="N31" s="163">
        <f t="shared" si="17"/>
        <v>-2305.063436644577</v>
      </c>
      <c r="O31" s="84">
        <f t="shared" si="3"/>
        <v>-17488.599999999999</v>
      </c>
      <c r="P31" s="31">
        <f t="shared" si="4"/>
        <v>2416357.4558071066</v>
      </c>
      <c r="Q31" s="5"/>
      <c r="R31">
        <f t="shared" ca="1" si="18"/>
        <v>148</v>
      </c>
      <c r="S31" s="133">
        <f t="shared" ca="1" si="19"/>
        <v>81.16</v>
      </c>
      <c r="T31" s="132">
        <f t="shared" ca="1" si="5"/>
        <v>8.5509038556842443E-3</v>
      </c>
      <c r="U31" s="133">
        <f t="shared" ca="1" si="33"/>
        <v>0.80685425921197584</v>
      </c>
      <c r="V31" s="31">
        <f t="shared" ca="1" si="20"/>
        <v>904352.70767223125</v>
      </c>
      <c r="W31" s="31">
        <f t="shared" ca="1" si="6"/>
        <v>4401.9825334994857</v>
      </c>
      <c r="X31" s="163">
        <f t="shared" ca="1" si="34"/>
        <v>-16.137085184239517</v>
      </c>
      <c r="Y31" s="163">
        <f t="shared" ca="1" si="35"/>
        <v>-753.62725639352607</v>
      </c>
      <c r="Z31" s="163">
        <f t="shared" ca="1" si="22"/>
        <v>0</v>
      </c>
      <c r="AA31" s="163">
        <f t="shared" ca="1" si="36"/>
        <v>-859.13507228861988</v>
      </c>
      <c r="AB31" s="84">
        <f t="shared" ca="1" si="7"/>
        <v>-5030.512008416943</v>
      </c>
      <c r="AC31" s="160">
        <f t="shared" si="8"/>
        <v>0</v>
      </c>
      <c r="AD31" s="31">
        <f t="shared" ca="1" si="9"/>
        <v>902095.27878344746</v>
      </c>
      <c r="AE31" s="5"/>
      <c r="AF31" s="151">
        <f t="shared" ca="1" si="10"/>
        <v>-6234.722009561001</v>
      </c>
      <c r="AG31" s="151">
        <f t="shared" ca="1" si="11"/>
        <v>1118039.9291248582</v>
      </c>
      <c r="AH31" s="5"/>
      <c r="AI31" s="5"/>
      <c r="AJ31" s="5"/>
      <c r="AK31" s="44">
        <v>45</v>
      </c>
      <c r="AL31" s="2">
        <v>4.0800000000000003E-3</v>
      </c>
      <c r="AM31" s="2">
        <v>3.7599999999999999E-3</v>
      </c>
      <c r="AN31" s="2">
        <f t="shared" si="23"/>
        <v>106</v>
      </c>
      <c r="AO31" s="2">
        <f t="shared" si="24"/>
        <v>0</v>
      </c>
      <c r="AP31" s="45">
        <f t="shared" si="37"/>
        <v>1.7713133024043772E-4</v>
      </c>
      <c r="AQ31" s="46">
        <f t="shared" ca="1" si="25"/>
        <v>3.6731361129721394E-5</v>
      </c>
      <c r="AS31" s="55">
        <f t="shared" si="26"/>
        <v>3</v>
      </c>
      <c r="AT31" s="56">
        <f t="shared" si="38"/>
        <v>28</v>
      </c>
      <c r="AU31" s="57">
        <f t="shared" si="39"/>
        <v>0.87229797513498508</v>
      </c>
      <c r="AV31" s="58">
        <f t="shared" si="27"/>
        <v>4.8675505653430484E-3</v>
      </c>
      <c r="AW31" s="59">
        <f t="shared" si="28"/>
        <v>1.004867550565343</v>
      </c>
      <c r="AX31" s="60">
        <f>PRODUCT(AW$4:AW31)</f>
        <v>1.1456369672736031</v>
      </c>
      <c r="AZ31" s="71">
        <f t="shared" si="40"/>
        <v>28</v>
      </c>
      <c r="BA31" s="72">
        <f t="shared" ca="1" si="44"/>
        <v>1.004867550565343</v>
      </c>
      <c r="BB31" s="72">
        <f t="shared" ca="1" si="44"/>
        <v>1.004867550565343</v>
      </c>
      <c r="BC31" s="72">
        <f t="shared" ca="1" si="44"/>
        <v>1.004867550565343</v>
      </c>
      <c r="BD31" s="72">
        <f t="shared" ca="1" si="44"/>
        <v>1.004867550565343</v>
      </c>
      <c r="BE31" s="72">
        <f t="shared" ca="1" si="44"/>
        <v>1.004867550565343</v>
      </c>
      <c r="BF31" s="72">
        <f t="shared" ca="1" si="44"/>
        <v>1.004867550565343</v>
      </c>
      <c r="BG31" s="72">
        <f t="shared" ca="1" si="44"/>
        <v>1.004867550565343</v>
      </c>
      <c r="BH31" s="72">
        <f t="shared" ca="1" si="44"/>
        <v>1.004867550565343</v>
      </c>
      <c r="BI31" s="72">
        <f t="shared" ca="1" si="44"/>
        <v>1.004867550565343</v>
      </c>
      <c r="BJ31" s="72">
        <f t="shared" ca="1" si="44"/>
        <v>1.004867550565343</v>
      </c>
      <c r="BK31" s="72">
        <f t="shared" ca="1" si="44"/>
        <v>1.004867550565343</v>
      </c>
      <c r="BL31" s="72">
        <f t="shared" ca="1" si="44"/>
        <v>1.004867550565343</v>
      </c>
      <c r="BM31" s="72">
        <f t="shared" ca="1" si="13"/>
        <v>6.0000000000000275E-2</v>
      </c>
      <c r="BN31" s="73">
        <f t="shared" ca="1" si="30"/>
        <v>5.1116866971460411</v>
      </c>
    </row>
    <row r="32" spans="2:66">
      <c r="B32" s="203"/>
      <c r="C32" s="204"/>
      <c r="E32">
        <f t="shared" si="31"/>
        <v>29</v>
      </c>
      <c r="F32" s="9">
        <f t="shared" si="32"/>
        <v>71.333333333333201</v>
      </c>
      <c r="G32" s="132">
        <f t="shared" si="0"/>
        <v>0</v>
      </c>
      <c r="H32" s="133">
        <f t="shared" si="41"/>
        <v>1</v>
      </c>
      <c r="I32" s="31">
        <f t="shared" si="14"/>
        <v>2416357.4558071066</v>
      </c>
      <c r="J32" s="31">
        <f t="shared" si="1"/>
        <v>11761.742100084772</v>
      </c>
      <c r="K32" s="163">
        <f t="shared" si="2"/>
        <v>-20</v>
      </c>
      <c r="L32" s="163">
        <f t="shared" si="15"/>
        <v>-2013.631213172589</v>
      </c>
      <c r="M32" s="163">
        <f t="shared" si="43"/>
        <v>0</v>
      </c>
      <c r="N32" s="163">
        <f t="shared" si="17"/>
        <v>-2295.5395830167517</v>
      </c>
      <c r="O32" s="84">
        <f t="shared" si="3"/>
        <v>-17488.599999999999</v>
      </c>
      <c r="P32" s="31">
        <f t="shared" si="4"/>
        <v>2406301.4271110017</v>
      </c>
      <c r="Q32" s="5"/>
      <c r="R32">
        <f t="shared" ca="1" si="18"/>
        <v>149</v>
      </c>
      <c r="S32" s="133">
        <f t="shared" ca="1" si="19"/>
        <v>81.239999999999995</v>
      </c>
      <c r="T32" s="132">
        <f t="shared" ca="1" si="5"/>
        <v>8.5509038556842443E-3</v>
      </c>
      <c r="U32" s="133">
        <f t="shared" ca="1" si="33"/>
        <v>0.7999549260159049</v>
      </c>
      <c r="V32" s="31">
        <f t="shared" ca="1" si="20"/>
        <v>894381.54878590349</v>
      </c>
      <c r="W32" s="31">
        <f t="shared" ca="1" si="6"/>
        <v>4353.4474134252159</v>
      </c>
      <c r="X32" s="163">
        <f t="shared" ca="1" si="34"/>
        <v>-15.999098520318098</v>
      </c>
      <c r="Y32" s="163">
        <f t="shared" ca="1" si="35"/>
        <v>-745.31795732158628</v>
      </c>
      <c r="Z32" s="163">
        <f t="shared" ca="1" si="22"/>
        <v>0</v>
      </c>
      <c r="AA32" s="163">
        <f t="shared" ca="1" si="36"/>
        <v>-849.66247134660853</v>
      </c>
      <c r="AB32" s="84">
        <f t="shared" ca="1" si="7"/>
        <v>-4987.4965838881044</v>
      </c>
      <c r="AC32" s="160">
        <f t="shared" si="8"/>
        <v>0</v>
      </c>
      <c r="AD32" s="31">
        <f t="shared" ca="1" si="9"/>
        <v>892136.52008825226</v>
      </c>
      <c r="AE32" s="5"/>
      <c r="AF32" s="151">
        <f t="shared" ca="1" si="10"/>
        <v>-6234.722009561001</v>
      </c>
      <c r="AG32" s="151">
        <f t="shared" ca="1" si="11"/>
        <v>1115233.4851307792</v>
      </c>
      <c r="AH32" s="5"/>
      <c r="AI32" s="5"/>
      <c r="AJ32" s="5"/>
      <c r="AK32" s="44">
        <v>46</v>
      </c>
      <c r="AL32" s="2">
        <v>4.4299999999999999E-3</v>
      </c>
      <c r="AM32" s="2">
        <v>4.1099999999999999E-3</v>
      </c>
      <c r="AN32" s="2">
        <f t="shared" si="23"/>
        <v>107</v>
      </c>
      <c r="AO32" s="2">
        <f t="shared" si="24"/>
        <v>0</v>
      </c>
      <c r="AP32" s="45">
        <f t="shared" si="37"/>
        <v>1.7713133024043772E-4</v>
      </c>
      <c r="AQ32" s="46">
        <f t="shared" ca="1" si="25"/>
        <v>3.4652227480869231E-5</v>
      </c>
      <c r="AS32" s="55">
        <f t="shared" si="26"/>
        <v>3</v>
      </c>
      <c r="AT32" s="56">
        <f t="shared" si="38"/>
        <v>29</v>
      </c>
      <c r="AU32" s="57">
        <f t="shared" si="39"/>
        <v>0.86805202063296916</v>
      </c>
      <c r="AV32" s="58">
        <f t="shared" si="27"/>
        <v>4.8675505653430484E-3</v>
      </c>
      <c r="AW32" s="59">
        <f t="shared" si="28"/>
        <v>1.004867550565343</v>
      </c>
      <c r="AX32" s="60">
        <f>PRODUCT(AW$4:AW32)</f>
        <v>1.1512134131413336</v>
      </c>
      <c r="AZ32" s="71">
        <f t="shared" si="40"/>
        <v>29</v>
      </c>
      <c r="BA32" s="72">
        <f t="shared" ca="1" si="44"/>
        <v>1.004867550565343</v>
      </c>
      <c r="BB32" s="72">
        <f t="shared" ca="1" si="44"/>
        <v>1.004867550565343</v>
      </c>
      <c r="BC32" s="72">
        <f t="shared" ca="1" si="44"/>
        <v>1.004867550565343</v>
      </c>
      <c r="BD32" s="72">
        <f t="shared" ca="1" si="44"/>
        <v>1.004867550565343</v>
      </c>
      <c r="BE32" s="72">
        <f t="shared" ca="1" si="44"/>
        <v>1.004867550565343</v>
      </c>
      <c r="BF32" s="72">
        <f t="shared" ca="1" si="44"/>
        <v>1.004867550565343</v>
      </c>
      <c r="BG32" s="72">
        <f t="shared" ca="1" si="44"/>
        <v>1.004867550565343</v>
      </c>
      <c r="BH32" s="72">
        <f t="shared" ca="1" si="44"/>
        <v>1.004867550565343</v>
      </c>
      <c r="BI32" s="72">
        <f t="shared" ca="1" si="44"/>
        <v>1.004867550565343</v>
      </c>
      <c r="BJ32" s="72">
        <f t="shared" ca="1" si="44"/>
        <v>1.004867550565343</v>
      </c>
      <c r="BK32" s="72">
        <f t="shared" ca="1" si="44"/>
        <v>1.004867550565343</v>
      </c>
      <c r="BL32" s="72">
        <f t="shared" ca="1" si="44"/>
        <v>1.004867550565343</v>
      </c>
      <c r="BM32" s="72">
        <f t="shared" ca="1" si="13"/>
        <v>6.0000000000000275E-2</v>
      </c>
      <c r="BN32" s="73">
        <f t="shared" ca="1" si="30"/>
        <v>5.4183878989748049</v>
      </c>
    </row>
    <row r="33" spans="2:66">
      <c r="E33">
        <f t="shared" si="31"/>
        <v>30</v>
      </c>
      <c r="F33" s="9">
        <f t="shared" si="32"/>
        <v>71.416666666666529</v>
      </c>
      <c r="G33" s="132">
        <f t="shared" si="0"/>
        <v>0</v>
      </c>
      <c r="H33" s="133">
        <f t="shared" si="41"/>
        <v>1</v>
      </c>
      <c r="I33" s="31">
        <f t="shared" si="14"/>
        <v>2406301.4271110017</v>
      </c>
      <c r="J33" s="31">
        <f t="shared" si="1"/>
        <v>11712.793871919941</v>
      </c>
      <c r="K33" s="163">
        <f t="shared" si="2"/>
        <v>-20</v>
      </c>
      <c r="L33" s="163">
        <f t="shared" si="15"/>
        <v>-2005.2511892591681</v>
      </c>
      <c r="M33" s="163">
        <f t="shared" si="43"/>
        <v>0</v>
      </c>
      <c r="N33" s="163">
        <f t="shared" si="17"/>
        <v>-2285.9863557554522</v>
      </c>
      <c r="O33" s="84">
        <f t="shared" si="3"/>
        <v>-17488.599999999999</v>
      </c>
      <c r="P33" s="31">
        <f t="shared" si="4"/>
        <v>2396214.3834379069</v>
      </c>
      <c r="Q33" s="5"/>
      <c r="R33">
        <f t="shared" ca="1" si="18"/>
        <v>150</v>
      </c>
      <c r="S33" s="133">
        <f t="shared" ca="1" si="19"/>
        <v>81.319999999999993</v>
      </c>
      <c r="T33" s="132">
        <f t="shared" ca="1" si="5"/>
        <v>8.5509038556842443E-3</v>
      </c>
      <c r="U33" s="133">
        <f t="shared" ca="1" si="33"/>
        <v>0.79311458835466186</v>
      </c>
      <c r="V33" s="31">
        <f t="shared" ca="1" si="20"/>
        <v>884507.94647883286</v>
      </c>
      <c r="W33" s="31">
        <f t="shared" ca="1" si="6"/>
        <v>4305.3871549334617</v>
      </c>
      <c r="X33" s="163">
        <f t="shared" ca="1" si="34"/>
        <v>-15.862291767093238</v>
      </c>
      <c r="Y33" s="163">
        <f t="shared" ca="1" si="35"/>
        <v>-737.08995539902742</v>
      </c>
      <c r="Z33" s="163">
        <f t="shared" ca="1" si="22"/>
        <v>0</v>
      </c>
      <c r="AA33" s="163">
        <f t="shared" ca="1" si="36"/>
        <v>-840.2825491548914</v>
      </c>
      <c r="AB33" s="84">
        <f t="shared" ca="1" si="7"/>
        <v>-4944.8489801187234</v>
      </c>
      <c r="AC33" s="160">
        <f t="shared" si="8"/>
        <v>0</v>
      </c>
      <c r="AD33" s="31">
        <f t="shared" ca="1" si="9"/>
        <v>882275.24985732639</v>
      </c>
      <c r="AE33" s="5"/>
      <c r="AF33" s="151">
        <f t="shared" ca="1" si="10"/>
        <v>-6234.722009561001</v>
      </c>
      <c r="AG33" s="151">
        <f t="shared" ca="1" si="11"/>
        <v>1112418.3854537725</v>
      </c>
      <c r="AH33" s="5"/>
      <c r="AI33" s="5"/>
      <c r="AJ33" s="5"/>
      <c r="AK33" s="44">
        <v>47</v>
      </c>
      <c r="AL33" s="2">
        <v>4.8199999999999996E-3</v>
      </c>
      <c r="AM33" s="2">
        <v>4.5100000000000001E-3</v>
      </c>
      <c r="AN33" s="2">
        <f t="shared" si="23"/>
        <v>108</v>
      </c>
      <c r="AO33" s="2">
        <f t="shared" si="24"/>
        <v>0</v>
      </c>
      <c r="AP33" s="45">
        <f t="shared" si="37"/>
        <v>1.7713133024043772E-4</v>
      </c>
      <c r="AQ33" s="46">
        <f t="shared" ca="1" si="25"/>
        <v>3.2690780642329452E-5</v>
      </c>
      <c r="AS33" s="55">
        <f t="shared" si="26"/>
        <v>3</v>
      </c>
      <c r="AT33" s="56">
        <f t="shared" si="38"/>
        <v>30</v>
      </c>
      <c r="AU33" s="57">
        <f t="shared" si="39"/>
        <v>0.86382673352918993</v>
      </c>
      <c r="AV33" s="58">
        <f t="shared" si="27"/>
        <v>4.8675505653430484E-3</v>
      </c>
      <c r="AW33" s="59">
        <f t="shared" si="28"/>
        <v>1.004867550565343</v>
      </c>
      <c r="AX33" s="60">
        <f>PRODUCT(AW$4:AW33)</f>
        <v>1.1568170026413003</v>
      </c>
      <c r="AZ33" s="71">
        <f t="shared" si="40"/>
        <v>30</v>
      </c>
      <c r="BA33" s="72">
        <f t="shared" ca="1" si="44"/>
        <v>1.004867550565343</v>
      </c>
      <c r="BB33" s="72">
        <f t="shared" ca="1" si="44"/>
        <v>1.004867550565343</v>
      </c>
      <c r="BC33" s="72">
        <f t="shared" ca="1" si="44"/>
        <v>1.004867550565343</v>
      </c>
      <c r="BD33" s="72">
        <f t="shared" ca="1" si="44"/>
        <v>1.004867550565343</v>
      </c>
      <c r="BE33" s="72">
        <f t="shared" ca="1" si="44"/>
        <v>1.004867550565343</v>
      </c>
      <c r="BF33" s="72">
        <f t="shared" ca="1" si="44"/>
        <v>1.004867550565343</v>
      </c>
      <c r="BG33" s="72">
        <f t="shared" ca="1" si="44"/>
        <v>1.004867550565343</v>
      </c>
      <c r="BH33" s="72">
        <f t="shared" ca="1" si="44"/>
        <v>1.004867550565343</v>
      </c>
      <c r="BI33" s="72">
        <f t="shared" ca="1" si="44"/>
        <v>1.004867550565343</v>
      </c>
      <c r="BJ33" s="72">
        <f t="shared" ca="1" si="44"/>
        <v>1.004867550565343</v>
      </c>
      <c r="BK33" s="72">
        <f t="shared" ca="1" si="44"/>
        <v>1.004867550565343</v>
      </c>
      <c r="BL33" s="72">
        <f t="shared" ca="1" si="44"/>
        <v>1.004867550565343</v>
      </c>
      <c r="BM33" s="72">
        <f t="shared" ca="1" si="13"/>
        <v>6.0000000000000275E-2</v>
      </c>
      <c r="BN33" s="73">
        <f t="shared" ca="1" si="30"/>
        <v>5.7434911729132949</v>
      </c>
    </row>
    <row r="34" spans="2:66">
      <c r="B34" s="141" t="s">
        <v>110</v>
      </c>
      <c r="C34" s="169">
        <f ca="1">_xlfn.IFNA(OFFSET(F2,MATCH(0,$P$4:$P$784,0),0),C6)</f>
        <v>100.99999999999818</v>
      </c>
      <c r="E34">
        <f t="shared" si="31"/>
        <v>31</v>
      </c>
      <c r="F34" s="9">
        <f t="shared" si="32"/>
        <v>71.499999999999858</v>
      </c>
      <c r="G34" s="132">
        <f t="shared" si="0"/>
        <v>0</v>
      </c>
      <c r="H34" s="133">
        <f t="shared" si="41"/>
        <v>1</v>
      </c>
      <c r="I34" s="31">
        <f t="shared" si="14"/>
        <v>2396214.3834379069</v>
      </c>
      <c r="J34" s="31">
        <f t="shared" si="1"/>
        <v>11663.694676786328</v>
      </c>
      <c r="K34" s="163">
        <f t="shared" si="2"/>
        <v>-20</v>
      </c>
      <c r="L34" s="163">
        <f t="shared" si="15"/>
        <v>-1996.8453195315892</v>
      </c>
      <c r="M34" s="163">
        <f t="shared" si="43"/>
        <v>0</v>
      </c>
      <c r="N34" s="163">
        <f t="shared" si="17"/>
        <v>-2276.4036642660117</v>
      </c>
      <c r="O34" s="84">
        <f t="shared" si="3"/>
        <v>-17488.599999999999</v>
      </c>
      <c r="P34" s="31">
        <f t="shared" si="4"/>
        <v>2386096.2291308953</v>
      </c>
      <c r="Q34" s="5"/>
      <c r="R34">
        <f t="shared" ca="1" si="18"/>
        <v>151</v>
      </c>
      <c r="S34" s="133">
        <f t="shared" ca="1" si="19"/>
        <v>81.400000000000006</v>
      </c>
      <c r="T34" s="132">
        <f t="shared" ca="1" si="5"/>
        <v>8.5509038556842443E-3</v>
      </c>
      <c r="U34" s="133">
        <f t="shared" ca="1" si="33"/>
        <v>0.78633274176310053</v>
      </c>
      <c r="V34" s="31">
        <f t="shared" ca="1" si="20"/>
        <v>874730.99902154657</v>
      </c>
      <c r="W34" s="31">
        <f t="shared" ca="1" si="6"/>
        <v>4257.7973688104184</v>
      </c>
      <c r="X34" s="163">
        <f t="shared" ca="1" si="34"/>
        <v>-15.726654835262011</v>
      </c>
      <c r="Y34" s="163">
        <f t="shared" ca="1" si="35"/>
        <v>-728.94249918462219</v>
      </c>
      <c r="Z34" s="163">
        <f t="shared" ca="1" si="22"/>
        <v>0</v>
      </c>
      <c r="AA34" s="163">
        <f t="shared" ca="1" si="36"/>
        <v>-830.99444907046939</v>
      </c>
      <c r="AB34" s="84">
        <f t="shared" ca="1" si="7"/>
        <v>-4902.5660519088497</v>
      </c>
      <c r="AC34" s="160">
        <f t="shared" si="8"/>
        <v>0</v>
      </c>
      <c r="AD34" s="31">
        <f t="shared" ca="1" si="9"/>
        <v>872510.56673535774</v>
      </c>
      <c r="AE34" s="5"/>
      <c r="AF34" s="151">
        <f t="shared" ca="1" si="10"/>
        <v>-6234.722009561001</v>
      </c>
      <c r="AG34" s="151">
        <f t="shared" ca="1" si="11"/>
        <v>1109594.6033978325</v>
      </c>
      <c r="AH34" s="5"/>
      <c r="AI34" s="5"/>
      <c r="AJ34" s="5"/>
      <c r="AK34" s="44">
        <v>48</v>
      </c>
      <c r="AL34" s="2">
        <v>5.2599999999999999E-3</v>
      </c>
      <c r="AM34" s="2">
        <v>4.9399999999999999E-3</v>
      </c>
      <c r="AN34" s="2">
        <f t="shared" si="23"/>
        <v>109</v>
      </c>
      <c r="AO34" s="2">
        <f t="shared" si="24"/>
        <v>0</v>
      </c>
      <c r="AP34" s="45">
        <f t="shared" si="37"/>
        <v>1.7713133024043772E-4</v>
      </c>
      <c r="AQ34" s="46">
        <f t="shared" ca="1" si="25"/>
        <v>3.0840359096537211E-5</v>
      </c>
      <c r="AS34" s="55">
        <f t="shared" si="26"/>
        <v>3</v>
      </c>
      <c r="AT34" s="56">
        <f t="shared" si="38"/>
        <v>31</v>
      </c>
      <c r="AU34" s="57">
        <f t="shared" si="39"/>
        <v>0.85962201322404153</v>
      </c>
      <c r="AV34" s="58">
        <f t="shared" si="27"/>
        <v>4.8675505653430484E-3</v>
      </c>
      <c r="AW34" s="59">
        <f t="shared" si="28"/>
        <v>1.004867550565343</v>
      </c>
      <c r="AX34" s="60">
        <f>PRODUCT(AW$4:AW34)</f>
        <v>1.1624478678965053</v>
      </c>
      <c r="AZ34" s="71">
        <f t="shared" si="40"/>
        <v>31</v>
      </c>
      <c r="BA34" s="72">
        <f t="shared" ca="1" si="44"/>
        <v>1.004867550565343</v>
      </c>
      <c r="BB34" s="72">
        <f t="shared" ca="1" si="44"/>
        <v>1.004867550565343</v>
      </c>
      <c r="BC34" s="72">
        <f t="shared" ca="1" si="44"/>
        <v>1.004867550565343</v>
      </c>
      <c r="BD34" s="72">
        <f t="shared" ca="1" si="44"/>
        <v>1.004867550565343</v>
      </c>
      <c r="BE34" s="72">
        <f t="shared" ca="1" si="44"/>
        <v>1.004867550565343</v>
      </c>
      <c r="BF34" s="72">
        <f t="shared" ca="1" si="44"/>
        <v>1.004867550565343</v>
      </c>
      <c r="BG34" s="72">
        <f t="shared" ca="1" si="44"/>
        <v>1.004867550565343</v>
      </c>
      <c r="BH34" s="72">
        <f t="shared" ca="1" si="44"/>
        <v>1.004867550565343</v>
      </c>
      <c r="BI34" s="72">
        <f t="shared" ca="1" si="44"/>
        <v>1.004867550565343</v>
      </c>
      <c r="BJ34" s="72">
        <f t="shared" ca="1" si="44"/>
        <v>1.004867550565343</v>
      </c>
      <c r="BK34" s="72">
        <f t="shared" ca="1" si="44"/>
        <v>1.004867550565343</v>
      </c>
      <c r="BL34" s="72">
        <f t="shared" ca="1" si="44"/>
        <v>1.004867550565343</v>
      </c>
      <c r="BM34" s="72">
        <f t="shared" ca="1" si="13"/>
        <v>6.0000000000000275E-2</v>
      </c>
      <c r="BN34" s="73">
        <f t="shared" ca="1" si="30"/>
        <v>6.0881006432880946</v>
      </c>
    </row>
    <row r="35" spans="2:66">
      <c r="B35" s="141" t="s">
        <v>114</v>
      </c>
      <c r="C35" s="134">
        <f>C16+C17+C18*(1+C20)</f>
        <v>2.8900000000000002E-2</v>
      </c>
      <c r="E35">
        <f t="shared" si="31"/>
        <v>32</v>
      </c>
      <c r="F35" s="9">
        <f t="shared" si="32"/>
        <v>71.583333333333186</v>
      </c>
      <c r="G35" s="132">
        <f t="shared" si="0"/>
        <v>0</v>
      </c>
      <c r="H35" s="133">
        <f t="shared" si="41"/>
        <v>1</v>
      </c>
      <c r="I35" s="31">
        <f t="shared" si="14"/>
        <v>2386096.2291308953</v>
      </c>
      <c r="J35" s="31">
        <f t="shared" si="1"/>
        <v>11614.444049069005</v>
      </c>
      <c r="K35" s="163">
        <f t="shared" si="2"/>
        <v>-20</v>
      </c>
      <c r="L35" s="163">
        <f t="shared" si="15"/>
        <v>-1988.4135242757463</v>
      </c>
      <c r="M35" s="163">
        <f t="shared" si="43"/>
        <v>0</v>
      </c>
      <c r="N35" s="163">
        <f t="shared" si="17"/>
        <v>-2266.7914176743511</v>
      </c>
      <c r="O35" s="84">
        <f t="shared" si="3"/>
        <v>-17488.599999999999</v>
      </c>
      <c r="P35" s="31">
        <f t="shared" si="4"/>
        <v>2375946.8682380146</v>
      </c>
      <c r="Q35" s="5"/>
      <c r="R35">
        <f t="shared" ca="1" si="18"/>
        <v>152</v>
      </c>
      <c r="S35" s="133">
        <f t="shared" ca="1" si="19"/>
        <v>81.48</v>
      </c>
      <c r="T35" s="132">
        <f t="shared" ca="1" si="5"/>
        <v>8.5509038556842443E-3</v>
      </c>
      <c r="U35" s="133">
        <f t="shared" ca="1" si="33"/>
        <v>0.77960888608970769</v>
      </c>
      <c r="V35" s="31">
        <f t="shared" ca="1" si="20"/>
        <v>865049.81276613509</v>
      </c>
      <c r="W35" s="31">
        <f t="shared" ca="1" si="6"/>
        <v>4210.673705179699</v>
      </c>
      <c r="X35" s="163">
        <f t="shared" ca="1" si="34"/>
        <v>-15.592177721794155</v>
      </c>
      <c r="Y35" s="163">
        <f t="shared" ca="1" si="35"/>
        <v>-720.87484397177934</v>
      </c>
      <c r="Z35" s="163">
        <f t="shared" ca="1" si="22"/>
        <v>0</v>
      </c>
      <c r="AA35" s="163">
        <f t="shared" ca="1" si="36"/>
        <v>-821.79732212782847</v>
      </c>
      <c r="AB35" s="84">
        <f t="shared" ca="1" si="7"/>
        <v>-4860.6446809528361</v>
      </c>
      <c r="AC35" s="160">
        <f t="shared" si="8"/>
        <v>0</v>
      </c>
      <c r="AD35" s="31">
        <f t="shared" ca="1" si="9"/>
        <v>862841.57744654047</v>
      </c>
      <c r="AE35" s="5"/>
      <c r="AF35" s="151">
        <f t="shared" ca="1" si="10"/>
        <v>-6234.722009561001</v>
      </c>
      <c r="AG35" s="151">
        <f t="shared" ca="1" si="11"/>
        <v>1106762.1121846158</v>
      </c>
      <c r="AH35" s="5"/>
      <c r="AI35" s="5"/>
      <c r="AJ35" s="5"/>
      <c r="AK35" s="44">
        <v>49</v>
      </c>
      <c r="AL35" s="2">
        <v>5.7400000000000003E-3</v>
      </c>
      <c r="AM35" s="2">
        <v>5.4200000000000003E-3</v>
      </c>
      <c r="AN35" s="2">
        <f t="shared" si="23"/>
        <v>110</v>
      </c>
      <c r="AO35" s="2">
        <f t="shared" si="24"/>
        <v>0</v>
      </c>
      <c r="AP35" s="45">
        <f t="shared" si="37"/>
        <v>1.7713133024043772E-4</v>
      </c>
      <c r="AQ35" s="46">
        <f t="shared" ca="1" si="25"/>
        <v>2.9094678392959625E-5</v>
      </c>
      <c r="AS35" s="55">
        <f t="shared" si="26"/>
        <v>3</v>
      </c>
      <c r="AT35" s="56">
        <f t="shared" si="38"/>
        <v>32</v>
      </c>
      <c r="AU35" s="57">
        <f t="shared" si="39"/>
        <v>0.8554377596075915</v>
      </c>
      <c r="AV35" s="58">
        <f t="shared" si="27"/>
        <v>4.8675505653430484E-3</v>
      </c>
      <c r="AW35" s="59">
        <f t="shared" si="28"/>
        <v>1.004867550565343</v>
      </c>
      <c r="AX35" s="60">
        <f>PRODUCT(AW$4:AW35)</f>
        <v>1.1681061416730667</v>
      </c>
      <c r="AZ35" s="71">
        <f t="shared" si="40"/>
        <v>32</v>
      </c>
      <c r="BA35" s="72">
        <f t="shared" ref="BA35:BL44" ca="1" si="45">OFFSET($AW$3,($AZ35*12-12)+BA$3,0)</f>
        <v>1.004867550565343</v>
      </c>
      <c r="BB35" s="72">
        <f t="shared" ca="1" si="45"/>
        <v>1.004867550565343</v>
      </c>
      <c r="BC35" s="72">
        <f t="shared" ca="1" si="45"/>
        <v>1.004867550565343</v>
      </c>
      <c r="BD35" s="72">
        <f t="shared" ca="1" si="45"/>
        <v>1.004867550565343</v>
      </c>
      <c r="BE35" s="72">
        <f t="shared" ca="1" si="45"/>
        <v>1.004867550565343</v>
      </c>
      <c r="BF35" s="72">
        <f t="shared" ca="1" si="45"/>
        <v>1.004867550565343</v>
      </c>
      <c r="BG35" s="72">
        <f t="shared" ca="1" si="45"/>
        <v>1.004867550565343</v>
      </c>
      <c r="BH35" s="72">
        <f t="shared" ca="1" si="45"/>
        <v>1.004867550565343</v>
      </c>
      <c r="BI35" s="72">
        <f t="shared" ca="1" si="45"/>
        <v>1.004867550565343</v>
      </c>
      <c r="BJ35" s="72">
        <f t="shared" ca="1" si="45"/>
        <v>1.004867550565343</v>
      </c>
      <c r="BK35" s="72">
        <f t="shared" ca="1" si="45"/>
        <v>1.004867550565343</v>
      </c>
      <c r="BL35" s="72">
        <f t="shared" ca="1" si="45"/>
        <v>1.004867550565343</v>
      </c>
      <c r="BM35" s="72">
        <f t="shared" ca="1" si="13"/>
        <v>6.0000000000000275E-2</v>
      </c>
      <c r="BN35" s="73">
        <f t="shared" ca="1" si="30"/>
        <v>6.453386681885382</v>
      </c>
    </row>
    <row r="36" spans="2:66">
      <c r="B36" s="44" t="s">
        <v>115</v>
      </c>
      <c r="C36" s="135">
        <f ca="1">OFFSET($S$4,MATCH(100,S4:S784,1),0)</f>
        <v>100.04</v>
      </c>
      <c r="E36">
        <f t="shared" si="31"/>
        <v>33</v>
      </c>
      <c r="F36" s="9">
        <f t="shared" si="32"/>
        <v>71.666666666666515</v>
      </c>
      <c r="G36" s="132">
        <f t="shared" si="0"/>
        <v>0</v>
      </c>
      <c r="H36" s="133">
        <f t="shared" si="41"/>
        <v>1</v>
      </c>
      <c r="I36" s="31">
        <f t="shared" si="14"/>
        <v>2375946.8682380146</v>
      </c>
      <c r="J36" s="31">
        <f t="shared" si="1"/>
        <v>11565.041521716994</v>
      </c>
      <c r="K36" s="163">
        <f t="shared" si="2"/>
        <v>-20</v>
      </c>
      <c r="L36" s="163">
        <f t="shared" si="15"/>
        <v>-1979.955723531679</v>
      </c>
      <c r="M36" s="163">
        <f t="shared" si="43"/>
        <v>0</v>
      </c>
      <c r="N36" s="163">
        <f t="shared" si="17"/>
        <v>-2257.1495248261144</v>
      </c>
      <c r="O36" s="84">
        <f t="shared" si="3"/>
        <v>-17488.599999999999</v>
      </c>
      <c r="P36" s="31">
        <f t="shared" si="4"/>
        <v>2365766.2045113738</v>
      </c>
      <c r="Q36" s="5"/>
      <c r="R36">
        <f t="shared" ca="1" si="18"/>
        <v>153</v>
      </c>
      <c r="S36" s="133">
        <f t="shared" ca="1" si="19"/>
        <v>81.56</v>
      </c>
      <c r="T36" s="132">
        <f t="shared" ca="1" si="5"/>
        <v>9.3531218751844447E-3</v>
      </c>
      <c r="U36" s="133">
        <f t="shared" ca="1" si="33"/>
        <v>0.7723171091631339</v>
      </c>
      <c r="V36" s="31">
        <f t="shared" ca="1" si="20"/>
        <v>854771.31501370657</v>
      </c>
      <c r="W36" s="31">
        <f t="shared" ca="1" si="6"/>
        <v>4160.6425976339888</v>
      </c>
      <c r="X36" s="163">
        <f t="shared" ca="1" si="34"/>
        <v>-15.446342183262677</v>
      </c>
      <c r="Y36" s="163">
        <f t="shared" ca="1" si="35"/>
        <v>-712.30942917808886</v>
      </c>
      <c r="Z36" s="163">
        <f t="shared" ca="1" si="22"/>
        <v>0</v>
      </c>
      <c r="AA36" s="163">
        <f t="shared" ca="1" si="36"/>
        <v>-812.0327492630214</v>
      </c>
      <c r="AB36" s="84">
        <f t="shared" ca="1" si="7"/>
        <v>-4815.1824788599179</v>
      </c>
      <c r="AC36" s="160">
        <f t="shared" si="8"/>
        <v>0</v>
      </c>
      <c r="AD36" s="31">
        <f t="shared" ca="1" si="9"/>
        <v>852576.98661185626</v>
      </c>
      <c r="AE36" s="5"/>
      <c r="AF36" s="151">
        <f t="shared" ca="1" si="10"/>
        <v>-6234.7220095610019</v>
      </c>
      <c r="AG36" s="151">
        <f t="shared" ca="1" si="11"/>
        <v>1103920.8849531901</v>
      </c>
      <c r="AH36" s="5"/>
      <c r="AI36" s="5"/>
      <c r="AJ36" s="5"/>
      <c r="AK36" s="44">
        <v>50</v>
      </c>
      <c r="AL36" s="2">
        <v>6.28E-3</v>
      </c>
      <c r="AM36" s="2">
        <v>5.9500000000000004E-3</v>
      </c>
      <c r="AN36" s="2">
        <f t="shared" si="23"/>
        <v>111</v>
      </c>
      <c r="AO36" s="2">
        <f t="shared" si="24"/>
        <v>0</v>
      </c>
      <c r="AP36" s="45">
        <f t="shared" si="37"/>
        <v>1.7713133024043772E-4</v>
      </c>
      <c r="AQ36" s="46">
        <f t="shared" ca="1" si="25"/>
        <v>2.7447809804678884E-5</v>
      </c>
      <c r="AS36" s="55">
        <f t="shared" si="26"/>
        <v>3</v>
      </c>
      <c r="AT36" s="56">
        <f t="shared" si="38"/>
        <v>33</v>
      </c>
      <c r="AU36" s="57">
        <f t="shared" si="39"/>
        <v>0.85127387305719782</v>
      </c>
      <c r="AV36" s="58">
        <f t="shared" si="27"/>
        <v>4.8675505653430484E-3</v>
      </c>
      <c r="AW36" s="59">
        <f t="shared" si="28"/>
        <v>1.004867550565343</v>
      </c>
      <c r="AX36" s="60">
        <f>PRODUCT(AW$4:AW36)</f>
        <v>1.1737919573833482</v>
      </c>
      <c r="AZ36" s="71">
        <f t="shared" si="40"/>
        <v>33</v>
      </c>
      <c r="BA36" s="72">
        <f t="shared" ca="1" si="45"/>
        <v>1.004867550565343</v>
      </c>
      <c r="BB36" s="72">
        <f t="shared" ca="1" si="45"/>
        <v>1.004867550565343</v>
      </c>
      <c r="BC36" s="72">
        <f t="shared" ca="1" si="45"/>
        <v>1.004867550565343</v>
      </c>
      <c r="BD36" s="72">
        <f t="shared" ca="1" si="45"/>
        <v>1.004867550565343</v>
      </c>
      <c r="BE36" s="72">
        <f t="shared" ca="1" si="45"/>
        <v>1.004867550565343</v>
      </c>
      <c r="BF36" s="72">
        <f t="shared" ca="1" si="45"/>
        <v>1.004867550565343</v>
      </c>
      <c r="BG36" s="72">
        <f t="shared" ca="1" si="45"/>
        <v>1.004867550565343</v>
      </c>
      <c r="BH36" s="72">
        <f t="shared" ca="1" si="45"/>
        <v>1.004867550565343</v>
      </c>
      <c r="BI36" s="72">
        <f t="shared" ca="1" si="45"/>
        <v>1.004867550565343</v>
      </c>
      <c r="BJ36" s="72">
        <f t="shared" ca="1" si="45"/>
        <v>1.004867550565343</v>
      </c>
      <c r="BK36" s="72">
        <f t="shared" ca="1" si="45"/>
        <v>1.004867550565343</v>
      </c>
      <c r="BL36" s="72">
        <f t="shared" ca="1" si="45"/>
        <v>1.004867550565343</v>
      </c>
      <c r="BM36" s="72">
        <f t="shared" ref="BM36:BM67" ca="1" si="46">PRODUCT(BA36:BL36)-1</f>
        <v>6.0000000000000275E-2</v>
      </c>
      <c r="BN36" s="73">
        <f t="shared" ca="1" si="30"/>
        <v>6.8405898827985068</v>
      </c>
    </row>
    <row r="37" spans="2:66">
      <c r="B37" s="44" t="s">
        <v>116</v>
      </c>
      <c r="C37" s="136">
        <f ca="1">OFFSET($AD$4,MATCH(100,S4:S784,1),0)</f>
        <v>-3.2258640203508548E-12</v>
      </c>
      <c r="E37">
        <f t="shared" si="31"/>
        <v>34</v>
      </c>
      <c r="F37" s="9">
        <f t="shared" si="32"/>
        <v>71.749999999999844</v>
      </c>
      <c r="G37" s="132">
        <f t="shared" si="0"/>
        <v>0</v>
      </c>
      <c r="H37" s="133">
        <f t="shared" si="41"/>
        <v>1</v>
      </c>
      <c r="I37" s="31">
        <f t="shared" si="14"/>
        <v>2365766.2045113738</v>
      </c>
      <c r="J37" s="31">
        <f t="shared" si="1"/>
        <v>11515.486626238815</v>
      </c>
      <c r="K37" s="163">
        <f t="shared" si="2"/>
        <v>-20</v>
      </c>
      <c r="L37" s="163">
        <f t="shared" si="15"/>
        <v>-1971.4718370928117</v>
      </c>
      <c r="M37" s="163">
        <f t="shared" si="43"/>
        <v>0</v>
      </c>
      <c r="N37" s="163">
        <f t="shared" si="17"/>
        <v>-2247.4778942858056</v>
      </c>
      <c r="O37" s="84">
        <f t="shared" si="3"/>
        <v>-17488.599999999999</v>
      </c>
      <c r="P37" s="31">
        <f t="shared" si="4"/>
        <v>2355554.1414062344</v>
      </c>
      <c r="Q37" s="5"/>
      <c r="R37">
        <f t="shared" ca="1" si="18"/>
        <v>154</v>
      </c>
      <c r="S37" s="133">
        <f t="shared" ca="1" si="19"/>
        <v>81.64</v>
      </c>
      <c r="T37" s="132">
        <f t="shared" ca="1" si="5"/>
        <v>9.3531218751844447E-3</v>
      </c>
      <c r="U37" s="133">
        <f t="shared" ca="1" si="33"/>
        <v>0.76509353311484096</v>
      </c>
      <c r="V37" s="31">
        <f t="shared" ca="1" si="20"/>
        <v>844602.73014809808</v>
      </c>
      <c r="W37" s="31">
        <f t="shared" ca="1" si="6"/>
        <v>4111.1464966226567</v>
      </c>
      <c r="X37" s="163">
        <f t="shared" ca="1" si="34"/>
        <v>-15.301870662296819</v>
      </c>
      <c r="Y37" s="163">
        <f t="shared" ca="1" si="35"/>
        <v>-703.83560845674845</v>
      </c>
      <c r="Z37" s="163">
        <f t="shared" ca="1" si="22"/>
        <v>0</v>
      </c>
      <c r="AA37" s="163">
        <f t="shared" ca="1" si="36"/>
        <v>-802.37259364069325</v>
      </c>
      <c r="AB37" s="84">
        <f t="shared" ca="1" si="7"/>
        <v>-4770.1454902838877</v>
      </c>
      <c r="AC37" s="160">
        <f t="shared" si="8"/>
        <v>0</v>
      </c>
      <c r="AD37" s="31">
        <f t="shared" ca="1" si="9"/>
        <v>842422.22108167724</v>
      </c>
      <c r="AE37" s="5"/>
      <c r="AF37" s="151">
        <f t="shared" ca="1" si="10"/>
        <v>-6234.722009561001</v>
      </c>
      <c r="AG37" s="151">
        <f t="shared" ca="1" si="11"/>
        <v>1101070.8947597772</v>
      </c>
      <c r="AH37" s="5"/>
      <c r="AI37" s="5"/>
      <c r="AJ37" s="5"/>
      <c r="AK37" s="44">
        <v>51</v>
      </c>
      <c r="AL37" s="2">
        <v>6.8599999999999998E-3</v>
      </c>
      <c r="AM37" s="2">
        <v>6.5300000000000002E-3</v>
      </c>
      <c r="AN37" s="2">
        <f t="shared" ref="AN37:AN68" si="47">$C$6+E37-1</f>
        <v>112</v>
      </c>
      <c r="AO37" s="2">
        <f t="shared" ref="AO37:AO68" si="48">IF(AN37&gt;$AK$90,0,VLOOKUP($C$6+E37-1,$AK$4:$AL$90,2,FALSE))</f>
        <v>0</v>
      </c>
      <c r="AP37" s="45">
        <f t="shared" si="37"/>
        <v>1.7713133024043772E-4</v>
      </c>
      <c r="AQ37" s="46">
        <f t="shared" ref="AQ37:AQ68" ca="1" si="49">AP37/BN36</f>
        <v>2.589416019309328E-5</v>
      </c>
      <c r="AS37" s="55">
        <f t="shared" si="26"/>
        <v>3</v>
      </c>
      <c r="AT37" s="56">
        <f t="shared" si="38"/>
        <v>34</v>
      </c>
      <c r="AU37" s="57">
        <f t="shared" si="39"/>
        <v>0.84713025443513645</v>
      </c>
      <c r="AV37" s="58">
        <f t="shared" si="27"/>
        <v>4.8675505653430484E-3</v>
      </c>
      <c r="AW37" s="59">
        <f t="shared" si="28"/>
        <v>1.004867550565343</v>
      </c>
      <c r="AX37" s="60">
        <f>PRODUCT(AW$4:AW37)</f>
        <v>1.1795054490891046</v>
      </c>
      <c r="AZ37" s="71">
        <f t="shared" si="40"/>
        <v>34</v>
      </c>
      <c r="BA37" s="72">
        <f t="shared" ca="1" si="45"/>
        <v>1.004867550565343</v>
      </c>
      <c r="BB37" s="72">
        <f t="shared" ca="1" si="45"/>
        <v>1.004867550565343</v>
      </c>
      <c r="BC37" s="72">
        <f t="shared" ca="1" si="45"/>
        <v>1.004867550565343</v>
      </c>
      <c r="BD37" s="72">
        <f t="shared" ca="1" si="45"/>
        <v>1.004867550565343</v>
      </c>
      <c r="BE37" s="72">
        <f t="shared" ca="1" si="45"/>
        <v>1.004867550565343</v>
      </c>
      <c r="BF37" s="72">
        <f t="shared" ca="1" si="45"/>
        <v>1.004867550565343</v>
      </c>
      <c r="BG37" s="72">
        <f t="shared" ca="1" si="45"/>
        <v>1.004867550565343</v>
      </c>
      <c r="BH37" s="72">
        <f t="shared" ca="1" si="45"/>
        <v>1.004867550565343</v>
      </c>
      <c r="BI37" s="72">
        <f t="shared" ca="1" si="45"/>
        <v>1.004867550565343</v>
      </c>
      <c r="BJ37" s="72">
        <f t="shared" ca="1" si="45"/>
        <v>1.004867550565343</v>
      </c>
      <c r="BK37" s="72">
        <f t="shared" ca="1" si="45"/>
        <v>1.004867550565343</v>
      </c>
      <c r="BL37" s="72">
        <f t="shared" ca="1" si="45"/>
        <v>1.004867550565343</v>
      </c>
      <c r="BM37" s="72">
        <f t="shared" ca="1" si="46"/>
        <v>6.0000000000000275E-2</v>
      </c>
      <c r="BN37" s="73">
        <f t="shared" ref="BN37:BN68" ca="1" si="50">PRODUCT(BA37:BL37)*BN36</f>
        <v>7.2510252757664189</v>
      </c>
    </row>
    <row r="38" spans="2:66">
      <c r="B38" s="142" t="s">
        <v>117</v>
      </c>
      <c r="C38" s="143">
        <f ca="1">(OFFSET($AD$4,MATCH(100,S4:S784,1),0)/OFFSET($U$4,MATCH(100,S4:S784,1),0))*10000</f>
        <v>-9.6888237844401846E-6</v>
      </c>
      <c r="E38">
        <f t="shared" si="31"/>
        <v>35</v>
      </c>
      <c r="F38" s="9">
        <f t="shared" si="32"/>
        <v>71.833333333333172</v>
      </c>
      <c r="G38" s="132">
        <f t="shared" si="0"/>
        <v>0</v>
      </c>
      <c r="H38" s="133">
        <f t="shared" si="41"/>
        <v>1</v>
      </c>
      <c r="I38" s="31">
        <f t="shared" si="14"/>
        <v>2355554.1414062344</v>
      </c>
      <c r="J38" s="31">
        <f t="shared" si="1"/>
        <v>11465.778892698076</v>
      </c>
      <c r="K38" s="163">
        <f t="shared" si="2"/>
        <v>-20</v>
      </c>
      <c r="L38" s="163">
        <f t="shared" si="15"/>
        <v>-1962.9617845051955</v>
      </c>
      <c r="M38" s="163">
        <f t="shared" si="43"/>
        <v>0</v>
      </c>
      <c r="N38" s="163">
        <f t="shared" si="17"/>
        <v>-2237.7764343359231</v>
      </c>
      <c r="O38" s="84">
        <f t="shared" si="3"/>
        <v>-17488.599999999999</v>
      </c>
      <c r="P38" s="31">
        <f t="shared" si="4"/>
        <v>2345310.5820800913</v>
      </c>
      <c r="Q38" s="5"/>
      <c r="R38">
        <f t="shared" ca="1" si="18"/>
        <v>155</v>
      </c>
      <c r="S38" s="133">
        <f t="shared" ca="1" si="19"/>
        <v>81.72</v>
      </c>
      <c r="T38" s="132">
        <f t="shared" ca="1" si="5"/>
        <v>9.3531218751844447E-3</v>
      </c>
      <c r="U38" s="133">
        <f t="shared" ca="1" si="33"/>
        <v>0.75793752005370241</v>
      </c>
      <c r="V38" s="31">
        <f t="shared" ca="1" si="20"/>
        <v>834542.94337753672</v>
      </c>
      <c r="W38" s="31">
        <f t="shared" ca="1" si="6"/>
        <v>4062.1799758403804</v>
      </c>
      <c r="X38" s="163">
        <f t="shared" ca="1" si="34"/>
        <v>-15.158750401074048</v>
      </c>
      <c r="Y38" s="163">
        <f t="shared" ca="1" si="35"/>
        <v>-695.45245281461393</v>
      </c>
      <c r="Z38" s="163">
        <f t="shared" ca="1" si="22"/>
        <v>0</v>
      </c>
      <c r="AA38" s="163">
        <f t="shared" ca="1" si="36"/>
        <v>-792.81579620866012</v>
      </c>
      <c r="AB38" s="84">
        <f t="shared" ca="1" si="7"/>
        <v>-4725.5297381509017</v>
      </c>
      <c r="AC38" s="160">
        <f t="shared" si="8"/>
        <v>0</v>
      </c>
      <c r="AD38" s="31">
        <f t="shared" ca="1" si="9"/>
        <v>832376.16661580186</v>
      </c>
      <c r="AE38" s="5"/>
      <c r="AF38" s="151">
        <f t="shared" ca="1" si="10"/>
        <v>-6234.7220095610019</v>
      </c>
      <c r="AG38" s="151">
        <f t="shared" ca="1" si="11"/>
        <v>1098212.1145774988</v>
      </c>
      <c r="AH38" s="5"/>
      <c r="AI38" s="5"/>
      <c r="AJ38" s="5"/>
      <c r="AK38" s="44">
        <v>52</v>
      </c>
      <c r="AL38" s="2">
        <v>7.4999999999999997E-3</v>
      </c>
      <c r="AM38" s="2">
        <v>7.1599999999999997E-3</v>
      </c>
      <c r="AN38" s="2">
        <f t="shared" si="47"/>
        <v>113</v>
      </c>
      <c r="AO38" s="2">
        <f t="shared" si="48"/>
        <v>0</v>
      </c>
      <c r="AP38" s="45">
        <f t="shared" si="37"/>
        <v>1.7713133024043772E-4</v>
      </c>
      <c r="AQ38" s="46">
        <f t="shared" ca="1" si="49"/>
        <v>2.4428453012352146E-5</v>
      </c>
      <c r="AS38" s="55">
        <f t="shared" si="26"/>
        <v>3</v>
      </c>
      <c r="AT38" s="56">
        <f t="shared" si="38"/>
        <v>35</v>
      </c>
      <c r="AU38" s="57">
        <f t="shared" si="39"/>
        <v>0.84300680508624148</v>
      </c>
      <c r="AV38" s="58">
        <f t="shared" si="27"/>
        <v>4.8675505653430484E-3</v>
      </c>
      <c r="AW38" s="59">
        <f t="shared" si="28"/>
        <v>1.004867550565343</v>
      </c>
      <c r="AX38" s="60">
        <f>PRODUCT(AW$4:AW38)</f>
        <v>1.1852467515046434</v>
      </c>
      <c r="AZ38" s="71">
        <f t="shared" si="40"/>
        <v>35</v>
      </c>
      <c r="BA38" s="72">
        <f t="shared" ca="1" si="45"/>
        <v>1.004867550565343</v>
      </c>
      <c r="BB38" s="72">
        <f t="shared" ca="1" si="45"/>
        <v>1.004867550565343</v>
      </c>
      <c r="BC38" s="72">
        <f t="shared" ca="1" si="45"/>
        <v>1.004867550565343</v>
      </c>
      <c r="BD38" s="72">
        <f t="shared" ca="1" si="45"/>
        <v>1.004867550565343</v>
      </c>
      <c r="BE38" s="72">
        <f t="shared" ca="1" si="45"/>
        <v>1.004867550565343</v>
      </c>
      <c r="BF38" s="72">
        <f t="shared" ca="1" si="45"/>
        <v>1.004867550565343</v>
      </c>
      <c r="BG38" s="72">
        <f t="shared" ca="1" si="45"/>
        <v>1.004867550565343</v>
      </c>
      <c r="BH38" s="72">
        <f t="shared" ca="1" si="45"/>
        <v>1.004867550565343</v>
      </c>
      <c r="BI38" s="72">
        <f t="shared" ca="1" si="45"/>
        <v>1.004867550565343</v>
      </c>
      <c r="BJ38" s="72">
        <f t="shared" ca="1" si="45"/>
        <v>1.004867550565343</v>
      </c>
      <c r="BK38" s="72">
        <f t="shared" ca="1" si="45"/>
        <v>1.004867550565343</v>
      </c>
      <c r="BL38" s="72">
        <f t="shared" ca="1" si="45"/>
        <v>1.004867550565343</v>
      </c>
      <c r="BM38" s="72">
        <f t="shared" ca="1" si="46"/>
        <v>6.0000000000000275E-2</v>
      </c>
      <c r="BN38" s="73">
        <f t="shared" ca="1" si="50"/>
        <v>7.6860867923124063</v>
      </c>
    </row>
    <row r="39" spans="2:66">
      <c r="B39" s="144" t="str">
        <f>"Life Annuity Payable (per annum) starting at "&amp;ROUND(C6,0)</f>
        <v>Life Annuity Payable (per annum) starting at 79</v>
      </c>
      <c r="C39" s="140">
        <v>74816.664114732019</v>
      </c>
      <c r="E39">
        <f t="shared" si="31"/>
        <v>36</v>
      </c>
      <c r="F39" s="9">
        <f t="shared" si="32"/>
        <v>71.916666666666501</v>
      </c>
      <c r="G39" s="132">
        <f t="shared" si="0"/>
        <v>0</v>
      </c>
      <c r="H39" s="133">
        <f t="shared" si="41"/>
        <v>1</v>
      </c>
      <c r="I39" s="31">
        <f t="shared" si="14"/>
        <v>2345310.5820800913</v>
      </c>
      <c r="J39" s="31">
        <f t="shared" si="1"/>
        <v>11415.917849708983</v>
      </c>
      <c r="K39" s="163">
        <f t="shared" si="2"/>
        <v>-20</v>
      </c>
      <c r="L39" s="163">
        <f t="shared" si="15"/>
        <v>-1954.425485066743</v>
      </c>
      <c r="M39" s="163">
        <f t="shared" si="43"/>
        <v>0</v>
      </c>
      <c r="N39" s="163">
        <f t="shared" si="17"/>
        <v>-2228.0450529760869</v>
      </c>
      <c r="O39" s="84">
        <f t="shared" si="3"/>
        <v>-17488.599999999999</v>
      </c>
      <c r="P39" s="31">
        <f t="shared" si="4"/>
        <v>2335035.4293917576</v>
      </c>
      <c r="Q39" s="5"/>
      <c r="R39">
        <f t="shared" ca="1" si="18"/>
        <v>156</v>
      </c>
      <c r="S39" s="133">
        <f t="shared" ca="1" si="19"/>
        <v>81.8</v>
      </c>
      <c r="T39" s="132">
        <f t="shared" ca="1" si="5"/>
        <v>9.3531218751844447E-3</v>
      </c>
      <c r="U39" s="133">
        <f t="shared" ca="1" si="33"/>
        <v>0.75084843805486512</v>
      </c>
      <c r="V39" s="31">
        <f t="shared" ca="1" si="20"/>
        <v>824590.85088344547</v>
      </c>
      <c r="W39" s="31">
        <f t="shared" ca="1" si="6"/>
        <v>4013.7376623944201</v>
      </c>
      <c r="X39" s="163">
        <f t="shared" ca="1" si="34"/>
        <v>-15.016968761097303</v>
      </c>
      <c r="Y39" s="163">
        <f t="shared" ca="1" si="35"/>
        <v>-687.15904240287125</v>
      </c>
      <c r="Z39" s="163">
        <f t="shared" ca="1" si="22"/>
        <v>-6184.4313816258409</v>
      </c>
      <c r="AA39" s="163">
        <f t="shared" ca="1" si="36"/>
        <v>-783.36130833927336</v>
      </c>
      <c r="AB39" s="84">
        <f t="shared" ca="1" si="7"/>
        <v>-4681.3312825851681</v>
      </c>
      <c r="AC39" s="160">
        <f t="shared" si="8"/>
        <v>0</v>
      </c>
      <c r="AD39" s="31">
        <f t="shared" ca="1" si="9"/>
        <v>816253.28856212564</v>
      </c>
      <c r="AE39" s="5"/>
      <c r="AF39" s="151">
        <f t="shared" ca="1" si="10"/>
        <v>-6234.7220095610019</v>
      </c>
      <c r="AG39" s="151">
        <f t="shared" ca="1" si="11"/>
        <v>1087107.9264367882</v>
      </c>
      <c r="AH39" s="5"/>
      <c r="AI39" s="5"/>
      <c r="AJ39" s="5"/>
      <c r="AK39" s="44">
        <v>53</v>
      </c>
      <c r="AL39" s="2">
        <v>8.2000000000000007E-3</v>
      </c>
      <c r="AM39" s="2">
        <v>7.8499999999999993E-3</v>
      </c>
      <c r="AN39" s="2">
        <f t="shared" si="47"/>
        <v>114</v>
      </c>
      <c r="AO39" s="2">
        <f t="shared" si="48"/>
        <v>0</v>
      </c>
      <c r="AP39" s="45">
        <f t="shared" si="37"/>
        <v>1.7713133024043772E-4</v>
      </c>
      <c r="AQ39" s="46">
        <f t="shared" ca="1" si="49"/>
        <v>2.3045710389011451E-5</v>
      </c>
      <c r="AS39" s="55">
        <f t="shared" si="26"/>
        <v>3</v>
      </c>
      <c r="AT39" s="56">
        <f t="shared" si="38"/>
        <v>36</v>
      </c>
      <c r="AU39" s="57">
        <f t="shared" si="39"/>
        <v>0.83890342683555597</v>
      </c>
      <c r="AV39" s="58">
        <f t="shared" si="27"/>
        <v>4.8675505653430484E-3</v>
      </c>
      <c r="AW39" s="59">
        <f t="shared" si="28"/>
        <v>1.004867550565343</v>
      </c>
      <c r="AX39" s="60">
        <f>PRODUCT(AW$4:AW39)</f>
        <v>1.191016000000001</v>
      </c>
      <c r="AY39" s="10"/>
      <c r="AZ39" s="71">
        <f t="shared" si="40"/>
        <v>36</v>
      </c>
      <c r="BA39" s="72">
        <f t="shared" ca="1" si="45"/>
        <v>1.004867550565343</v>
      </c>
      <c r="BB39" s="72">
        <f t="shared" ca="1" si="45"/>
        <v>1.004867550565343</v>
      </c>
      <c r="BC39" s="72">
        <f t="shared" ca="1" si="45"/>
        <v>1.004867550565343</v>
      </c>
      <c r="BD39" s="72">
        <f t="shared" ca="1" si="45"/>
        <v>1.004867550565343</v>
      </c>
      <c r="BE39" s="72">
        <f t="shared" ca="1" si="45"/>
        <v>1.004867550565343</v>
      </c>
      <c r="BF39" s="72">
        <f t="shared" ca="1" si="45"/>
        <v>1.004867550565343</v>
      </c>
      <c r="BG39" s="72">
        <f t="shared" ca="1" si="45"/>
        <v>1.004867550565343</v>
      </c>
      <c r="BH39" s="72">
        <f t="shared" ca="1" si="45"/>
        <v>1.004867550565343</v>
      </c>
      <c r="BI39" s="72">
        <f t="shared" ca="1" si="45"/>
        <v>1.004867550565343</v>
      </c>
      <c r="BJ39" s="72">
        <f t="shared" ca="1" si="45"/>
        <v>1.004867550565343</v>
      </c>
      <c r="BK39" s="72">
        <f t="shared" ca="1" si="45"/>
        <v>1.004867550565343</v>
      </c>
      <c r="BL39" s="72">
        <f t="shared" ca="1" si="45"/>
        <v>1.004867550565343</v>
      </c>
      <c r="BM39" s="72">
        <f t="shared" ca="1" si="46"/>
        <v>6.0000000000000275E-2</v>
      </c>
      <c r="BN39" s="73">
        <f t="shared" ca="1" si="50"/>
        <v>8.1472519998511537</v>
      </c>
    </row>
    <row r="40" spans="2:66">
      <c r="B40" s="47"/>
      <c r="C40" s="122">
        <f>C10-C12</f>
        <v>11253.877990438996</v>
      </c>
      <c r="E40">
        <f t="shared" si="31"/>
        <v>37</v>
      </c>
      <c r="F40" s="9">
        <f t="shared" si="32"/>
        <v>71.999999999999829</v>
      </c>
      <c r="G40" s="132">
        <f t="shared" si="0"/>
        <v>0</v>
      </c>
      <c r="H40" s="133">
        <f t="shared" si="41"/>
        <v>1</v>
      </c>
      <c r="I40" s="31">
        <f t="shared" si="14"/>
        <v>2335035.4293917576</v>
      </c>
      <c r="J40" s="31">
        <f t="shared" si="1"/>
        <v>11365.903024431898</v>
      </c>
      <c r="K40" s="163">
        <f t="shared" si="2"/>
        <v>-20</v>
      </c>
      <c r="L40" s="163">
        <f t="shared" si="15"/>
        <v>-1945.8628578264647</v>
      </c>
      <c r="M40" s="163">
        <f t="shared" si="43"/>
        <v>-17512.765720438183</v>
      </c>
      <c r="N40" s="163">
        <f t="shared" si="17"/>
        <v>-2218.2836579221698</v>
      </c>
      <c r="O40" s="84">
        <f t="shared" si="3"/>
        <v>-17488.599999999999</v>
      </c>
      <c r="P40" s="31">
        <f t="shared" si="4"/>
        <v>2307215.8201800026</v>
      </c>
      <c r="Q40" s="5"/>
      <c r="R40">
        <f t="shared" ca="1" si="18"/>
        <v>157</v>
      </c>
      <c r="S40" s="133">
        <f t="shared" ca="1" si="19"/>
        <v>81.88</v>
      </c>
      <c r="T40" s="132">
        <f t="shared" ca="1" si="5"/>
        <v>9.3531218751844447E-3</v>
      </c>
      <c r="U40" s="133">
        <f t="shared" ca="1" si="33"/>
        <v>0.7438256611039461</v>
      </c>
      <c r="V40" s="31">
        <f t="shared" ca="1" si="20"/>
        <v>808618.77207318402</v>
      </c>
      <c r="W40" s="31">
        <f t="shared" ca="1" si="6"/>
        <v>3935.9927611518283</v>
      </c>
      <c r="X40" s="163">
        <f t="shared" ca="1" si="34"/>
        <v>-14.876513222078922</v>
      </c>
      <c r="Y40" s="163">
        <f t="shared" ca="1" si="35"/>
        <v>-673.84897672765339</v>
      </c>
      <c r="Z40" s="163">
        <f t="shared" ca="1" si="22"/>
        <v>0</v>
      </c>
      <c r="AA40" s="163">
        <f t="shared" ca="1" si="36"/>
        <v>-768.18783346952489</v>
      </c>
      <c r="AB40" s="84">
        <f t="shared" ca="1" si="7"/>
        <v>-4637.5462205610356</v>
      </c>
      <c r="AC40" s="160">
        <f t="shared" si="8"/>
        <v>0</v>
      </c>
      <c r="AD40" s="31">
        <f t="shared" ca="1" si="9"/>
        <v>806460.30529035558</v>
      </c>
      <c r="AE40" s="5"/>
      <c r="AF40" s="151">
        <f t="shared" ca="1" si="10"/>
        <v>-6234.7220095610019</v>
      </c>
      <c r="AG40" s="151">
        <f t="shared" ca="1" si="11"/>
        <v>1084206.0814269979</v>
      </c>
      <c r="AH40" s="5"/>
      <c r="AI40" s="5"/>
      <c r="AJ40" s="5"/>
      <c r="AK40" s="44">
        <v>54</v>
      </c>
      <c r="AL40" s="2">
        <v>8.9599999999999992E-3</v>
      </c>
      <c r="AM40" s="2">
        <v>8.6099999999999996E-3</v>
      </c>
      <c r="AN40" s="2">
        <f t="shared" si="47"/>
        <v>115</v>
      </c>
      <c r="AO40" s="2">
        <f t="shared" si="48"/>
        <v>0</v>
      </c>
      <c r="AP40" s="45">
        <f t="shared" si="37"/>
        <v>1.7713133024043772E-4</v>
      </c>
      <c r="AQ40" s="46">
        <f t="shared" ca="1" si="49"/>
        <v>2.1741236216048529E-5</v>
      </c>
      <c r="AS40" s="55">
        <f t="shared" si="26"/>
        <v>4</v>
      </c>
      <c r="AT40" s="56">
        <f t="shared" si="38"/>
        <v>37</v>
      </c>
      <c r="AU40" s="57">
        <f t="shared" si="39"/>
        <v>0.83482002198599436</v>
      </c>
      <c r="AV40" s="58">
        <f t="shared" si="27"/>
        <v>4.8675505653430484E-3</v>
      </c>
      <c r="AW40" s="59">
        <f t="shared" si="28"/>
        <v>1.004867550565343</v>
      </c>
      <c r="AX40" s="60">
        <f>PRODUCT(AW$4:AW40)</f>
        <v>1.1968133306041335</v>
      </c>
      <c r="AZ40" s="71">
        <f t="shared" si="40"/>
        <v>37</v>
      </c>
      <c r="BA40" s="72">
        <f t="shared" ca="1" si="45"/>
        <v>1.004867550565343</v>
      </c>
      <c r="BB40" s="72">
        <f t="shared" ca="1" si="45"/>
        <v>1.004867550565343</v>
      </c>
      <c r="BC40" s="72">
        <f t="shared" ca="1" si="45"/>
        <v>1.004867550565343</v>
      </c>
      <c r="BD40" s="72">
        <f t="shared" ca="1" si="45"/>
        <v>1.004867550565343</v>
      </c>
      <c r="BE40" s="72">
        <f t="shared" ca="1" si="45"/>
        <v>1.004867550565343</v>
      </c>
      <c r="BF40" s="72">
        <f t="shared" ca="1" si="45"/>
        <v>1.004867550565343</v>
      </c>
      <c r="BG40" s="72">
        <f t="shared" ca="1" si="45"/>
        <v>1.004867550565343</v>
      </c>
      <c r="BH40" s="72">
        <f t="shared" ca="1" si="45"/>
        <v>1.004867550565343</v>
      </c>
      <c r="BI40" s="72">
        <f t="shared" ca="1" si="45"/>
        <v>1.004867550565343</v>
      </c>
      <c r="BJ40" s="72">
        <f t="shared" ca="1" si="45"/>
        <v>1.004867550565343</v>
      </c>
      <c r="BK40" s="72">
        <f t="shared" ca="1" si="45"/>
        <v>1.004867550565343</v>
      </c>
      <c r="BL40" s="72">
        <f t="shared" ca="1" si="45"/>
        <v>1.004867550565343</v>
      </c>
      <c r="BM40" s="72">
        <f t="shared" ca="1" si="46"/>
        <v>6.0000000000000275E-2</v>
      </c>
      <c r="BN40" s="73">
        <f t="shared" ca="1" si="50"/>
        <v>8.6360871198422249</v>
      </c>
    </row>
    <row r="41" spans="2:66">
      <c r="E41">
        <f t="shared" si="31"/>
        <v>38</v>
      </c>
      <c r="F41" s="9">
        <f t="shared" si="32"/>
        <v>72.083333333333158</v>
      </c>
      <c r="G41" s="132">
        <f t="shared" si="0"/>
        <v>0</v>
      </c>
      <c r="H41" s="133">
        <f t="shared" si="41"/>
        <v>1</v>
      </c>
      <c r="I41" s="31">
        <f t="shared" si="14"/>
        <v>2307215.8201800026</v>
      </c>
      <c r="J41" s="31">
        <f t="shared" si="1"/>
        <v>11230.489669885597</v>
      </c>
      <c r="K41" s="163">
        <f t="shared" si="2"/>
        <v>-20</v>
      </c>
      <c r="L41" s="163">
        <f t="shared" si="15"/>
        <v>-1922.6798501500023</v>
      </c>
      <c r="M41" s="163">
        <f t="shared" si="43"/>
        <v>0</v>
      </c>
      <c r="N41" s="163">
        <f t="shared" si="17"/>
        <v>-2191.855029171003</v>
      </c>
      <c r="O41" s="84">
        <f t="shared" si="3"/>
        <v>-17488.599999999999</v>
      </c>
      <c r="P41" s="31">
        <f t="shared" si="4"/>
        <v>2296823.1749705672</v>
      </c>
      <c r="Q41" s="5"/>
      <c r="R41">
        <f t="shared" ca="1" si="18"/>
        <v>158</v>
      </c>
      <c r="S41" s="133">
        <f t="shared" ca="1" si="19"/>
        <v>81.96</v>
      </c>
      <c r="T41" s="132">
        <f t="shared" ca="1" si="5"/>
        <v>9.3531218751844447E-3</v>
      </c>
      <c r="U41" s="133">
        <f t="shared" ca="1" si="33"/>
        <v>0.73686856904175124</v>
      </c>
      <c r="V41" s="31">
        <f t="shared" ca="1" si="20"/>
        <v>798917.38376747642</v>
      </c>
      <c r="W41" s="31">
        <f t="shared" ca="1" si="6"/>
        <v>3888.7707630197692</v>
      </c>
      <c r="X41" s="163">
        <f t="shared" ca="1" si="34"/>
        <v>-14.737371380835025</v>
      </c>
      <c r="Y41" s="163">
        <f t="shared" ca="1" si="35"/>
        <v>-665.76448647289703</v>
      </c>
      <c r="Z41" s="163">
        <f t="shared" ca="1" si="22"/>
        <v>0</v>
      </c>
      <c r="AA41" s="163">
        <f t="shared" ca="1" si="36"/>
        <v>-758.97151457910275</v>
      </c>
      <c r="AB41" s="84">
        <f t="shared" ca="1" si="7"/>
        <v>-4594.170685558327</v>
      </c>
      <c r="AC41" s="160">
        <f t="shared" si="8"/>
        <v>0</v>
      </c>
      <c r="AD41" s="31">
        <f t="shared" ca="1" si="9"/>
        <v>796772.510472505</v>
      </c>
      <c r="AE41" s="5"/>
      <c r="AF41" s="151">
        <f t="shared" ca="1" si="10"/>
        <v>-6234.7220095610019</v>
      </c>
      <c r="AG41" s="151">
        <f t="shared" ca="1" si="11"/>
        <v>1081295.2864968239</v>
      </c>
      <c r="AH41" s="5"/>
      <c r="AI41" s="5"/>
      <c r="AJ41" s="5"/>
      <c r="AK41" s="44">
        <v>55</v>
      </c>
      <c r="AL41" s="2">
        <v>9.7900000000000001E-3</v>
      </c>
      <c r="AM41" s="2">
        <v>9.4299999999999991E-3</v>
      </c>
      <c r="AN41" s="2">
        <f t="shared" si="47"/>
        <v>116</v>
      </c>
      <c r="AO41" s="2">
        <f t="shared" si="48"/>
        <v>0</v>
      </c>
      <c r="AP41" s="45">
        <f t="shared" si="37"/>
        <v>1.7713133024043772E-4</v>
      </c>
      <c r="AQ41" s="46">
        <f t="shared" ca="1" si="49"/>
        <v>2.0510600203819363E-5</v>
      </c>
      <c r="AS41" s="55">
        <f t="shared" si="26"/>
        <v>4</v>
      </c>
      <c r="AT41" s="56">
        <f t="shared" si="38"/>
        <v>38</v>
      </c>
      <c r="AU41" s="57">
        <f t="shared" si="39"/>
        <v>0.83075649331601675</v>
      </c>
      <c r="AV41" s="58">
        <f t="shared" si="27"/>
        <v>4.8675505653430484E-3</v>
      </c>
      <c r="AW41" s="59">
        <f t="shared" si="28"/>
        <v>1.004867550565343</v>
      </c>
      <c r="AX41" s="60">
        <f>PRODUCT(AW$4:AW41)</f>
        <v>1.2026388800081258</v>
      </c>
      <c r="AZ41" s="71">
        <f t="shared" si="40"/>
        <v>38</v>
      </c>
      <c r="BA41" s="72">
        <f t="shared" ca="1" si="45"/>
        <v>1.004867550565343</v>
      </c>
      <c r="BB41" s="72">
        <f t="shared" ca="1" si="45"/>
        <v>1.004867550565343</v>
      </c>
      <c r="BC41" s="72">
        <f t="shared" ca="1" si="45"/>
        <v>1.004867550565343</v>
      </c>
      <c r="BD41" s="72">
        <f t="shared" ca="1" si="45"/>
        <v>1.004867550565343</v>
      </c>
      <c r="BE41" s="72">
        <f t="shared" ca="1" si="45"/>
        <v>1.004867550565343</v>
      </c>
      <c r="BF41" s="72">
        <f t="shared" ca="1" si="45"/>
        <v>1.004867550565343</v>
      </c>
      <c r="BG41" s="72">
        <f t="shared" ca="1" si="45"/>
        <v>1.004867550565343</v>
      </c>
      <c r="BH41" s="72">
        <f t="shared" ca="1" si="45"/>
        <v>1.004867550565343</v>
      </c>
      <c r="BI41" s="72">
        <f t="shared" ca="1" si="45"/>
        <v>1.004867550565343</v>
      </c>
      <c r="BJ41" s="72">
        <f t="shared" ca="1" si="45"/>
        <v>1.004867550565343</v>
      </c>
      <c r="BK41" s="72">
        <f t="shared" ca="1" si="45"/>
        <v>1.004867550565343</v>
      </c>
      <c r="BL41" s="72">
        <f t="shared" ca="1" si="45"/>
        <v>1.004867550565343</v>
      </c>
      <c r="BM41" s="72">
        <f t="shared" ca="1" si="46"/>
        <v>6.0000000000000275E-2</v>
      </c>
      <c r="BN41" s="73">
        <f t="shared" ca="1" si="50"/>
        <v>9.1542523470327613</v>
      </c>
    </row>
    <row r="42" spans="2:66">
      <c r="E42">
        <f t="shared" si="31"/>
        <v>39</v>
      </c>
      <c r="F42" s="9">
        <f t="shared" si="32"/>
        <v>72.166666666666487</v>
      </c>
      <c r="G42" s="132">
        <f t="shared" si="0"/>
        <v>0</v>
      </c>
      <c r="H42" s="133">
        <f t="shared" si="41"/>
        <v>1</v>
      </c>
      <c r="I42" s="31">
        <f t="shared" si="14"/>
        <v>2296823.1749705672</v>
      </c>
      <c r="J42" s="31">
        <f t="shared" si="1"/>
        <v>11179.902943821</v>
      </c>
      <c r="K42" s="163">
        <f t="shared" si="2"/>
        <v>-20</v>
      </c>
      <c r="L42" s="163">
        <f t="shared" si="15"/>
        <v>-1914.0193124754728</v>
      </c>
      <c r="M42" s="163">
        <f t="shared" si="43"/>
        <v>0</v>
      </c>
      <c r="N42" s="163">
        <f t="shared" si="17"/>
        <v>-2181.9820162220394</v>
      </c>
      <c r="O42" s="84">
        <f t="shared" si="3"/>
        <v>-17488.599999999999</v>
      </c>
      <c r="P42" s="31">
        <f t="shared" si="4"/>
        <v>2286398.4765856909</v>
      </c>
      <c r="Q42" s="5"/>
      <c r="R42">
        <f t="shared" ca="1" si="18"/>
        <v>159</v>
      </c>
      <c r="S42" s="133">
        <f t="shared" ca="1" si="19"/>
        <v>82.04</v>
      </c>
      <c r="T42" s="132">
        <f t="shared" ca="1" si="5"/>
        <v>9.3531218751844447E-3</v>
      </c>
      <c r="U42" s="133">
        <f t="shared" ca="1" si="33"/>
        <v>0.72997654750951102</v>
      </c>
      <c r="V42" s="31">
        <f t="shared" ca="1" si="20"/>
        <v>789320.20007525897</v>
      </c>
      <c r="W42" s="31">
        <f t="shared" ca="1" si="6"/>
        <v>3842.055986113015</v>
      </c>
      <c r="X42" s="163">
        <f t="shared" ca="1" si="34"/>
        <v>-14.599530950190221</v>
      </c>
      <c r="Y42" s="163">
        <f t="shared" ca="1" si="35"/>
        <v>-657.76683339604915</v>
      </c>
      <c r="Z42" s="163">
        <f t="shared" ca="1" si="22"/>
        <v>0</v>
      </c>
      <c r="AA42" s="163">
        <f t="shared" ca="1" si="36"/>
        <v>-749.85419007149619</v>
      </c>
      <c r="AB42" s="84">
        <f t="shared" ca="1" si="7"/>
        <v>-4551.2008472209009</v>
      </c>
      <c r="AC42" s="160">
        <f t="shared" si="8"/>
        <v>0</v>
      </c>
      <c r="AD42" s="31">
        <f t="shared" ca="1" si="9"/>
        <v>787188.83465973334</v>
      </c>
      <c r="AE42" s="5"/>
      <c r="AF42" s="151">
        <f t="shared" ca="1" si="10"/>
        <v>-6234.7220095610019</v>
      </c>
      <c r="AG42" s="151">
        <f t="shared" ca="1" si="11"/>
        <v>1078375.514042767</v>
      </c>
      <c r="AH42" s="5"/>
      <c r="AI42" s="5"/>
      <c r="AJ42" s="5"/>
      <c r="AK42" s="44">
        <v>56</v>
      </c>
      <c r="AL42" s="2">
        <v>1.0699999999999999E-2</v>
      </c>
      <c r="AM42" s="2">
        <v>1.034E-2</v>
      </c>
      <c r="AN42" s="2">
        <f t="shared" si="47"/>
        <v>117</v>
      </c>
      <c r="AO42" s="2">
        <f t="shared" si="48"/>
        <v>0</v>
      </c>
      <c r="AP42" s="45">
        <f t="shared" si="37"/>
        <v>1.7713133024043772E-4</v>
      </c>
      <c r="AQ42" s="46">
        <f t="shared" ca="1" si="49"/>
        <v>1.9349622833791846E-5</v>
      </c>
      <c r="AS42" s="55">
        <f t="shared" si="26"/>
        <v>4</v>
      </c>
      <c r="AT42" s="56">
        <f t="shared" si="38"/>
        <v>39</v>
      </c>
      <c r="AU42" s="57">
        <f t="shared" si="39"/>
        <v>0.82671274407731399</v>
      </c>
      <c r="AV42" s="58">
        <f t="shared" si="27"/>
        <v>4.8675505653430484E-3</v>
      </c>
      <c r="AW42" s="59">
        <f t="shared" si="28"/>
        <v>1.004867550565343</v>
      </c>
      <c r="AX42" s="60">
        <f>PRODUCT(AW$4:AW42)</f>
        <v>1.2084927855684129</v>
      </c>
      <c r="AZ42" s="71">
        <f t="shared" si="40"/>
        <v>39</v>
      </c>
      <c r="BA42" s="72">
        <f t="shared" ca="1" si="45"/>
        <v>1.004867550565343</v>
      </c>
      <c r="BB42" s="72">
        <f t="shared" ca="1" si="45"/>
        <v>1.004867550565343</v>
      </c>
      <c r="BC42" s="72">
        <f t="shared" ca="1" si="45"/>
        <v>1.004867550565343</v>
      </c>
      <c r="BD42" s="72">
        <f t="shared" ca="1" si="45"/>
        <v>1.004867550565343</v>
      </c>
      <c r="BE42" s="72">
        <f t="shared" ca="1" si="45"/>
        <v>1.004867550565343</v>
      </c>
      <c r="BF42" s="72">
        <f t="shared" ca="1" si="45"/>
        <v>1.004867550565343</v>
      </c>
      <c r="BG42" s="72">
        <f t="shared" ca="1" si="45"/>
        <v>1.004867550565343</v>
      </c>
      <c r="BH42" s="72">
        <f t="shared" ca="1" si="45"/>
        <v>1.004867550565343</v>
      </c>
      <c r="BI42" s="72">
        <f t="shared" ca="1" si="45"/>
        <v>1.004867550565343</v>
      </c>
      <c r="BJ42" s="72">
        <f t="shared" ca="1" si="45"/>
        <v>1.004867550565343</v>
      </c>
      <c r="BK42" s="72">
        <f t="shared" ca="1" si="45"/>
        <v>1.004867550565343</v>
      </c>
      <c r="BL42" s="72">
        <f t="shared" ca="1" si="45"/>
        <v>1.004867550565343</v>
      </c>
      <c r="BM42" s="72">
        <f t="shared" ca="1" si="46"/>
        <v>6.0000000000000275E-2</v>
      </c>
      <c r="BN42" s="73">
        <f t="shared" ca="1" si="50"/>
        <v>9.7035074878547292</v>
      </c>
    </row>
    <row r="43" spans="2:66">
      <c r="E43">
        <f t="shared" si="31"/>
        <v>40</v>
      </c>
      <c r="F43" s="9">
        <f t="shared" si="32"/>
        <v>72.249999999999815</v>
      </c>
      <c r="G43" s="132">
        <f t="shared" si="0"/>
        <v>0</v>
      </c>
      <c r="H43" s="133">
        <f t="shared" si="41"/>
        <v>1</v>
      </c>
      <c r="I43" s="31">
        <f t="shared" si="14"/>
        <v>2286398.4765856909</v>
      </c>
      <c r="J43" s="31">
        <f t="shared" si="1"/>
        <v>11129.160197304163</v>
      </c>
      <c r="K43" s="163">
        <f t="shared" si="2"/>
        <v>-20</v>
      </c>
      <c r="L43" s="163">
        <f t="shared" si="15"/>
        <v>-1905.3320638214091</v>
      </c>
      <c r="M43" s="163">
        <f t="shared" si="43"/>
        <v>0</v>
      </c>
      <c r="N43" s="163">
        <f t="shared" si="17"/>
        <v>-2172.0785527564067</v>
      </c>
      <c r="O43" s="84">
        <f t="shared" si="3"/>
        <v>-17488.599999999999</v>
      </c>
      <c r="P43" s="31">
        <f t="shared" si="4"/>
        <v>2275941.6261664168</v>
      </c>
      <c r="Q43" s="5"/>
      <c r="R43">
        <f t="shared" ca="1" si="18"/>
        <v>160</v>
      </c>
      <c r="S43" s="133">
        <f t="shared" ca="1" si="19"/>
        <v>82.12</v>
      </c>
      <c r="T43" s="132">
        <f t="shared" ca="1" si="5"/>
        <v>9.3531218751844447E-3</v>
      </c>
      <c r="U43" s="133">
        <f t="shared" ca="1" si="33"/>
        <v>0.72314898789462823</v>
      </c>
      <c r="V43" s="31">
        <f t="shared" ca="1" si="20"/>
        <v>779826.16155037645</v>
      </c>
      <c r="W43" s="31">
        <f t="shared" ca="1" si="6"/>
        <v>3795.8432735238343</v>
      </c>
      <c r="X43" s="163">
        <f t="shared" ca="1" si="34"/>
        <v>-14.462979757892565</v>
      </c>
      <c r="Y43" s="163">
        <f t="shared" ca="1" si="35"/>
        <v>-649.85513462531378</v>
      </c>
      <c r="Z43" s="163">
        <f t="shared" ca="1" si="22"/>
        <v>0</v>
      </c>
      <c r="AA43" s="163">
        <f t="shared" ca="1" si="36"/>
        <v>-740.83485347285784</v>
      </c>
      <c r="AB43" s="84">
        <f t="shared" ca="1" si="7"/>
        <v>-4508.6329110184006</v>
      </c>
      <c r="AC43" s="160">
        <f t="shared" si="8"/>
        <v>0</v>
      </c>
      <c r="AD43" s="31">
        <f t="shared" ca="1" si="9"/>
        <v>777708.2189450257</v>
      </c>
      <c r="AE43" s="5"/>
      <c r="AF43" s="151">
        <f t="shared" ca="1" si="10"/>
        <v>-6234.722009561001</v>
      </c>
      <c r="AG43" s="151">
        <f t="shared" ca="1" si="11"/>
        <v>1075446.7363761938</v>
      </c>
      <c r="AH43" s="5"/>
      <c r="AI43" s="5"/>
      <c r="AJ43" s="5"/>
      <c r="AK43" s="44">
        <v>57</v>
      </c>
      <c r="AL43" s="2">
        <v>1.17E-2</v>
      </c>
      <c r="AM43" s="2">
        <v>1.1350000000000001E-2</v>
      </c>
      <c r="AN43" s="2">
        <f t="shared" si="47"/>
        <v>118</v>
      </c>
      <c r="AO43" s="2">
        <f t="shared" si="48"/>
        <v>0</v>
      </c>
      <c r="AP43" s="45">
        <f t="shared" si="37"/>
        <v>1.7713133024043772E-4</v>
      </c>
      <c r="AQ43" s="46">
        <f t="shared" ca="1" si="49"/>
        <v>1.825436116395457E-5</v>
      </c>
      <c r="AS43" s="55">
        <f t="shared" si="26"/>
        <v>4</v>
      </c>
      <c r="AT43" s="56">
        <f t="shared" si="38"/>
        <v>40</v>
      </c>
      <c r="AU43" s="57">
        <f t="shared" si="39"/>
        <v>0.82268867799250411</v>
      </c>
      <c r="AV43" s="58">
        <f t="shared" si="27"/>
        <v>4.8675505653430484E-3</v>
      </c>
      <c r="AW43" s="59">
        <f t="shared" si="28"/>
        <v>1.004867550565343</v>
      </c>
      <c r="AX43" s="60">
        <f>PRODUCT(AW$4:AW43)</f>
        <v>1.2143751853100193</v>
      </c>
      <c r="AZ43" s="71">
        <f t="shared" si="40"/>
        <v>40</v>
      </c>
      <c r="BA43" s="72">
        <f t="shared" ca="1" si="45"/>
        <v>1.004867550565343</v>
      </c>
      <c r="BB43" s="72">
        <f t="shared" ca="1" si="45"/>
        <v>1.004867550565343</v>
      </c>
      <c r="BC43" s="72">
        <f t="shared" ca="1" si="45"/>
        <v>1.004867550565343</v>
      </c>
      <c r="BD43" s="72">
        <f t="shared" ca="1" si="45"/>
        <v>1.004867550565343</v>
      </c>
      <c r="BE43" s="72">
        <f t="shared" ca="1" si="45"/>
        <v>1.004867550565343</v>
      </c>
      <c r="BF43" s="72">
        <f t="shared" ca="1" si="45"/>
        <v>1.004867550565343</v>
      </c>
      <c r="BG43" s="72">
        <f t="shared" ca="1" si="45"/>
        <v>1.004867550565343</v>
      </c>
      <c r="BH43" s="72">
        <f t="shared" ca="1" si="45"/>
        <v>1.004867550565343</v>
      </c>
      <c r="BI43" s="72">
        <f t="shared" ca="1" si="45"/>
        <v>1.004867550565343</v>
      </c>
      <c r="BJ43" s="72">
        <f t="shared" ca="1" si="45"/>
        <v>1.004867550565343</v>
      </c>
      <c r="BK43" s="72">
        <f t="shared" ca="1" si="45"/>
        <v>1.004867550565343</v>
      </c>
      <c r="BL43" s="72">
        <f t="shared" ca="1" si="45"/>
        <v>1.004867550565343</v>
      </c>
      <c r="BM43" s="72">
        <f t="shared" ca="1" si="46"/>
        <v>6.0000000000000275E-2</v>
      </c>
      <c r="BN43" s="73">
        <f t="shared" ca="1" si="50"/>
        <v>10.285717937126016</v>
      </c>
    </row>
    <row r="44" spans="2:66">
      <c r="E44">
        <f t="shared" si="31"/>
        <v>41</v>
      </c>
      <c r="F44" s="9">
        <f t="shared" si="32"/>
        <v>72.333333333333144</v>
      </c>
      <c r="G44" s="132">
        <f t="shared" si="0"/>
        <v>0</v>
      </c>
      <c r="H44" s="133">
        <f t="shared" si="41"/>
        <v>1</v>
      </c>
      <c r="I44" s="31">
        <f t="shared" si="14"/>
        <v>2275941.6261664168</v>
      </c>
      <c r="J44" s="31">
        <f t="shared" si="1"/>
        <v>11078.260949134119</v>
      </c>
      <c r="K44" s="163">
        <f t="shared" si="2"/>
        <v>-20</v>
      </c>
      <c r="L44" s="163">
        <f t="shared" si="15"/>
        <v>-1896.6180218053476</v>
      </c>
      <c r="M44" s="163">
        <f t="shared" si="43"/>
        <v>0</v>
      </c>
      <c r="N44" s="163">
        <f t="shared" si="17"/>
        <v>-2162.1445448580967</v>
      </c>
      <c r="O44" s="84">
        <f t="shared" si="3"/>
        <v>-17488.599999999999</v>
      </c>
      <c r="P44" s="31">
        <f t="shared" si="4"/>
        <v>2265452.5245488873</v>
      </c>
      <c r="Q44" s="5"/>
      <c r="R44">
        <f t="shared" ca="1" si="18"/>
        <v>161</v>
      </c>
      <c r="S44" s="133">
        <f t="shared" ca="1" si="19"/>
        <v>82.2</v>
      </c>
      <c r="T44" s="132">
        <f t="shared" ca="1" si="5"/>
        <v>9.3531218751844447E-3</v>
      </c>
      <c r="U44" s="133">
        <f t="shared" ca="1" si="33"/>
        <v>0.71638528727693351</v>
      </c>
      <c r="V44" s="31">
        <f t="shared" ca="1" si="20"/>
        <v>770434.21918990021</v>
      </c>
      <c r="W44" s="31">
        <f t="shared" ca="1" si="6"/>
        <v>3750.1275191774289</v>
      </c>
      <c r="X44" s="163">
        <f t="shared" ca="1" si="34"/>
        <v>-14.327705745538671</v>
      </c>
      <c r="Y44" s="163">
        <f t="shared" ca="1" si="35"/>
        <v>-642.0285159915835</v>
      </c>
      <c r="Z44" s="163">
        <f t="shared" ca="1" si="22"/>
        <v>0</v>
      </c>
      <c r="AA44" s="163">
        <f t="shared" ca="1" si="36"/>
        <v>-731.91250823040536</v>
      </c>
      <c r="AB44" s="84">
        <f t="shared" ca="1" si="7"/>
        <v>-4466.4631179111784</v>
      </c>
      <c r="AC44" s="160">
        <f t="shared" si="8"/>
        <v>0</v>
      </c>
      <c r="AD44" s="31">
        <f t="shared" ca="1" si="9"/>
        <v>768329.61486119882</v>
      </c>
      <c r="AE44" s="5"/>
      <c r="AF44" s="151">
        <f t="shared" ca="1" si="10"/>
        <v>-6234.7220095610019</v>
      </c>
      <c r="AG44" s="151">
        <f t="shared" ca="1" si="11"/>
        <v>1072508.9257230728</v>
      </c>
      <c r="AH44" s="5"/>
      <c r="AI44" s="5"/>
      <c r="AJ44" s="5"/>
      <c r="AK44" s="44">
        <v>58</v>
      </c>
      <c r="AL44" s="2">
        <v>1.2800000000000001E-2</v>
      </c>
      <c r="AM44" s="2">
        <v>1.2460000000000001E-2</v>
      </c>
      <c r="AN44" s="2">
        <f t="shared" si="47"/>
        <v>119</v>
      </c>
      <c r="AO44" s="2">
        <f t="shared" si="48"/>
        <v>0</v>
      </c>
      <c r="AP44" s="45">
        <f t="shared" si="37"/>
        <v>1.7713133024043772E-4</v>
      </c>
      <c r="AQ44" s="46">
        <f t="shared" ca="1" si="49"/>
        <v>1.7221095437692983E-5</v>
      </c>
      <c r="AS44" s="55">
        <f t="shared" si="26"/>
        <v>4</v>
      </c>
      <c r="AT44" s="56">
        <f t="shared" si="38"/>
        <v>41</v>
      </c>
      <c r="AU44" s="57">
        <f t="shared" si="39"/>
        <v>0.81868419925284042</v>
      </c>
      <c r="AV44" s="58">
        <f t="shared" si="27"/>
        <v>4.8675505653430484E-3</v>
      </c>
      <c r="AW44" s="59">
        <f t="shared" si="28"/>
        <v>1.004867550565343</v>
      </c>
      <c r="AX44" s="60">
        <f>PRODUCT(AW$4:AW44)</f>
        <v>1.2202862179298137</v>
      </c>
      <c r="AZ44" s="71">
        <f t="shared" si="40"/>
        <v>41</v>
      </c>
      <c r="BA44" s="72">
        <f t="shared" ca="1" si="45"/>
        <v>1.004867550565343</v>
      </c>
      <c r="BB44" s="72">
        <f t="shared" ca="1" si="45"/>
        <v>1.004867550565343</v>
      </c>
      <c r="BC44" s="72">
        <f t="shared" ca="1" si="45"/>
        <v>1.004867550565343</v>
      </c>
      <c r="BD44" s="72">
        <f t="shared" ca="1" si="45"/>
        <v>1.004867550565343</v>
      </c>
      <c r="BE44" s="72">
        <f t="shared" ca="1" si="45"/>
        <v>1.004867550565343</v>
      </c>
      <c r="BF44" s="72">
        <f t="shared" ca="1" si="45"/>
        <v>1.004867550565343</v>
      </c>
      <c r="BG44" s="72">
        <f t="shared" ca="1" si="45"/>
        <v>1.004867550565343</v>
      </c>
      <c r="BH44" s="72">
        <f t="shared" ca="1" si="45"/>
        <v>1.004867550565343</v>
      </c>
      <c r="BI44" s="72">
        <f t="shared" ca="1" si="45"/>
        <v>1.004867550565343</v>
      </c>
      <c r="BJ44" s="72">
        <f t="shared" ca="1" si="45"/>
        <v>1.004867550565343</v>
      </c>
      <c r="BK44" s="72">
        <f t="shared" ca="1" si="45"/>
        <v>1.004867550565343</v>
      </c>
      <c r="BL44" s="72">
        <f t="shared" ca="1" si="45"/>
        <v>1.004867550565343</v>
      </c>
      <c r="BM44" s="72">
        <f t="shared" ca="1" si="46"/>
        <v>6.0000000000000275E-2</v>
      </c>
      <c r="BN44" s="73">
        <f t="shared" ca="1" si="50"/>
        <v>10.902861013353579</v>
      </c>
    </row>
    <row r="45" spans="2:66">
      <c r="E45">
        <f t="shared" si="31"/>
        <v>42</v>
      </c>
      <c r="F45" s="9">
        <f t="shared" si="32"/>
        <v>72.416666666666472</v>
      </c>
      <c r="G45" s="132">
        <f t="shared" si="0"/>
        <v>0</v>
      </c>
      <c r="H45" s="133">
        <f t="shared" si="41"/>
        <v>1</v>
      </c>
      <c r="I45" s="31">
        <f t="shared" si="14"/>
        <v>2265452.5245488873</v>
      </c>
      <c r="J45" s="31">
        <f t="shared" si="1"/>
        <v>11027.204716625773</v>
      </c>
      <c r="K45" s="163">
        <f t="shared" si="2"/>
        <v>-20</v>
      </c>
      <c r="L45" s="163">
        <f t="shared" si="15"/>
        <v>-1887.8771037907395</v>
      </c>
      <c r="M45" s="163">
        <f t="shared" si="43"/>
        <v>0</v>
      </c>
      <c r="N45" s="163">
        <f t="shared" si="17"/>
        <v>-2152.1798983214435</v>
      </c>
      <c r="O45" s="84">
        <f t="shared" si="3"/>
        <v>-17488.599999999999</v>
      </c>
      <c r="P45" s="31">
        <f t="shared" si="4"/>
        <v>2254931.0722634005</v>
      </c>
      <c r="Q45" s="5"/>
      <c r="R45">
        <f t="shared" ca="1" si="18"/>
        <v>162</v>
      </c>
      <c r="S45" s="133">
        <f t="shared" ca="1" si="19"/>
        <v>82.28</v>
      </c>
      <c r="T45" s="132">
        <f t="shared" ca="1" si="5"/>
        <v>9.3531218751844447E-3</v>
      </c>
      <c r="U45" s="133">
        <f t="shared" ca="1" si="33"/>
        <v>0.70968484837544332</v>
      </c>
      <c r="V45" s="31">
        <f t="shared" ca="1" si="20"/>
        <v>761143.33433308848</v>
      </c>
      <c r="W45" s="31">
        <f t="shared" ca="1" si="6"/>
        <v>3704.9036673401179</v>
      </c>
      <c r="X45" s="163">
        <f t="shared" ca="1" si="34"/>
        <v>-14.193696967508867</v>
      </c>
      <c r="Y45" s="163">
        <f t="shared" ca="1" si="35"/>
        <v>-634.28611194424047</v>
      </c>
      <c r="Z45" s="163">
        <f t="shared" ca="1" si="22"/>
        <v>0</v>
      </c>
      <c r="AA45" s="163">
        <f t="shared" ca="1" si="36"/>
        <v>-723.08616761643418</v>
      </c>
      <c r="AB45" s="84">
        <f t="shared" ca="1" si="7"/>
        <v>-4424.6877440183389</v>
      </c>
      <c r="AC45" s="160">
        <f t="shared" si="8"/>
        <v>0</v>
      </c>
      <c r="AD45" s="31">
        <f t="shared" ca="1" si="9"/>
        <v>759051.98427988205</v>
      </c>
      <c r="AE45" s="5"/>
      <c r="AF45" s="151">
        <f t="shared" ca="1" si="10"/>
        <v>-6234.7220095610019</v>
      </c>
      <c r="AG45" s="151">
        <f t="shared" ca="1" si="11"/>
        <v>1069562.0542237111</v>
      </c>
      <c r="AH45" s="5"/>
      <c r="AI45" s="5"/>
      <c r="AJ45" s="5"/>
      <c r="AK45" s="44">
        <v>59</v>
      </c>
      <c r="AL45" s="2">
        <v>1.401E-2</v>
      </c>
      <c r="AM45" s="2">
        <v>1.3690000000000001E-2</v>
      </c>
      <c r="AN45" s="2">
        <f t="shared" si="47"/>
        <v>120</v>
      </c>
      <c r="AO45" s="2">
        <f t="shared" si="48"/>
        <v>0</v>
      </c>
      <c r="AP45" s="45">
        <f t="shared" si="37"/>
        <v>1.7713133024043772E-4</v>
      </c>
      <c r="AQ45" s="46">
        <f t="shared" ca="1" si="49"/>
        <v>1.6246316450653754E-5</v>
      </c>
      <c r="AS45" s="55">
        <f t="shared" si="26"/>
        <v>4</v>
      </c>
      <c r="AT45" s="56">
        <f t="shared" si="38"/>
        <v>42</v>
      </c>
      <c r="AU45" s="57">
        <f t="shared" si="39"/>
        <v>0.8146992125159298</v>
      </c>
      <c r="AV45" s="58">
        <f t="shared" si="27"/>
        <v>4.8675505653430484E-3</v>
      </c>
      <c r="AW45" s="59">
        <f t="shared" si="28"/>
        <v>1.004867550565343</v>
      </c>
      <c r="AX45" s="60">
        <f>PRODUCT(AW$4:AW45)</f>
        <v>1.2262260227997783</v>
      </c>
      <c r="AZ45" s="71">
        <f t="shared" si="40"/>
        <v>42</v>
      </c>
      <c r="BA45" s="72">
        <f t="shared" ref="BA45:BL54" ca="1" si="51">OFFSET($AW$3,($AZ45*12-12)+BA$3,0)</f>
        <v>1.004867550565343</v>
      </c>
      <c r="BB45" s="72">
        <f t="shared" ca="1" si="51"/>
        <v>1.004867550565343</v>
      </c>
      <c r="BC45" s="72">
        <f t="shared" ca="1" si="51"/>
        <v>1.004867550565343</v>
      </c>
      <c r="BD45" s="72">
        <f t="shared" ca="1" si="51"/>
        <v>1.004867550565343</v>
      </c>
      <c r="BE45" s="72">
        <f t="shared" ca="1" si="51"/>
        <v>1.004867550565343</v>
      </c>
      <c r="BF45" s="72">
        <f t="shared" ca="1" si="51"/>
        <v>1.004867550565343</v>
      </c>
      <c r="BG45" s="72">
        <f t="shared" ca="1" si="51"/>
        <v>1.004867550565343</v>
      </c>
      <c r="BH45" s="72">
        <f t="shared" ca="1" si="51"/>
        <v>1.004867550565343</v>
      </c>
      <c r="BI45" s="72">
        <f t="shared" ca="1" si="51"/>
        <v>1.004867550565343</v>
      </c>
      <c r="BJ45" s="72">
        <f t="shared" ca="1" si="51"/>
        <v>1.004867550565343</v>
      </c>
      <c r="BK45" s="72">
        <f t="shared" ca="1" si="51"/>
        <v>1.004867550565343</v>
      </c>
      <c r="BL45" s="72">
        <f t="shared" ca="1" si="51"/>
        <v>1.004867550565343</v>
      </c>
      <c r="BM45" s="72">
        <f t="shared" ca="1" si="46"/>
        <v>6.0000000000000275E-2</v>
      </c>
      <c r="BN45" s="73">
        <f t="shared" ca="1" si="50"/>
        <v>11.557032674154797</v>
      </c>
    </row>
    <row r="46" spans="2:66">
      <c r="E46">
        <f t="shared" si="31"/>
        <v>43</v>
      </c>
      <c r="F46" s="9">
        <f t="shared" si="32"/>
        <v>72.499999999999801</v>
      </c>
      <c r="G46" s="132">
        <f t="shared" si="0"/>
        <v>0</v>
      </c>
      <c r="H46" s="133">
        <f t="shared" si="41"/>
        <v>1</v>
      </c>
      <c r="I46" s="31">
        <f t="shared" si="14"/>
        <v>2254931.0722634005</v>
      </c>
      <c r="J46" s="31">
        <f t="shared" si="1"/>
        <v>10975.991015605321</v>
      </c>
      <c r="K46" s="163">
        <f t="shared" si="2"/>
        <v>-20</v>
      </c>
      <c r="L46" s="163">
        <f t="shared" si="15"/>
        <v>-1879.1092268861673</v>
      </c>
      <c r="M46" s="163">
        <f t="shared" si="43"/>
        <v>0</v>
      </c>
      <c r="N46" s="163">
        <f t="shared" si="17"/>
        <v>-2142.184518650231</v>
      </c>
      <c r="O46" s="84">
        <f t="shared" si="3"/>
        <v>-17488.599999999999</v>
      </c>
      <c r="P46" s="31">
        <f t="shared" si="4"/>
        <v>2244377.1695334692</v>
      </c>
      <c r="Q46" s="5"/>
      <c r="R46">
        <f t="shared" ca="1" si="18"/>
        <v>163</v>
      </c>
      <c r="S46" s="133">
        <f t="shared" ca="1" si="19"/>
        <v>82.36</v>
      </c>
      <c r="T46" s="132">
        <f t="shared" ca="1" si="5"/>
        <v>9.3531218751844447E-3</v>
      </c>
      <c r="U46" s="133">
        <f t="shared" ca="1" si="33"/>
        <v>0.70304707949561596</v>
      </c>
      <c r="V46" s="31">
        <f t="shared" ca="1" si="20"/>
        <v>751952.47856131173</v>
      </c>
      <c r="W46" s="31">
        <f t="shared" ca="1" si="6"/>
        <v>3660.1667121322193</v>
      </c>
      <c r="X46" s="163">
        <f t="shared" ca="1" si="34"/>
        <v>-14.06094158991232</v>
      </c>
      <c r="Y46" s="163">
        <f t="shared" ca="1" si="35"/>
        <v>-626.62706546775985</v>
      </c>
      <c r="Z46" s="163">
        <f t="shared" ca="1" si="22"/>
        <v>0</v>
      </c>
      <c r="AA46" s="163">
        <f t="shared" ca="1" si="36"/>
        <v>-714.3548546332463</v>
      </c>
      <c r="AB46" s="84">
        <f t="shared" ca="1" si="7"/>
        <v>-4383.3031002889002</v>
      </c>
      <c r="AC46" s="160">
        <f t="shared" si="8"/>
        <v>0</v>
      </c>
      <c r="AD46" s="31">
        <f t="shared" ca="1" si="9"/>
        <v>749874.29931146419</v>
      </c>
      <c r="AE46" s="5"/>
      <c r="AF46" s="151">
        <f t="shared" ca="1" si="10"/>
        <v>-6234.7220095610019</v>
      </c>
      <c r="AG46" s="151">
        <f t="shared" ca="1" si="11"/>
        <v>1066606.0939324906</v>
      </c>
      <c r="AH46" s="5"/>
      <c r="AI46" s="5"/>
      <c r="AJ46" s="5"/>
      <c r="AK46" s="44">
        <v>60</v>
      </c>
      <c r="AL46" s="2">
        <v>1.536E-2</v>
      </c>
      <c r="AM46" s="2">
        <v>1.5049999999999999E-2</v>
      </c>
      <c r="AN46" s="2">
        <f t="shared" si="47"/>
        <v>121</v>
      </c>
      <c r="AO46" s="2">
        <f t="shared" si="48"/>
        <v>0</v>
      </c>
      <c r="AP46" s="45">
        <f t="shared" si="37"/>
        <v>1.7713133024043772E-4</v>
      </c>
      <c r="AQ46" s="46">
        <f t="shared" ca="1" si="49"/>
        <v>1.5326713632692218E-5</v>
      </c>
      <c r="AS46" s="55">
        <f t="shared" si="26"/>
        <v>4</v>
      </c>
      <c r="AT46" s="56">
        <f t="shared" si="38"/>
        <v>43</v>
      </c>
      <c r="AU46" s="57">
        <f t="shared" si="39"/>
        <v>0.8107336229034634</v>
      </c>
      <c r="AV46" s="58">
        <f t="shared" si="27"/>
        <v>4.8675505653430484E-3</v>
      </c>
      <c r="AW46" s="59">
        <f t="shared" si="28"/>
        <v>1.004867550565343</v>
      </c>
      <c r="AX46" s="60">
        <f>PRODUCT(AW$4:AW46)</f>
        <v>1.2321947399702957</v>
      </c>
      <c r="AZ46" s="71">
        <f t="shared" si="40"/>
        <v>43</v>
      </c>
      <c r="BA46" s="72">
        <f t="shared" ca="1" si="51"/>
        <v>1.004867550565343</v>
      </c>
      <c r="BB46" s="72">
        <f t="shared" ca="1" si="51"/>
        <v>1.004867550565343</v>
      </c>
      <c r="BC46" s="72">
        <f t="shared" ca="1" si="51"/>
        <v>1.004867550565343</v>
      </c>
      <c r="BD46" s="72">
        <f t="shared" ca="1" si="51"/>
        <v>1.004867550565343</v>
      </c>
      <c r="BE46" s="72">
        <f t="shared" ca="1" si="51"/>
        <v>1.004867550565343</v>
      </c>
      <c r="BF46" s="72">
        <f t="shared" ca="1" si="51"/>
        <v>1.004867550565343</v>
      </c>
      <c r="BG46" s="72">
        <f t="shared" ca="1" si="51"/>
        <v>1.004867550565343</v>
      </c>
      <c r="BH46" s="72">
        <f t="shared" ca="1" si="51"/>
        <v>1.004867550565343</v>
      </c>
      <c r="BI46" s="72">
        <f t="shared" ca="1" si="51"/>
        <v>1.004867550565343</v>
      </c>
      <c r="BJ46" s="72">
        <f t="shared" ca="1" si="51"/>
        <v>1.004867550565343</v>
      </c>
      <c r="BK46" s="72">
        <f t="shared" ca="1" si="51"/>
        <v>1.004867550565343</v>
      </c>
      <c r="BL46" s="72">
        <f t="shared" ca="1" si="51"/>
        <v>1.004867550565343</v>
      </c>
      <c r="BM46" s="72">
        <f t="shared" ca="1" si="46"/>
        <v>6.0000000000000275E-2</v>
      </c>
      <c r="BN46" s="73">
        <f t="shared" ca="1" si="50"/>
        <v>12.250454634604088</v>
      </c>
    </row>
    <row r="47" spans="2:66">
      <c r="E47">
        <f t="shared" si="31"/>
        <v>44</v>
      </c>
      <c r="F47" s="9">
        <f t="shared" si="32"/>
        <v>72.58333333333313</v>
      </c>
      <c r="G47" s="132">
        <f t="shared" si="0"/>
        <v>0</v>
      </c>
      <c r="H47" s="133">
        <f t="shared" si="41"/>
        <v>1</v>
      </c>
      <c r="I47" s="31">
        <f t="shared" si="14"/>
        <v>2244377.1695334692</v>
      </c>
      <c r="J47" s="31">
        <f t="shared" si="1"/>
        <v>10924.61936040567</v>
      </c>
      <c r="K47" s="163">
        <f t="shared" si="2"/>
        <v>-20</v>
      </c>
      <c r="L47" s="163">
        <f t="shared" si="15"/>
        <v>-1870.3143079445579</v>
      </c>
      <c r="M47" s="163">
        <f t="shared" si="43"/>
        <v>0</v>
      </c>
      <c r="N47" s="163">
        <f t="shared" si="17"/>
        <v>-2132.1583110567963</v>
      </c>
      <c r="O47" s="84">
        <f t="shared" si="3"/>
        <v>-17488.599999999999</v>
      </c>
      <c r="P47" s="31">
        <f t="shared" si="4"/>
        <v>2233790.7162748734</v>
      </c>
      <c r="Q47" s="5"/>
      <c r="R47">
        <f t="shared" ca="1" si="18"/>
        <v>164</v>
      </c>
      <c r="S47" s="133">
        <f t="shared" ca="1" si="19"/>
        <v>82.44</v>
      </c>
      <c r="T47" s="132">
        <f t="shared" ca="1" si="5"/>
        <v>9.3531218751844447E-3</v>
      </c>
      <c r="U47" s="133">
        <f t="shared" ca="1" si="33"/>
        <v>0.69647139447710094</v>
      </c>
      <c r="V47" s="31">
        <f t="shared" ca="1" si="20"/>
        <v>742860.63359893556</v>
      </c>
      <c r="W47" s="31">
        <f t="shared" ca="1" si="6"/>
        <v>3615.9116970455939</v>
      </c>
      <c r="X47" s="163">
        <f t="shared" ca="1" si="34"/>
        <v>-13.929427889542019</v>
      </c>
      <c r="Y47" s="163">
        <f t="shared" ca="1" si="35"/>
        <v>-619.050527999113</v>
      </c>
      <c r="Z47" s="163">
        <f t="shared" ca="1" si="22"/>
        <v>0</v>
      </c>
      <c r="AA47" s="163">
        <f t="shared" ca="1" si="36"/>
        <v>-705.71760191898886</v>
      </c>
      <c r="AB47" s="84">
        <f t="shared" ca="1" si="7"/>
        <v>-4342.3055321760239</v>
      </c>
      <c r="AC47" s="160">
        <f t="shared" si="8"/>
        <v>0</v>
      </c>
      <c r="AD47" s="31">
        <f t="shared" ca="1" si="9"/>
        <v>740795.54220599751</v>
      </c>
      <c r="AE47" s="5"/>
      <c r="AF47" s="151">
        <f t="shared" ca="1" si="10"/>
        <v>-6234.7220095610019</v>
      </c>
      <c r="AG47" s="151">
        <f t="shared" ca="1" si="11"/>
        <v>1063641.016817603</v>
      </c>
      <c r="AH47" s="5"/>
      <c r="AI47" s="5"/>
      <c r="AJ47" s="5"/>
      <c r="AK47" s="44">
        <v>61</v>
      </c>
      <c r="AL47" s="2">
        <v>1.6840000000000001E-2</v>
      </c>
      <c r="AM47" s="2">
        <v>1.6549999999999999E-2</v>
      </c>
      <c r="AN47" s="2">
        <f t="shared" si="47"/>
        <v>122</v>
      </c>
      <c r="AO47" s="2">
        <f t="shared" si="48"/>
        <v>0</v>
      </c>
      <c r="AP47" s="45">
        <f t="shared" si="37"/>
        <v>1.7713133024043772E-4</v>
      </c>
      <c r="AQ47" s="46">
        <f t="shared" ca="1" si="49"/>
        <v>1.4459163804426617E-5</v>
      </c>
      <c r="AS47" s="55">
        <f t="shared" si="26"/>
        <v>4</v>
      </c>
      <c r="AT47" s="56">
        <f t="shared" si="38"/>
        <v>44</v>
      </c>
      <c r="AU47" s="57">
        <f t="shared" si="39"/>
        <v>0.80678733599895702</v>
      </c>
      <c r="AV47" s="58">
        <f t="shared" si="27"/>
        <v>4.8675505653430484E-3</v>
      </c>
      <c r="AW47" s="59">
        <f t="shared" si="28"/>
        <v>1.004867550565343</v>
      </c>
      <c r="AX47" s="60">
        <f>PRODUCT(AW$4:AW47)</f>
        <v>1.2381925101734508</v>
      </c>
      <c r="AZ47" s="71">
        <f t="shared" si="40"/>
        <v>44</v>
      </c>
      <c r="BA47" s="72">
        <f t="shared" ca="1" si="51"/>
        <v>1.004867550565343</v>
      </c>
      <c r="BB47" s="72">
        <f t="shared" ca="1" si="51"/>
        <v>1.004867550565343</v>
      </c>
      <c r="BC47" s="72">
        <f t="shared" ca="1" si="51"/>
        <v>1.004867550565343</v>
      </c>
      <c r="BD47" s="72">
        <f t="shared" ca="1" si="51"/>
        <v>1.004867550565343</v>
      </c>
      <c r="BE47" s="72">
        <f t="shared" ca="1" si="51"/>
        <v>1.004867550565343</v>
      </c>
      <c r="BF47" s="72">
        <f t="shared" ca="1" si="51"/>
        <v>1.004867550565343</v>
      </c>
      <c r="BG47" s="72">
        <f t="shared" ca="1" si="51"/>
        <v>1.004867550565343</v>
      </c>
      <c r="BH47" s="72">
        <f t="shared" ca="1" si="51"/>
        <v>1.004867550565343</v>
      </c>
      <c r="BI47" s="72">
        <f t="shared" ca="1" si="51"/>
        <v>1.004867550565343</v>
      </c>
      <c r="BJ47" s="72">
        <f t="shared" ca="1" si="51"/>
        <v>1.004867550565343</v>
      </c>
      <c r="BK47" s="72">
        <f t="shared" ca="1" si="51"/>
        <v>1.004867550565343</v>
      </c>
      <c r="BL47" s="72">
        <f t="shared" ca="1" si="51"/>
        <v>1.004867550565343</v>
      </c>
      <c r="BM47" s="72">
        <f t="shared" ca="1" si="46"/>
        <v>6.0000000000000275E-2</v>
      </c>
      <c r="BN47" s="73">
        <f t="shared" ca="1" si="50"/>
        <v>12.985481912680337</v>
      </c>
    </row>
    <row r="48" spans="2:66">
      <c r="E48">
        <f t="shared" si="31"/>
        <v>45</v>
      </c>
      <c r="F48" s="9">
        <f t="shared" si="32"/>
        <v>72.666666666666458</v>
      </c>
      <c r="G48" s="132">
        <f t="shared" si="0"/>
        <v>0</v>
      </c>
      <c r="H48" s="133">
        <f t="shared" si="41"/>
        <v>1</v>
      </c>
      <c r="I48" s="31">
        <f t="shared" si="14"/>
        <v>2233790.7162748734</v>
      </c>
      <c r="J48" s="31">
        <f t="shared" si="1"/>
        <v>10873.089263861813</v>
      </c>
      <c r="K48" s="163">
        <f t="shared" si="2"/>
        <v>-20</v>
      </c>
      <c r="L48" s="163">
        <f t="shared" si="15"/>
        <v>-1861.4922635623946</v>
      </c>
      <c r="M48" s="163">
        <f t="shared" si="43"/>
        <v>0</v>
      </c>
      <c r="N48" s="163">
        <f t="shared" si="17"/>
        <v>-2122.1011804611303</v>
      </c>
      <c r="O48" s="84">
        <f t="shared" si="3"/>
        <v>-17488.599999999999</v>
      </c>
      <c r="P48" s="31">
        <f t="shared" si="4"/>
        <v>2223171.6120947115</v>
      </c>
      <c r="Q48" s="5"/>
      <c r="R48">
        <f t="shared" ca="1" si="18"/>
        <v>165</v>
      </c>
      <c r="S48" s="133">
        <f t="shared" ca="1" si="19"/>
        <v>82.52</v>
      </c>
      <c r="T48" s="132">
        <f t="shared" ca="1" si="5"/>
        <v>1.0234375850733946E-2</v>
      </c>
      <c r="U48" s="133">
        <f t="shared" ca="1" si="33"/>
        <v>0.68934344445673745</v>
      </c>
      <c r="V48" s="31">
        <f t="shared" ca="1" si="20"/>
        <v>733213.96219851309</v>
      </c>
      <c r="W48" s="31">
        <f t="shared" ca="1" si="6"/>
        <v>3568.956036216789</v>
      </c>
      <c r="X48" s="163">
        <f t="shared" ca="1" si="34"/>
        <v>-13.786868889134748</v>
      </c>
      <c r="Y48" s="163">
        <f t="shared" ca="1" si="35"/>
        <v>-611.01163516542761</v>
      </c>
      <c r="Z48" s="163">
        <f t="shared" ca="1" si="22"/>
        <v>0</v>
      </c>
      <c r="AA48" s="163">
        <f t="shared" ca="1" si="36"/>
        <v>-696.55326408858764</v>
      </c>
      <c r="AB48" s="84">
        <f t="shared" ca="1" si="7"/>
        <v>-4297.8647453010126</v>
      </c>
      <c r="AC48" s="160">
        <f t="shared" si="8"/>
        <v>0</v>
      </c>
      <c r="AD48" s="31">
        <f t="shared" ca="1" si="9"/>
        <v>731163.70172128582</v>
      </c>
      <c r="AE48" s="5"/>
      <c r="AF48" s="151">
        <f t="shared" ca="1" si="10"/>
        <v>-6234.722009561001</v>
      </c>
      <c r="AG48" s="151">
        <f t="shared" ca="1" si="11"/>
        <v>1060666.7947607834</v>
      </c>
      <c r="AH48" s="5"/>
      <c r="AI48" s="5"/>
      <c r="AJ48" s="5"/>
      <c r="AK48" s="44">
        <v>62</v>
      </c>
      <c r="AL48" s="2">
        <v>1.847E-2</v>
      </c>
      <c r="AM48" s="2">
        <v>1.821E-2</v>
      </c>
      <c r="AN48" s="2">
        <f t="shared" si="47"/>
        <v>123</v>
      </c>
      <c r="AO48" s="2">
        <f t="shared" si="48"/>
        <v>0</v>
      </c>
      <c r="AP48" s="45">
        <f t="shared" si="37"/>
        <v>1.7713133024043772E-4</v>
      </c>
      <c r="AQ48" s="46">
        <f t="shared" ca="1" si="49"/>
        <v>1.3640720570213786E-5</v>
      </c>
      <c r="AS48" s="55">
        <f t="shared" si="26"/>
        <v>4</v>
      </c>
      <c r="AT48" s="56">
        <f t="shared" si="38"/>
        <v>45</v>
      </c>
      <c r="AU48" s="57">
        <f t="shared" si="39"/>
        <v>0.80286025784550363</v>
      </c>
      <c r="AV48" s="58">
        <f t="shared" si="27"/>
        <v>4.8675505653430484E-3</v>
      </c>
      <c r="AW48" s="59">
        <f t="shared" si="28"/>
        <v>1.004867550565343</v>
      </c>
      <c r="AX48" s="60">
        <f>PRODUCT(AW$4:AW48)</f>
        <v>1.2442194748263491</v>
      </c>
      <c r="AZ48" s="71">
        <f t="shared" si="40"/>
        <v>45</v>
      </c>
      <c r="BA48" s="72">
        <f t="shared" ca="1" si="51"/>
        <v>1.004867550565343</v>
      </c>
      <c r="BB48" s="72">
        <f t="shared" ca="1" si="51"/>
        <v>1.004867550565343</v>
      </c>
      <c r="BC48" s="72">
        <f t="shared" ca="1" si="51"/>
        <v>1.004867550565343</v>
      </c>
      <c r="BD48" s="72">
        <f t="shared" ca="1" si="51"/>
        <v>1.004867550565343</v>
      </c>
      <c r="BE48" s="72">
        <f t="shared" ca="1" si="51"/>
        <v>1.004867550565343</v>
      </c>
      <c r="BF48" s="72">
        <f t="shared" ca="1" si="51"/>
        <v>1.004867550565343</v>
      </c>
      <c r="BG48" s="72">
        <f t="shared" ca="1" si="51"/>
        <v>1.004867550565343</v>
      </c>
      <c r="BH48" s="72">
        <f t="shared" ca="1" si="51"/>
        <v>1.004867550565343</v>
      </c>
      <c r="BI48" s="72">
        <f t="shared" ca="1" si="51"/>
        <v>1.004867550565343</v>
      </c>
      <c r="BJ48" s="72">
        <f t="shared" ca="1" si="51"/>
        <v>1.004867550565343</v>
      </c>
      <c r="BK48" s="72">
        <f t="shared" ca="1" si="51"/>
        <v>1.004867550565343</v>
      </c>
      <c r="BL48" s="72">
        <f t="shared" ca="1" si="51"/>
        <v>1.004867550565343</v>
      </c>
      <c r="BM48" s="72">
        <f t="shared" ca="1" si="46"/>
        <v>6.0000000000000275E-2</v>
      </c>
      <c r="BN48" s="73">
        <f t="shared" ca="1" si="50"/>
        <v>13.76461082744116</v>
      </c>
    </row>
    <row r="49" spans="5:66">
      <c r="E49">
        <f t="shared" si="31"/>
        <v>46</v>
      </c>
      <c r="F49" s="9">
        <f t="shared" si="32"/>
        <v>72.749999999999787</v>
      </c>
      <c r="G49" s="132">
        <f t="shared" si="0"/>
        <v>0</v>
      </c>
      <c r="H49" s="133">
        <f t="shared" si="41"/>
        <v>1</v>
      </c>
      <c r="I49" s="31">
        <f t="shared" si="14"/>
        <v>2223171.6120947115</v>
      </c>
      <c r="J49" s="31">
        <f t="shared" si="1"/>
        <v>10821.400237306229</v>
      </c>
      <c r="K49" s="163">
        <f t="shared" si="2"/>
        <v>-20</v>
      </c>
      <c r="L49" s="163">
        <f t="shared" si="15"/>
        <v>-1852.6430100789264</v>
      </c>
      <c r="M49" s="163">
        <f t="shared" si="43"/>
        <v>0</v>
      </c>
      <c r="N49" s="163">
        <f t="shared" si="17"/>
        <v>-2112.0130314899766</v>
      </c>
      <c r="O49" s="84">
        <f t="shared" si="3"/>
        <v>-17488.599999999999</v>
      </c>
      <c r="P49" s="31">
        <f t="shared" si="4"/>
        <v>2212519.7562904484</v>
      </c>
      <c r="Q49" s="5"/>
      <c r="R49">
        <f t="shared" ca="1" si="18"/>
        <v>166</v>
      </c>
      <c r="S49" s="133">
        <f t="shared" ca="1" si="19"/>
        <v>82.6</v>
      </c>
      <c r="T49" s="132">
        <f t="shared" ca="1" si="5"/>
        <v>1.0234375850733946E-2</v>
      </c>
      <c r="U49" s="133">
        <f t="shared" ca="1" si="33"/>
        <v>0.68228844455592763</v>
      </c>
      <c r="V49" s="31">
        <f t="shared" ca="1" si="20"/>
        <v>723680.69758945622</v>
      </c>
      <c r="W49" s="31">
        <f t="shared" ca="1" si="6"/>
        <v>3522.5523886794094</v>
      </c>
      <c r="X49" s="163">
        <f t="shared" ca="1" si="34"/>
        <v>-13.645768891118554</v>
      </c>
      <c r="Y49" s="163">
        <f t="shared" ca="1" si="35"/>
        <v>-603.06724799121355</v>
      </c>
      <c r="Z49" s="163">
        <f t="shared" ca="1" si="22"/>
        <v>0</v>
      </c>
      <c r="AA49" s="163">
        <f t="shared" ca="1" si="36"/>
        <v>-687.49666270998353</v>
      </c>
      <c r="AB49" s="84">
        <f t="shared" ca="1" si="7"/>
        <v>-4253.8787821419837</v>
      </c>
      <c r="AC49" s="160">
        <f t="shared" si="8"/>
        <v>0</v>
      </c>
      <c r="AD49" s="31">
        <f t="shared" ca="1" si="9"/>
        <v>721645.16151640133</v>
      </c>
      <c r="AE49" s="5"/>
      <c r="AF49" s="151">
        <f t="shared" ca="1" si="10"/>
        <v>-6234.7220095610028</v>
      </c>
      <c r="AG49" s="151">
        <f t="shared" ca="1" si="11"/>
        <v>1057683.399557044</v>
      </c>
      <c r="AH49" s="5"/>
      <c r="AI49" s="5"/>
      <c r="AJ49" s="5"/>
      <c r="AK49" s="44">
        <v>63</v>
      </c>
      <c r="AL49" s="2">
        <v>2.027E-2</v>
      </c>
      <c r="AM49" s="2">
        <v>2.0029999999999999E-2</v>
      </c>
      <c r="AN49" s="2">
        <f t="shared" si="47"/>
        <v>124</v>
      </c>
      <c r="AO49" s="2">
        <f t="shared" si="48"/>
        <v>0</v>
      </c>
      <c r="AP49" s="45">
        <f t="shared" si="37"/>
        <v>1.7713133024043772E-4</v>
      </c>
      <c r="AQ49" s="46">
        <f t="shared" ca="1" si="49"/>
        <v>1.2868604311522436E-5</v>
      </c>
      <c r="AS49" s="55">
        <f t="shared" si="26"/>
        <v>4</v>
      </c>
      <c r="AT49" s="56">
        <f t="shared" si="38"/>
        <v>46</v>
      </c>
      <c r="AU49" s="57">
        <f t="shared" si="39"/>
        <v>0.79895229494353626</v>
      </c>
      <c r="AV49" s="58">
        <f t="shared" si="27"/>
        <v>4.8675505653430484E-3</v>
      </c>
      <c r="AW49" s="59">
        <f t="shared" si="28"/>
        <v>1.004867550565343</v>
      </c>
      <c r="AX49" s="60">
        <f>PRODUCT(AW$4:AW49)</f>
        <v>1.2502757760344509</v>
      </c>
      <c r="AZ49" s="71">
        <f t="shared" si="40"/>
        <v>46</v>
      </c>
      <c r="BA49" s="72">
        <f t="shared" ca="1" si="51"/>
        <v>1.004867550565343</v>
      </c>
      <c r="BB49" s="72">
        <f t="shared" ca="1" si="51"/>
        <v>1.004867550565343</v>
      </c>
      <c r="BC49" s="72">
        <f t="shared" ca="1" si="51"/>
        <v>1.004867550565343</v>
      </c>
      <c r="BD49" s="72">
        <f t="shared" ca="1" si="51"/>
        <v>1.004867550565343</v>
      </c>
      <c r="BE49" s="72">
        <f t="shared" ca="1" si="51"/>
        <v>1.004867550565343</v>
      </c>
      <c r="BF49" s="72">
        <f t="shared" ca="1" si="51"/>
        <v>1.004867550565343</v>
      </c>
      <c r="BG49" s="72">
        <f t="shared" ca="1" si="51"/>
        <v>1.004867550565343</v>
      </c>
      <c r="BH49" s="72">
        <f t="shared" ca="1" si="51"/>
        <v>1.004867550565343</v>
      </c>
      <c r="BI49" s="72">
        <f t="shared" ca="1" si="51"/>
        <v>1.004867550565343</v>
      </c>
      <c r="BJ49" s="72">
        <f t="shared" ca="1" si="51"/>
        <v>1.004867550565343</v>
      </c>
      <c r="BK49" s="72">
        <f t="shared" ca="1" si="51"/>
        <v>1.004867550565343</v>
      </c>
      <c r="BL49" s="72">
        <f t="shared" ca="1" si="51"/>
        <v>1.004867550565343</v>
      </c>
      <c r="BM49" s="72">
        <f t="shared" ca="1" si="46"/>
        <v>6.0000000000000275E-2</v>
      </c>
      <c r="BN49" s="73">
        <f t="shared" ca="1" si="50"/>
        <v>14.590487477087633</v>
      </c>
    </row>
    <row r="50" spans="5:66">
      <c r="E50">
        <f t="shared" si="31"/>
        <v>47</v>
      </c>
      <c r="F50" s="9">
        <f t="shared" si="32"/>
        <v>72.833333333333115</v>
      </c>
      <c r="G50" s="132">
        <f t="shared" si="0"/>
        <v>0</v>
      </c>
      <c r="H50" s="133">
        <f t="shared" si="41"/>
        <v>1</v>
      </c>
      <c r="I50" s="31">
        <f t="shared" si="14"/>
        <v>2212519.7562904484</v>
      </c>
      <c r="J50" s="31">
        <f t="shared" si="1"/>
        <v>10769.551790564235</v>
      </c>
      <c r="K50" s="163">
        <f t="shared" si="2"/>
        <v>-20</v>
      </c>
      <c r="L50" s="163">
        <f t="shared" si="15"/>
        <v>-1843.7664635753738</v>
      </c>
      <c r="M50" s="163">
        <f t="shared" si="43"/>
        <v>0</v>
      </c>
      <c r="N50" s="163">
        <f t="shared" si="17"/>
        <v>-2101.8937684759262</v>
      </c>
      <c r="O50" s="84">
        <f t="shared" si="3"/>
        <v>-17488.599999999999</v>
      </c>
      <c r="P50" s="31">
        <f t="shared" si="4"/>
        <v>2201835.0478489613</v>
      </c>
      <c r="Q50" s="5"/>
      <c r="R50">
        <f t="shared" ca="1" si="18"/>
        <v>167</v>
      </c>
      <c r="S50" s="133">
        <f t="shared" ca="1" si="19"/>
        <v>82.68</v>
      </c>
      <c r="T50" s="132">
        <f t="shared" ca="1" si="5"/>
        <v>1.0234375850733946E-2</v>
      </c>
      <c r="U50" s="133">
        <f t="shared" ca="1" si="33"/>
        <v>0.67530564817572958</v>
      </c>
      <c r="V50" s="31">
        <f t="shared" ca="1" si="20"/>
        <v>714259.5737025789</v>
      </c>
      <c r="W50" s="31">
        <f t="shared" ca="1" si="6"/>
        <v>3476.6945917776725</v>
      </c>
      <c r="X50" s="163">
        <f t="shared" ca="1" si="34"/>
        <v>-13.506112963514592</v>
      </c>
      <c r="Y50" s="163">
        <f t="shared" ca="1" si="35"/>
        <v>-595.21631141881574</v>
      </c>
      <c r="Z50" s="163">
        <f t="shared" ca="1" si="22"/>
        <v>0</v>
      </c>
      <c r="AA50" s="163">
        <f t="shared" ca="1" si="36"/>
        <v>-678.54659501745004</v>
      </c>
      <c r="AB50" s="84">
        <f t="shared" ca="1" si="7"/>
        <v>-4210.34298786208</v>
      </c>
      <c r="AC50" s="160">
        <f t="shared" si="8"/>
        <v>0</v>
      </c>
      <c r="AD50" s="31">
        <f t="shared" ca="1" si="9"/>
        <v>712238.65628709469</v>
      </c>
      <c r="AE50" s="5"/>
      <c r="AF50" s="151">
        <f t="shared" ca="1" si="10"/>
        <v>-6234.7220095610028</v>
      </c>
      <c r="AG50" s="151">
        <f t="shared" ca="1" si="11"/>
        <v>1054690.8029144076</v>
      </c>
      <c r="AH50" s="5"/>
      <c r="AI50" s="5"/>
      <c r="AJ50" s="5"/>
      <c r="AK50" s="44">
        <v>64</v>
      </c>
      <c r="AL50" s="2">
        <v>2.2239999999999999E-2</v>
      </c>
      <c r="AM50" s="2">
        <v>2.2030000000000001E-2</v>
      </c>
      <c r="AN50" s="2">
        <f t="shared" si="47"/>
        <v>125</v>
      </c>
      <c r="AO50" s="2">
        <f t="shared" si="48"/>
        <v>0</v>
      </c>
      <c r="AP50" s="45">
        <f t="shared" si="37"/>
        <v>1.7713133024043772E-4</v>
      </c>
      <c r="AQ50" s="46">
        <f t="shared" ca="1" si="49"/>
        <v>1.2140192746719277E-5</v>
      </c>
      <c r="AS50" s="55">
        <f t="shared" si="26"/>
        <v>4</v>
      </c>
      <c r="AT50" s="56">
        <f t="shared" si="38"/>
        <v>47</v>
      </c>
      <c r="AU50" s="57">
        <f t="shared" si="39"/>
        <v>0.79506335424860175</v>
      </c>
      <c r="AV50" s="58">
        <f t="shared" si="27"/>
        <v>4.8675505653430484E-3</v>
      </c>
      <c r="AW50" s="59">
        <f t="shared" si="28"/>
        <v>1.004867550565343</v>
      </c>
      <c r="AX50" s="60">
        <f>PRODUCT(AW$4:AW50)</f>
        <v>1.2563615565949222</v>
      </c>
      <c r="AZ50" s="71">
        <f t="shared" si="40"/>
        <v>47</v>
      </c>
      <c r="BA50" s="72">
        <f t="shared" ca="1" si="51"/>
        <v>1.004867550565343</v>
      </c>
      <c r="BB50" s="72">
        <f t="shared" ca="1" si="51"/>
        <v>1.004867550565343</v>
      </c>
      <c r="BC50" s="72">
        <f t="shared" ca="1" si="51"/>
        <v>1.004867550565343</v>
      </c>
      <c r="BD50" s="72">
        <f t="shared" ca="1" si="51"/>
        <v>1.004867550565343</v>
      </c>
      <c r="BE50" s="72">
        <f t="shared" ca="1" si="51"/>
        <v>1.004867550565343</v>
      </c>
      <c r="BF50" s="72">
        <f t="shared" ca="1" si="51"/>
        <v>1.004867550565343</v>
      </c>
      <c r="BG50" s="72">
        <f t="shared" ca="1" si="51"/>
        <v>1.004867550565343</v>
      </c>
      <c r="BH50" s="72">
        <f t="shared" ca="1" si="51"/>
        <v>1.004867550565343</v>
      </c>
      <c r="BI50" s="72">
        <f t="shared" ca="1" si="51"/>
        <v>1.004867550565343</v>
      </c>
      <c r="BJ50" s="72">
        <f t="shared" ca="1" si="51"/>
        <v>1.004867550565343</v>
      </c>
      <c r="BK50" s="72">
        <f t="shared" ca="1" si="51"/>
        <v>1.004867550565343</v>
      </c>
      <c r="BL50" s="72">
        <f t="shared" ca="1" si="51"/>
        <v>1.004867550565343</v>
      </c>
      <c r="BM50" s="72">
        <f t="shared" ca="1" si="46"/>
        <v>6.0000000000000275E-2</v>
      </c>
      <c r="BN50" s="73">
        <f t="shared" ca="1" si="50"/>
        <v>15.465916725712894</v>
      </c>
    </row>
    <row r="51" spans="5:66">
      <c r="E51">
        <f t="shared" si="31"/>
        <v>48</v>
      </c>
      <c r="F51" s="9">
        <f t="shared" si="32"/>
        <v>72.916666666666444</v>
      </c>
      <c r="G51" s="132">
        <f t="shared" si="0"/>
        <v>0</v>
      </c>
      <c r="H51" s="133">
        <f t="shared" si="41"/>
        <v>1</v>
      </c>
      <c r="I51" s="31">
        <f t="shared" si="14"/>
        <v>2201835.0478489613</v>
      </c>
      <c r="J51" s="31">
        <f t="shared" si="1"/>
        <v>10717.543431949349</v>
      </c>
      <c r="K51" s="163">
        <f t="shared" si="2"/>
        <v>-20</v>
      </c>
      <c r="L51" s="163">
        <f t="shared" si="15"/>
        <v>-1834.8625398741347</v>
      </c>
      <c r="M51" s="163">
        <f t="shared" si="43"/>
        <v>0</v>
      </c>
      <c r="N51" s="163">
        <f t="shared" si="17"/>
        <v>-2091.7432954565134</v>
      </c>
      <c r="O51" s="84">
        <f t="shared" si="3"/>
        <v>-17488.599999999999</v>
      </c>
      <c r="P51" s="31">
        <f t="shared" si="4"/>
        <v>2191117.3854455804</v>
      </c>
      <c r="Q51" s="5"/>
      <c r="R51">
        <f t="shared" ca="1" si="18"/>
        <v>168</v>
      </c>
      <c r="S51" s="133">
        <f t="shared" ca="1" si="19"/>
        <v>82.76</v>
      </c>
      <c r="T51" s="132">
        <f t="shared" ca="1" si="5"/>
        <v>1.0234375850733946E-2</v>
      </c>
      <c r="U51" s="133">
        <f t="shared" ca="1" si="33"/>
        <v>0.6683943163581757</v>
      </c>
      <c r="V51" s="31">
        <f t="shared" ca="1" si="20"/>
        <v>704949.33818323084</v>
      </c>
      <c r="W51" s="31">
        <f t="shared" ca="1" si="6"/>
        <v>3431.3765496119931</v>
      </c>
      <c r="X51" s="163">
        <f t="shared" ca="1" si="34"/>
        <v>-13.367886327163514</v>
      </c>
      <c r="Y51" s="163">
        <f t="shared" ca="1" si="35"/>
        <v>-587.45778181935907</v>
      </c>
      <c r="Z51" s="163">
        <f t="shared" ca="1" si="22"/>
        <v>-5287.1200363742309</v>
      </c>
      <c r="AA51" s="163">
        <f t="shared" ca="1" si="36"/>
        <v>-669.70187127406939</v>
      </c>
      <c r="AB51" s="84">
        <f t="shared" ca="1" si="7"/>
        <v>-4167.2527552637976</v>
      </c>
      <c r="AC51" s="160">
        <f t="shared" si="8"/>
        <v>0</v>
      </c>
      <c r="AD51" s="31">
        <f t="shared" ca="1" si="9"/>
        <v>697655.81440178421</v>
      </c>
      <c r="AE51" s="5"/>
      <c r="AF51" s="151">
        <f t="shared" ca="1" si="10"/>
        <v>-6234.7220095610028</v>
      </c>
      <c r="AG51" s="151">
        <f t="shared" ca="1" si="11"/>
        <v>1043778.7954317792</v>
      </c>
      <c r="AH51" s="5"/>
      <c r="AI51" s="5"/>
      <c r="AJ51" s="5"/>
      <c r="AK51" s="44">
        <v>65</v>
      </c>
      <c r="AL51" s="2">
        <v>2.4400000000000002E-2</v>
      </c>
      <c r="AM51" s="2">
        <v>2.4209999999999999E-2</v>
      </c>
      <c r="AN51" s="2">
        <f t="shared" si="47"/>
        <v>126</v>
      </c>
      <c r="AO51" s="2">
        <f t="shared" si="48"/>
        <v>0</v>
      </c>
      <c r="AP51" s="45">
        <f t="shared" si="37"/>
        <v>1.7713133024043772E-4</v>
      </c>
      <c r="AQ51" s="46">
        <f t="shared" ca="1" si="49"/>
        <v>1.1453012025206862E-5</v>
      </c>
      <c r="AS51" s="55">
        <f t="shared" si="26"/>
        <v>4</v>
      </c>
      <c r="AT51" s="56">
        <f t="shared" si="38"/>
        <v>48</v>
      </c>
      <c r="AU51" s="57">
        <f t="shared" si="39"/>
        <v>0.79119334316914547</v>
      </c>
      <c r="AV51" s="58">
        <f t="shared" si="27"/>
        <v>4.8675505653430484E-3</v>
      </c>
      <c r="AW51" s="59">
        <f t="shared" si="28"/>
        <v>1.004867550565343</v>
      </c>
      <c r="AX51" s="60">
        <f>PRODUCT(AW$4:AW51)</f>
        <v>1.2624769600000012</v>
      </c>
      <c r="AZ51" s="71">
        <f t="shared" si="40"/>
        <v>48</v>
      </c>
      <c r="BA51" s="72">
        <f t="shared" ca="1" si="51"/>
        <v>1.004867550565343</v>
      </c>
      <c r="BB51" s="72">
        <f t="shared" ca="1" si="51"/>
        <v>1.004867550565343</v>
      </c>
      <c r="BC51" s="72">
        <f t="shared" ca="1" si="51"/>
        <v>1.004867550565343</v>
      </c>
      <c r="BD51" s="72">
        <f t="shared" ca="1" si="51"/>
        <v>1.004867550565343</v>
      </c>
      <c r="BE51" s="72">
        <f t="shared" ca="1" si="51"/>
        <v>1.004867550565343</v>
      </c>
      <c r="BF51" s="72">
        <f t="shared" ca="1" si="51"/>
        <v>1.004867550565343</v>
      </c>
      <c r="BG51" s="72">
        <f t="shared" ca="1" si="51"/>
        <v>1.004867550565343</v>
      </c>
      <c r="BH51" s="72">
        <f t="shared" ca="1" si="51"/>
        <v>1.004867550565343</v>
      </c>
      <c r="BI51" s="72">
        <f t="shared" ca="1" si="51"/>
        <v>1.004867550565343</v>
      </c>
      <c r="BJ51" s="72">
        <f t="shared" ca="1" si="51"/>
        <v>1.004867550565343</v>
      </c>
      <c r="BK51" s="72">
        <f t="shared" ca="1" si="51"/>
        <v>1.004867550565343</v>
      </c>
      <c r="BL51" s="72">
        <f t="shared" ca="1" si="51"/>
        <v>1.004867550565343</v>
      </c>
      <c r="BM51" s="72">
        <f t="shared" ca="1" si="46"/>
        <v>6.0000000000000275E-2</v>
      </c>
      <c r="BN51" s="73">
        <f t="shared" ca="1" si="50"/>
        <v>16.393871729255672</v>
      </c>
    </row>
    <row r="52" spans="5:66">
      <c r="E52">
        <f t="shared" si="31"/>
        <v>49</v>
      </c>
      <c r="F52" s="9">
        <f t="shared" si="32"/>
        <v>72.999999999999773</v>
      </c>
      <c r="G52" s="132">
        <f t="shared" si="0"/>
        <v>0</v>
      </c>
      <c r="H52" s="133">
        <f t="shared" si="41"/>
        <v>1</v>
      </c>
      <c r="I52" s="31">
        <f t="shared" si="14"/>
        <v>2191117.3854455804</v>
      </c>
      <c r="J52" s="31">
        <f t="shared" si="1"/>
        <v>10665.374668258617</v>
      </c>
      <c r="K52" s="163">
        <f t="shared" si="2"/>
        <v>-20</v>
      </c>
      <c r="L52" s="163">
        <f t="shared" si="15"/>
        <v>-1825.9311545379837</v>
      </c>
      <c r="M52" s="163">
        <f t="shared" si="43"/>
        <v>-16433.380390841852</v>
      </c>
      <c r="N52" s="163">
        <f t="shared" si="17"/>
        <v>-2081.5615161733017</v>
      </c>
      <c r="O52" s="84">
        <f t="shared" si="3"/>
        <v>-17488.599999999999</v>
      </c>
      <c r="P52" s="31">
        <f t="shared" si="4"/>
        <v>2163933.2870522859</v>
      </c>
      <c r="Q52" s="5"/>
      <c r="R52">
        <f t="shared" ca="1" si="18"/>
        <v>169</v>
      </c>
      <c r="S52" s="133">
        <f t="shared" ca="1" si="19"/>
        <v>82.84</v>
      </c>
      <c r="T52" s="132">
        <f t="shared" ca="1" si="5"/>
        <v>1.0234375850733946E-2</v>
      </c>
      <c r="U52" s="133">
        <f t="shared" ca="1" si="33"/>
        <v>0.66155371770807181</v>
      </c>
      <c r="V52" s="31">
        <f t="shared" ca="1" si="20"/>
        <v>690515.74258274643</v>
      </c>
      <c r="W52" s="31">
        <f t="shared" ca="1" si="6"/>
        <v>3361.1202931869225</v>
      </c>
      <c r="X52" s="163">
        <f t="shared" ca="1" si="34"/>
        <v>-13.231074354161436</v>
      </c>
      <c r="Y52" s="163">
        <f t="shared" ca="1" si="35"/>
        <v>-575.42978548562212</v>
      </c>
      <c r="Z52" s="163">
        <f t="shared" ca="1" si="22"/>
        <v>0</v>
      </c>
      <c r="AA52" s="163">
        <f t="shared" ca="1" si="36"/>
        <v>-655.98995545360924</v>
      </c>
      <c r="AB52" s="84">
        <f t="shared" ca="1" si="7"/>
        <v>-4124.6035243014212</v>
      </c>
      <c r="AC52" s="160">
        <f t="shared" si="8"/>
        <v>0</v>
      </c>
      <c r="AD52" s="31">
        <f t="shared" ca="1" si="9"/>
        <v>688507.60853633867</v>
      </c>
      <c r="AE52" s="5"/>
      <c r="AF52" s="151">
        <f t="shared" ca="1" si="10"/>
        <v>-6234.7220095610019</v>
      </c>
      <c r="AG52" s="151">
        <f t="shared" ca="1" si="11"/>
        <v>1040743.3139694954</v>
      </c>
      <c r="AH52" s="5"/>
      <c r="AI52" s="5"/>
      <c r="AJ52" s="5"/>
      <c r="AK52" s="44">
        <v>66</v>
      </c>
      <c r="AL52" s="2">
        <v>2.6749999999999999E-2</v>
      </c>
      <c r="AM52" s="2">
        <v>2.6599999999999999E-2</v>
      </c>
      <c r="AN52" s="2">
        <f t="shared" si="47"/>
        <v>127</v>
      </c>
      <c r="AO52" s="2">
        <f t="shared" si="48"/>
        <v>0</v>
      </c>
      <c r="AP52" s="45">
        <f t="shared" si="37"/>
        <v>1.7713133024043772E-4</v>
      </c>
      <c r="AQ52" s="46">
        <f t="shared" ca="1" si="49"/>
        <v>1.0804728325666848E-5</v>
      </c>
      <c r="AS52" s="55">
        <f t="shared" si="26"/>
        <v>5</v>
      </c>
      <c r="AT52" s="56">
        <f t="shared" si="38"/>
        <v>49</v>
      </c>
      <c r="AU52" s="57">
        <f t="shared" si="39"/>
        <v>0.7873421695643068</v>
      </c>
      <c r="AV52" s="58">
        <f t="shared" si="27"/>
        <v>4.8675505653430484E-3</v>
      </c>
      <c r="AW52" s="59">
        <f t="shared" si="28"/>
        <v>1.004867550565343</v>
      </c>
      <c r="AX52" s="60">
        <f>PRODUCT(AW$4:AW52)</f>
        <v>1.2686221304403817</v>
      </c>
      <c r="AZ52" s="71">
        <f t="shared" si="40"/>
        <v>49</v>
      </c>
      <c r="BA52" s="72">
        <f t="shared" ca="1" si="51"/>
        <v>1.004867550565343</v>
      </c>
      <c r="BB52" s="72">
        <f t="shared" ca="1" si="51"/>
        <v>1.004867550565343</v>
      </c>
      <c r="BC52" s="72">
        <f t="shared" ca="1" si="51"/>
        <v>1.004867550565343</v>
      </c>
      <c r="BD52" s="72">
        <f t="shared" ca="1" si="51"/>
        <v>1.004867550565343</v>
      </c>
      <c r="BE52" s="72">
        <f t="shared" ca="1" si="51"/>
        <v>1.004867550565343</v>
      </c>
      <c r="BF52" s="72">
        <f t="shared" ca="1" si="51"/>
        <v>1.004867550565343</v>
      </c>
      <c r="BG52" s="72">
        <f t="shared" ca="1" si="51"/>
        <v>1.004867550565343</v>
      </c>
      <c r="BH52" s="72">
        <f t="shared" ca="1" si="51"/>
        <v>1.004867550565343</v>
      </c>
      <c r="BI52" s="72">
        <f t="shared" ca="1" si="51"/>
        <v>1.004867550565343</v>
      </c>
      <c r="BJ52" s="72">
        <f t="shared" ca="1" si="51"/>
        <v>1.004867550565343</v>
      </c>
      <c r="BK52" s="72">
        <f t="shared" ca="1" si="51"/>
        <v>1.004867550565343</v>
      </c>
      <c r="BL52" s="72">
        <f t="shared" ca="1" si="51"/>
        <v>1.004867550565343</v>
      </c>
      <c r="BM52" s="72">
        <f t="shared" ca="1" si="46"/>
        <v>6.0000000000000275E-2</v>
      </c>
      <c r="BN52" s="73">
        <f t="shared" ca="1" si="50"/>
        <v>17.377504033011018</v>
      </c>
    </row>
    <row r="53" spans="5:66">
      <c r="E53">
        <f t="shared" si="31"/>
        <v>50</v>
      </c>
      <c r="F53" s="9">
        <f t="shared" si="32"/>
        <v>73.083333333333101</v>
      </c>
      <c r="G53" s="132">
        <f t="shared" si="0"/>
        <v>0</v>
      </c>
      <c r="H53" s="133">
        <f t="shared" si="41"/>
        <v>1</v>
      </c>
      <c r="I53" s="31">
        <f t="shared" si="14"/>
        <v>2163933.2870522859</v>
      </c>
      <c r="J53" s="31">
        <f t="shared" si="1"/>
        <v>10533.054694755994</v>
      </c>
      <c r="K53" s="163">
        <f t="shared" si="2"/>
        <v>-20</v>
      </c>
      <c r="L53" s="163">
        <f t="shared" si="15"/>
        <v>-1803.2777392102382</v>
      </c>
      <c r="M53" s="163">
        <f t="shared" si="43"/>
        <v>0</v>
      </c>
      <c r="N53" s="163">
        <f t="shared" si="17"/>
        <v>-2055.7366226996719</v>
      </c>
      <c r="O53" s="84">
        <f t="shared" si="3"/>
        <v>-17488.599999999999</v>
      </c>
      <c r="P53" s="31">
        <f t="shared" si="4"/>
        <v>2153098.7273851321</v>
      </c>
      <c r="Q53" s="5"/>
      <c r="R53">
        <f t="shared" ca="1" si="18"/>
        <v>170</v>
      </c>
      <c r="S53" s="133">
        <f t="shared" ca="1" si="19"/>
        <v>82.92</v>
      </c>
      <c r="T53" s="132">
        <f t="shared" ca="1" si="5"/>
        <v>1.0234375850733946E-2</v>
      </c>
      <c r="U53" s="133">
        <f t="shared" ca="1" si="33"/>
        <v>0.65478312831559704</v>
      </c>
      <c r="V53" s="31">
        <f t="shared" ca="1" si="20"/>
        <v>681461.16289448773</v>
      </c>
      <c r="W53" s="31">
        <f t="shared" ca="1" si="6"/>
        <v>3317.0466687063949</v>
      </c>
      <c r="X53" s="163">
        <f t="shared" ca="1" si="34"/>
        <v>-13.09566256631194</v>
      </c>
      <c r="Y53" s="163">
        <f t="shared" ca="1" si="35"/>
        <v>-567.88430241207311</v>
      </c>
      <c r="Z53" s="163">
        <f t="shared" ca="1" si="22"/>
        <v>0</v>
      </c>
      <c r="AA53" s="163">
        <f t="shared" ca="1" si="36"/>
        <v>-647.38810474976344</v>
      </c>
      <c r="AB53" s="84">
        <f t="shared" ca="1" si="7"/>
        <v>-4082.3907815984585</v>
      </c>
      <c r="AC53" s="160">
        <f t="shared" si="8"/>
        <v>0</v>
      </c>
      <c r="AD53" s="31">
        <f t="shared" ca="1" si="9"/>
        <v>679467.45071186742</v>
      </c>
      <c r="AE53" s="5"/>
      <c r="AF53" s="151">
        <f t="shared" ca="1" si="10"/>
        <v>-6234.7220095610019</v>
      </c>
      <c r="AG53" s="151">
        <f t="shared" ca="1" si="11"/>
        <v>1037698.4704229777</v>
      </c>
      <c r="AH53" s="5"/>
      <c r="AI53" s="5"/>
      <c r="AJ53" s="5"/>
      <c r="AK53" s="44">
        <v>67</v>
      </c>
      <c r="AL53" s="2">
        <v>2.9319999999999999E-2</v>
      </c>
      <c r="AM53" s="2">
        <v>2.9190000000000001E-2</v>
      </c>
      <c r="AN53" s="2">
        <f t="shared" si="47"/>
        <v>128</v>
      </c>
      <c r="AO53" s="2">
        <f t="shared" si="48"/>
        <v>0</v>
      </c>
      <c r="AP53" s="45">
        <f t="shared" si="37"/>
        <v>1.7713133024043772E-4</v>
      </c>
      <c r="AQ53" s="46">
        <f t="shared" ca="1" si="49"/>
        <v>1.0193139929874381E-5</v>
      </c>
      <c r="AS53" s="55">
        <f t="shared" si="26"/>
        <v>5</v>
      </c>
      <c r="AT53" s="56">
        <f t="shared" si="38"/>
        <v>50</v>
      </c>
      <c r="AU53" s="57">
        <f t="shared" si="39"/>
        <v>0.78350974174172561</v>
      </c>
      <c r="AV53" s="58">
        <f t="shared" si="27"/>
        <v>4.8675505653430484E-3</v>
      </c>
      <c r="AW53" s="59">
        <f t="shared" si="28"/>
        <v>1.004867550565343</v>
      </c>
      <c r="AX53" s="60">
        <f>PRODUCT(AW$4:AW53)</f>
        <v>1.2747972128086136</v>
      </c>
      <c r="AZ53" s="71">
        <f t="shared" si="40"/>
        <v>50</v>
      </c>
      <c r="BA53" s="72">
        <f t="shared" ca="1" si="51"/>
        <v>1.004867550565343</v>
      </c>
      <c r="BB53" s="72">
        <f t="shared" ca="1" si="51"/>
        <v>1.004867550565343</v>
      </c>
      <c r="BC53" s="72">
        <f t="shared" ca="1" si="51"/>
        <v>1.004867550565343</v>
      </c>
      <c r="BD53" s="72">
        <f t="shared" ca="1" si="51"/>
        <v>1.004867550565343</v>
      </c>
      <c r="BE53" s="72">
        <f t="shared" ca="1" si="51"/>
        <v>1.004867550565343</v>
      </c>
      <c r="BF53" s="72">
        <f t="shared" ca="1" si="51"/>
        <v>1.004867550565343</v>
      </c>
      <c r="BG53" s="72">
        <f t="shared" ca="1" si="51"/>
        <v>1.004867550565343</v>
      </c>
      <c r="BH53" s="72">
        <f t="shared" ca="1" si="51"/>
        <v>1.004867550565343</v>
      </c>
      <c r="BI53" s="72">
        <f t="shared" ca="1" si="51"/>
        <v>1.004867550565343</v>
      </c>
      <c r="BJ53" s="72">
        <f t="shared" ca="1" si="51"/>
        <v>1.004867550565343</v>
      </c>
      <c r="BK53" s="72">
        <f t="shared" ca="1" si="51"/>
        <v>1.004867550565343</v>
      </c>
      <c r="BL53" s="72">
        <f t="shared" ca="1" si="51"/>
        <v>1.004867550565343</v>
      </c>
      <c r="BM53" s="72">
        <f t="shared" ca="1" si="46"/>
        <v>6.0000000000000275E-2</v>
      </c>
      <c r="BN53" s="73">
        <f t="shared" ca="1" si="50"/>
        <v>18.420154274991685</v>
      </c>
    </row>
    <row r="54" spans="5:66">
      <c r="E54">
        <f t="shared" si="31"/>
        <v>51</v>
      </c>
      <c r="F54" s="9">
        <f t="shared" si="32"/>
        <v>73.16666666666643</v>
      </c>
      <c r="G54" s="132">
        <f t="shared" si="0"/>
        <v>0</v>
      </c>
      <c r="H54" s="133">
        <f t="shared" si="41"/>
        <v>1</v>
      </c>
      <c r="I54" s="31">
        <f t="shared" si="14"/>
        <v>2153098.7273851321</v>
      </c>
      <c r="J54" s="31">
        <f t="shared" si="1"/>
        <v>10480.316927722897</v>
      </c>
      <c r="K54" s="163">
        <f t="shared" si="2"/>
        <v>-20</v>
      </c>
      <c r="L54" s="163">
        <f t="shared" si="15"/>
        <v>-1794.2489394876102</v>
      </c>
      <c r="M54" s="163">
        <f t="shared" si="43"/>
        <v>0</v>
      </c>
      <c r="N54" s="163">
        <f t="shared" si="17"/>
        <v>-2045.4437910158758</v>
      </c>
      <c r="O54" s="84">
        <f t="shared" si="3"/>
        <v>-17488.599999999999</v>
      </c>
      <c r="P54" s="31">
        <f t="shared" si="4"/>
        <v>2142230.7515823515</v>
      </c>
      <c r="Q54" s="5"/>
      <c r="R54">
        <f t="shared" ca="1" si="18"/>
        <v>171</v>
      </c>
      <c r="S54" s="133">
        <f t="shared" ca="1" si="19"/>
        <v>83</v>
      </c>
      <c r="T54" s="132">
        <f t="shared" ca="1" si="5"/>
        <v>1.0234375850733946E-2</v>
      </c>
      <c r="U54" s="133">
        <f t="shared" ca="1" si="33"/>
        <v>0.64808183167969591</v>
      </c>
      <c r="V54" s="31">
        <f t="shared" ca="1" si="20"/>
        <v>672513.52544294216</v>
      </c>
      <c r="W54" s="31">
        <f t="shared" ca="1" si="6"/>
        <v>3273.4935909706396</v>
      </c>
      <c r="X54" s="163">
        <f t="shared" ca="1" si="34"/>
        <v>-12.961636633593919</v>
      </c>
      <c r="Y54" s="163">
        <f t="shared" ca="1" si="35"/>
        <v>-560.42793786911852</v>
      </c>
      <c r="Z54" s="163">
        <f t="shared" ca="1" si="22"/>
        <v>0</v>
      </c>
      <c r="AA54" s="163">
        <f t="shared" ca="1" si="36"/>
        <v>-638.88784917079522</v>
      </c>
      <c r="AB54" s="84">
        <f t="shared" ca="1" si="7"/>
        <v>-4040.610059970008</v>
      </c>
      <c r="AC54" s="160">
        <f t="shared" si="8"/>
        <v>0</v>
      </c>
      <c r="AD54" s="31">
        <f t="shared" ca="1" si="9"/>
        <v>670534.1315502692</v>
      </c>
      <c r="AE54" s="5"/>
      <c r="AF54" s="151">
        <f t="shared" ca="1" si="10"/>
        <v>-6234.722009561001</v>
      </c>
      <c r="AG54" s="151">
        <f t="shared" ca="1" si="11"/>
        <v>1034644.2359175252</v>
      </c>
      <c r="AH54" s="5"/>
      <c r="AI54" s="5"/>
      <c r="AJ54" s="5"/>
      <c r="AK54" s="44">
        <v>68</v>
      </c>
      <c r="AL54" s="2">
        <v>3.211E-2</v>
      </c>
      <c r="AM54" s="2">
        <v>3.2009999999999997E-2</v>
      </c>
      <c r="AN54" s="2">
        <f t="shared" si="47"/>
        <v>129</v>
      </c>
      <c r="AO54" s="2">
        <f t="shared" si="48"/>
        <v>0</v>
      </c>
      <c r="AP54" s="45">
        <f t="shared" si="37"/>
        <v>1.7713133024043772E-4</v>
      </c>
      <c r="AQ54" s="46">
        <f t="shared" ca="1" si="49"/>
        <v>9.6161697451645092E-6</v>
      </c>
      <c r="AS54" s="55">
        <f t="shared" si="26"/>
        <v>5</v>
      </c>
      <c r="AT54" s="56">
        <f t="shared" si="38"/>
        <v>51</v>
      </c>
      <c r="AU54" s="57">
        <f t="shared" si="39"/>
        <v>0.77969596845535893</v>
      </c>
      <c r="AV54" s="58">
        <f t="shared" si="27"/>
        <v>4.8675505653430484E-3</v>
      </c>
      <c r="AW54" s="59">
        <f t="shared" si="28"/>
        <v>1.004867550565343</v>
      </c>
      <c r="AX54" s="60">
        <f>PRODUCT(AW$4:AW54)</f>
        <v>1.2810023527025178</v>
      </c>
      <c r="AZ54" s="71">
        <f t="shared" si="40"/>
        <v>51</v>
      </c>
      <c r="BA54" s="72">
        <f t="shared" ca="1" si="51"/>
        <v>1.004867550565343</v>
      </c>
      <c r="BB54" s="72">
        <f t="shared" ca="1" si="51"/>
        <v>1.004867550565343</v>
      </c>
      <c r="BC54" s="72">
        <f t="shared" ca="1" si="51"/>
        <v>1.004867550565343</v>
      </c>
      <c r="BD54" s="72">
        <f t="shared" ca="1" si="51"/>
        <v>1.004867550565343</v>
      </c>
      <c r="BE54" s="72">
        <f t="shared" ca="1" si="51"/>
        <v>1.004867550565343</v>
      </c>
      <c r="BF54" s="72">
        <f t="shared" ca="1" si="51"/>
        <v>1.004867550565343</v>
      </c>
      <c r="BG54" s="72">
        <f t="shared" ca="1" si="51"/>
        <v>1.004867550565343</v>
      </c>
      <c r="BH54" s="72">
        <f t="shared" ca="1" si="51"/>
        <v>1.004867550565343</v>
      </c>
      <c r="BI54" s="72">
        <f t="shared" ca="1" si="51"/>
        <v>1.004867550565343</v>
      </c>
      <c r="BJ54" s="72">
        <f t="shared" ca="1" si="51"/>
        <v>1.004867550565343</v>
      </c>
      <c r="BK54" s="72">
        <f t="shared" ca="1" si="51"/>
        <v>1.004867550565343</v>
      </c>
      <c r="BL54" s="72">
        <f t="shared" ca="1" si="51"/>
        <v>1.004867550565343</v>
      </c>
      <c r="BM54" s="72">
        <f t="shared" ca="1" si="46"/>
        <v>6.0000000000000275E-2</v>
      </c>
      <c r="BN54" s="73">
        <f t="shared" ca="1" si="50"/>
        <v>19.525363531491191</v>
      </c>
    </row>
    <row r="55" spans="5:66">
      <c r="E55">
        <f t="shared" si="31"/>
        <v>52</v>
      </c>
      <c r="F55" s="9">
        <f t="shared" si="32"/>
        <v>73.249999999999758</v>
      </c>
      <c r="G55" s="132">
        <f t="shared" si="0"/>
        <v>0</v>
      </c>
      <c r="H55" s="133">
        <f t="shared" si="41"/>
        <v>1</v>
      </c>
      <c r="I55" s="31">
        <f t="shared" si="14"/>
        <v>2142230.7515823515</v>
      </c>
      <c r="J55" s="31">
        <f t="shared" si="1"/>
        <v>10427.416505959938</v>
      </c>
      <c r="K55" s="163">
        <f t="shared" si="2"/>
        <v>-20</v>
      </c>
      <c r="L55" s="163">
        <f t="shared" si="15"/>
        <v>-1785.1922929852931</v>
      </c>
      <c r="M55" s="163">
        <f t="shared" si="43"/>
        <v>0</v>
      </c>
      <c r="N55" s="163">
        <f t="shared" si="17"/>
        <v>-2035.1192140032344</v>
      </c>
      <c r="O55" s="84">
        <f t="shared" si="3"/>
        <v>-17488.599999999999</v>
      </c>
      <c r="P55" s="31">
        <f t="shared" si="4"/>
        <v>2131329.2565813223</v>
      </c>
      <c r="Q55" s="5"/>
      <c r="R55">
        <f t="shared" ca="1" si="18"/>
        <v>172</v>
      </c>
      <c r="S55" s="133">
        <f t="shared" ca="1" si="19"/>
        <v>83.08</v>
      </c>
      <c r="T55" s="132">
        <f t="shared" ca="1" si="5"/>
        <v>1.0234375850733946E-2</v>
      </c>
      <c r="U55" s="133">
        <f t="shared" ca="1" si="33"/>
        <v>0.64144911863225385</v>
      </c>
      <c r="V55" s="31">
        <f t="shared" ca="1" si="20"/>
        <v>663671.63322723832</v>
      </c>
      <c r="W55" s="31">
        <f t="shared" ca="1" si="6"/>
        <v>3230.455233517388</v>
      </c>
      <c r="X55" s="163">
        <f t="shared" ca="1" si="34"/>
        <v>-12.828982372645077</v>
      </c>
      <c r="Y55" s="163">
        <f t="shared" ca="1" si="35"/>
        <v>-553.05969435603197</v>
      </c>
      <c r="Z55" s="163">
        <f t="shared" ca="1" si="22"/>
        <v>0</v>
      </c>
      <c r="AA55" s="163">
        <f t="shared" ca="1" si="36"/>
        <v>-630.4880515658765</v>
      </c>
      <c r="AB55" s="84">
        <f t="shared" ca="1" si="7"/>
        <v>-3999.2569379500187</v>
      </c>
      <c r="AC55" s="160">
        <f t="shared" si="8"/>
        <v>0</v>
      </c>
      <c r="AD55" s="31">
        <f t="shared" ca="1" si="9"/>
        <v>661706.45479451108</v>
      </c>
      <c r="AE55" s="5"/>
      <c r="AF55" s="151">
        <f t="shared" ca="1" si="10"/>
        <v>-6234.722009561001</v>
      </c>
      <c r="AG55" s="151">
        <f t="shared" ca="1" si="11"/>
        <v>1031580.5814893806</v>
      </c>
      <c r="AH55" s="5"/>
      <c r="AI55" s="5"/>
      <c r="AJ55" s="5"/>
      <c r="AK55" s="44">
        <v>69</v>
      </c>
      <c r="AL55" s="2">
        <v>3.5130000000000002E-2</v>
      </c>
      <c r="AM55" s="2">
        <v>3.5060000000000001E-2</v>
      </c>
      <c r="AN55" s="2">
        <f t="shared" si="47"/>
        <v>130</v>
      </c>
      <c r="AO55" s="2">
        <f t="shared" si="48"/>
        <v>0</v>
      </c>
      <c r="AP55" s="45">
        <f t="shared" si="37"/>
        <v>1.7713133024043772E-4</v>
      </c>
      <c r="AQ55" s="46">
        <f t="shared" ca="1" si="49"/>
        <v>9.0718582501551945E-6</v>
      </c>
      <c r="AS55" s="55">
        <f t="shared" si="26"/>
        <v>5</v>
      </c>
      <c r="AT55" s="56">
        <f t="shared" si="38"/>
        <v>52</v>
      </c>
      <c r="AU55" s="57">
        <f t="shared" si="39"/>
        <v>0.77590075890330834</v>
      </c>
      <c r="AV55" s="58">
        <f t="shared" si="27"/>
        <v>4.8675505653430484E-3</v>
      </c>
      <c r="AW55" s="59">
        <f t="shared" si="28"/>
        <v>1.004867550565343</v>
      </c>
      <c r="AX55" s="60">
        <f>PRODUCT(AW$4:AW55)</f>
        <v>1.2872376964286207</v>
      </c>
      <c r="AZ55" s="71">
        <f t="shared" si="40"/>
        <v>52</v>
      </c>
      <c r="BA55" s="72">
        <f t="shared" ref="BA55:BL64" ca="1" si="52">OFFSET($AW$3,($AZ55*12-12)+BA$3,0)</f>
        <v>1.004867550565343</v>
      </c>
      <c r="BB55" s="72">
        <f t="shared" ca="1" si="52"/>
        <v>1.004867550565343</v>
      </c>
      <c r="BC55" s="72">
        <f t="shared" ca="1" si="52"/>
        <v>1.004867550565343</v>
      </c>
      <c r="BD55" s="72">
        <f t="shared" ca="1" si="52"/>
        <v>1.004867550565343</v>
      </c>
      <c r="BE55" s="72">
        <f t="shared" ca="1" si="52"/>
        <v>1.004867550565343</v>
      </c>
      <c r="BF55" s="72">
        <f t="shared" ca="1" si="52"/>
        <v>1.004867550565343</v>
      </c>
      <c r="BG55" s="72">
        <f t="shared" ca="1" si="52"/>
        <v>1.004867550565343</v>
      </c>
      <c r="BH55" s="72">
        <f t="shared" ca="1" si="52"/>
        <v>1.004867550565343</v>
      </c>
      <c r="BI55" s="72">
        <f t="shared" ca="1" si="52"/>
        <v>1.004867550565343</v>
      </c>
      <c r="BJ55" s="72">
        <f t="shared" ca="1" si="52"/>
        <v>1.004867550565343</v>
      </c>
      <c r="BK55" s="72">
        <f t="shared" ca="1" si="52"/>
        <v>1.004867550565343</v>
      </c>
      <c r="BL55" s="72">
        <f t="shared" ca="1" si="52"/>
        <v>1.004867550565343</v>
      </c>
      <c r="BM55" s="72">
        <f t="shared" ca="1" si="46"/>
        <v>6.0000000000000275E-2</v>
      </c>
      <c r="BN55" s="73">
        <f t="shared" ca="1" si="50"/>
        <v>20.696885343380668</v>
      </c>
    </row>
    <row r="56" spans="5:66">
      <c r="E56">
        <f t="shared" si="31"/>
        <v>53</v>
      </c>
      <c r="F56" s="9">
        <f t="shared" si="32"/>
        <v>73.333333333333087</v>
      </c>
      <c r="G56" s="132">
        <f t="shared" si="0"/>
        <v>0</v>
      </c>
      <c r="H56" s="133">
        <f t="shared" si="41"/>
        <v>1</v>
      </c>
      <c r="I56" s="31">
        <f t="shared" si="14"/>
        <v>2131329.2565813223</v>
      </c>
      <c r="J56" s="31">
        <f t="shared" si="1"/>
        <v>10374.352927804595</v>
      </c>
      <c r="K56" s="163">
        <f t="shared" si="2"/>
        <v>-20</v>
      </c>
      <c r="L56" s="163">
        <f t="shared" si="15"/>
        <v>-1776.1077138177686</v>
      </c>
      <c r="M56" s="163">
        <f t="shared" si="43"/>
        <v>0</v>
      </c>
      <c r="N56" s="163">
        <f t="shared" si="17"/>
        <v>-2024.7627937522566</v>
      </c>
      <c r="O56" s="84">
        <f t="shared" si="3"/>
        <v>-17488.599999999999</v>
      </c>
      <c r="P56" s="31">
        <f t="shared" si="4"/>
        <v>2120394.1390015567</v>
      </c>
      <c r="Q56" s="5"/>
      <c r="R56">
        <f t="shared" ca="1" si="18"/>
        <v>173</v>
      </c>
      <c r="S56" s="133">
        <f t="shared" ca="1" si="19"/>
        <v>83.16</v>
      </c>
      <c r="T56" s="132">
        <f t="shared" ca="1" si="5"/>
        <v>1.0234375850733946E-2</v>
      </c>
      <c r="U56" s="133">
        <f t="shared" ca="1" si="33"/>
        <v>0.63488428726304935</v>
      </c>
      <c r="V56" s="31">
        <f t="shared" ca="1" si="20"/>
        <v>654934.30223328737</v>
      </c>
      <c r="W56" s="31">
        <f t="shared" ca="1" si="6"/>
        <v>3187.9258330981929</v>
      </c>
      <c r="X56" s="163">
        <f t="shared" ca="1" si="34"/>
        <v>-12.697685745260987</v>
      </c>
      <c r="Y56" s="163">
        <f t="shared" ca="1" si="35"/>
        <v>-545.77858519440622</v>
      </c>
      <c r="Z56" s="163">
        <f t="shared" ca="1" si="22"/>
        <v>0</v>
      </c>
      <c r="AA56" s="163">
        <f t="shared" ca="1" si="36"/>
        <v>-622.1875871216231</v>
      </c>
      <c r="AB56" s="84">
        <f t="shared" ca="1" si="7"/>
        <v>-3958.3270393233834</v>
      </c>
      <c r="AC56" s="160">
        <f t="shared" si="8"/>
        <v>0</v>
      </c>
      <c r="AD56" s="31">
        <f t="shared" ca="1" si="9"/>
        <v>652983.2371690009</v>
      </c>
      <c r="AE56" s="5"/>
      <c r="AF56" s="151">
        <f t="shared" ca="1" si="10"/>
        <v>-6234.7220095610019</v>
      </c>
      <c r="AG56" s="151">
        <f t="shared" ca="1" si="11"/>
        <v>1028507.4780854557</v>
      </c>
      <c r="AH56" s="5"/>
      <c r="AI56" s="5"/>
      <c r="AJ56" s="5"/>
      <c r="AK56" s="44">
        <v>70</v>
      </c>
      <c r="AL56" s="2">
        <v>3.8399999999999997E-2</v>
      </c>
      <c r="AM56" s="2">
        <v>3.8359999999999998E-2</v>
      </c>
      <c r="AN56" s="2">
        <f t="shared" si="47"/>
        <v>131</v>
      </c>
      <c r="AO56" s="2">
        <f t="shared" si="48"/>
        <v>0</v>
      </c>
      <c r="AP56" s="45">
        <f t="shared" si="37"/>
        <v>1.7713133024043772E-4</v>
      </c>
      <c r="AQ56" s="46">
        <f t="shared" ca="1" si="49"/>
        <v>8.5583568397690491E-6</v>
      </c>
      <c r="AS56" s="55">
        <f t="shared" si="26"/>
        <v>5</v>
      </c>
      <c r="AT56" s="56">
        <f t="shared" si="38"/>
        <v>53</v>
      </c>
      <c r="AU56" s="57">
        <f t="shared" si="39"/>
        <v>0.77212402272565839</v>
      </c>
      <c r="AV56" s="58">
        <f t="shared" si="27"/>
        <v>4.8675505653430484E-3</v>
      </c>
      <c r="AW56" s="59">
        <f t="shared" si="28"/>
        <v>1.004867550565343</v>
      </c>
      <c r="AX56" s="60">
        <f>PRODUCT(AW$4:AW56)</f>
        <v>1.2935033910056029</v>
      </c>
      <c r="AZ56" s="71">
        <f t="shared" si="40"/>
        <v>53</v>
      </c>
      <c r="BA56" s="72">
        <f t="shared" ca="1" si="52"/>
        <v>1.004867550565343</v>
      </c>
      <c r="BB56" s="72">
        <f t="shared" ca="1" si="52"/>
        <v>1.004867550565343</v>
      </c>
      <c r="BC56" s="72">
        <f t="shared" ca="1" si="52"/>
        <v>1.004867550565343</v>
      </c>
      <c r="BD56" s="72">
        <f t="shared" ca="1" si="52"/>
        <v>1.004867550565343</v>
      </c>
      <c r="BE56" s="72">
        <f t="shared" ca="1" si="52"/>
        <v>1.004867550565343</v>
      </c>
      <c r="BF56" s="72">
        <f t="shared" ca="1" si="52"/>
        <v>1.004867550565343</v>
      </c>
      <c r="BG56" s="72">
        <f t="shared" ca="1" si="52"/>
        <v>1.004867550565343</v>
      </c>
      <c r="BH56" s="72">
        <f t="shared" ca="1" si="52"/>
        <v>1.004867550565343</v>
      </c>
      <c r="BI56" s="72">
        <f t="shared" ca="1" si="52"/>
        <v>1.004867550565343</v>
      </c>
      <c r="BJ56" s="72">
        <f t="shared" ca="1" si="52"/>
        <v>1.004867550565343</v>
      </c>
      <c r="BK56" s="72">
        <f t="shared" ca="1" si="52"/>
        <v>1.004867550565343</v>
      </c>
      <c r="BL56" s="72">
        <f t="shared" ca="1" si="52"/>
        <v>1.004867550565343</v>
      </c>
      <c r="BM56" s="72">
        <f t="shared" ca="1" si="46"/>
        <v>6.0000000000000275E-2</v>
      </c>
      <c r="BN56" s="73">
        <f t="shared" ca="1" si="50"/>
        <v>21.938698463983513</v>
      </c>
    </row>
    <row r="57" spans="5:66">
      <c r="E57">
        <f t="shared" si="31"/>
        <v>54</v>
      </c>
      <c r="F57" s="9">
        <f t="shared" si="32"/>
        <v>73.416666666666416</v>
      </c>
      <c r="G57" s="132">
        <f t="shared" si="0"/>
        <v>0</v>
      </c>
      <c r="H57" s="133">
        <f t="shared" si="41"/>
        <v>1</v>
      </c>
      <c r="I57" s="31">
        <f t="shared" si="14"/>
        <v>2120394.1390015567</v>
      </c>
      <c r="J57" s="31">
        <f t="shared" si="1"/>
        <v>10321.125690047114</v>
      </c>
      <c r="K57" s="163">
        <f t="shared" si="2"/>
        <v>-20</v>
      </c>
      <c r="L57" s="163">
        <f t="shared" si="15"/>
        <v>-1766.9951158346307</v>
      </c>
      <c r="M57" s="163">
        <f t="shared" si="43"/>
        <v>0</v>
      </c>
      <c r="N57" s="163">
        <f t="shared" si="17"/>
        <v>-2014.3744320514791</v>
      </c>
      <c r="O57" s="84">
        <f t="shared" si="3"/>
        <v>-17488.599999999999</v>
      </c>
      <c r="P57" s="31">
        <f t="shared" si="4"/>
        <v>2109425.2951437174</v>
      </c>
      <c r="Q57" s="5"/>
      <c r="R57">
        <f t="shared" ca="1" si="18"/>
        <v>174</v>
      </c>
      <c r="S57" s="133">
        <f t="shared" ca="1" si="19"/>
        <v>83.24</v>
      </c>
      <c r="T57" s="132">
        <f t="shared" ca="1" si="5"/>
        <v>1.0234375850733946E-2</v>
      </c>
      <c r="U57" s="133">
        <f t="shared" ca="1" si="33"/>
        <v>0.62838664284547396</v>
      </c>
      <c r="V57" s="31">
        <f t="shared" ca="1" si="20"/>
        <v>646300.36129558436</v>
      </c>
      <c r="W57" s="31">
        <f t="shared" ca="1" si="6"/>
        <v>3145.8996890057383</v>
      </c>
      <c r="X57" s="163">
        <f t="shared" ca="1" si="34"/>
        <v>-12.56773285690948</v>
      </c>
      <c r="Y57" s="163">
        <f t="shared" ca="1" si="35"/>
        <v>-538.58363441298695</v>
      </c>
      <c r="Z57" s="163">
        <f t="shared" ca="1" si="22"/>
        <v>0</v>
      </c>
      <c r="AA57" s="163">
        <f t="shared" ca="1" si="36"/>
        <v>-613.98534323080526</v>
      </c>
      <c r="AB57" s="84">
        <f t="shared" ca="1" si="7"/>
        <v>-3917.8160326628245</v>
      </c>
      <c r="AC57" s="160">
        <f t="shared" si="8"/>
        <v>0</v>
      </c>
      <c r="AD57" s="31">
        <f t="shared" ca="1" si="9"/>
        <v>644363.30824142648</v>
      </c>
      <c r="AE57" s="5"/>
      <c r="AF57" s="151">
        <f t="shared" ca="1" si="10"/>
        <v>-6234.722009561001</v>
      </c>
      <c r="AG57" s="151">
        <f t="shared" ca="1" si="11"/>
        <v>1025424.8965630565</v>
      </c>
      <c r="AH57" s="5"/>
      <c r="AI57" s="5"/>
      <c r="AJ57" s="5"/>
      <c r="AK57" s="44">
        <v>71</v>
      </c>
      <c r="AL57" s="2">
        <v>4.1919999999999999E-2</v>
      </c>
      <c r="AM57" s="2">
        <v>4.1910000000000003E-2</v>
      </c>
      <c r="AN57" s="2">
        <f t="shared" si="47"/>
        <v>132</v>
      </c>
      <c r="AO57" s="2">
        <f t="shared" si="48"/>
        <v>0</v>
      </c>
      <c r="AP57" s="45">
        <f t="shared" si="37"/>
        <v>1.7713133024043772E-4</v>
      </c>
      <c r="AQ57" s="46">
        <f t="shared" ca="1" si="49"/>
        <v>8.0739215469519303E-6</v>
      </c>
      <c r="AS57" s="55">
        <f t="shared" si="26"/>
        <v>5</v>
      </c>
      <c r="AT57" s="56">
        <f t="shared" si="38"/>
        <v>54</v>
      </c>
      <c r="AU57" s="57">
        <f t="shared" si="39"/>
        <v>0.76836567000232514</v>
      </c>
      <c r="AV57" s="58">
        <f t="shared" si="27"/>
        <v>4.8675505653430484E-3</v>
      </c>
      <c r="AW57" s="59">
        <f t="shared" si="28"/>
        <v>1.004867550565343</v>
      </c>
      <c r="AX57" s="60">
        <f>PRODUCT(AW$4:AW57)</f>
        <v>1.2997995841677654</v>
      </c>
      <c r="AZ57" s="71">
        <f t="shared" si="40"/>
        <v>54</v>
      </c>
      <c r="BA57" s="72">
        <f t="shared" ca="1" si="52"/>
        <v>1.004867550565343</v>
      </c>
      <c r="BB57" s="72">
        <f t="shared" ca="1" si="52"/>
        <v>1.004867550565343</v>
      </c>
      <c r="BC57" s="72">
        <f t="shared" ca="1" si="52"/>
        <v>1.004867550565343</v>
      </c>
      <c r="BD57" s="72">
        <f t="shared" ca="1" si="52"/>
        <v>1.004867550565343</v>
      </c>
      <c r="BE57" s="72">
        <f t="shared" ca="1" si="52"/>
        <v>1.004867550565343</v>
      </c>
      <c r="BF57" s="72">
        <f t="shared" ca="1" si="52"/>
        <v>1.004867550565343</v>
      </c>
      <c r="BG57" s="72">
        <f t="shared" ca="1" si="52"/>
        <v>1.004867550565343</v>
      </c>
      <c r="BH57" s="72">
        <f t="shared" ca="1" si="52"/>
        <v>1.004867550565343</v>
      </c>
      <c r="BI57" s="72">
        <f t="shared" ca="1" si="52"/>
        <v>1.004867550565343</v>
      </c>
      <c r="BJ57" s="72">
        <f t="shared" ca="1" si="52"/>
        <v>1.004867550565343</v>
      </c>
      <c r="BK57" s="72">
        <f t="shared" ca="1" si="52"/>
        <v>1.004867550565343</v>
      </c>
      <c r="BL57" s="72">
        <f t="shared" ca="1" si="52"/>
        <v>1.004867550565343</v>
      </c>
      <c r="BM57" s="72">
        <f t="shared" ca="1" si="46"/>
        <v>6.0000000000000275E-2</v>
      </c>
      <c r="BN57" s="73">
        <f t="shared" ca="1" si="50"/>
        <v>23.255020371822532</v>
      </c>
    </row>
    <row r="58" spans="5:66">
      <c r="E58">
        <f t="shared" si="31"/>
        <v>55</v>
      </c>
      <c r="F58" s="9">
        <f t="shared" si="32"/>
        <v>73.499999999999744</v>
      </c>
      <c r="G58" s="132">
        <f t="shared" si="0"/>
        <v>0</v>
      </c>
      <c r="H58" s="133">
        <f t="shared" si="41"/>
        <v>1</v>
      </c>
      <c r="I58" s="31">
        <f t="shared" si="14"/>
        <v>2109425.2951437174</v>
      </c>
      <c r="J58" s="31">
        <f t="shared" si="1"/>
        <v>10267.734287925728</v>
      </c>
      <c r="K58" s="163">
        <f t="shared" si="2"/>
        <v>-20</v>
      </c>
      <c r="L58" s="163">
        <f t="shared" si="15"/>
        <v>-1757.8544126197646</v>
      </c>
      <c r="M58" s="163">
        <f t="shared" si="43"/>
        <v>0</v>
      </c>
      <c r="N58" s="163">
        <f t="shared" si="17"/>
        <v>-2003.9540303865317</v>
      </c>
      <c r="O58" s="84">
        <f t="shared" si="3"/>
        <v>-17488.599999999999</v>
      </c>
      <c r="P58" s="31">
        <f t="shared" si="4"/>
        <v>2098422.6209886363</v>
      </c>
      <c r="Q58" s="5"/>
      <c r="R58">
        <f t="shared" ca="1" si="18"/>
        <v>175</v>
      </c>
      <c r="S58" s="133">
        <f t="shared" ca="1" si="19"/>
        <v>83.32</v>
      </c>
      <c r="T58" s="132">
        <f t="shared" ca="1" si="5"/>
        <v>1.0234375850733946E-2</v>
      </c>
      <c r="U58" s="133">
        <f t="shared" ca="1" si="33"/>
        <v>0.62195549776301251</v>
      </c>
      <c r="V58" s="31">
        <f t="shared" ca="1" si="20"/>
        <v>637768.6519604614</v>
      </c>
      <c r="W58" s="31">
        <f t="shared" ca="1" si="6"/>
        <v>3104.371162408218</v>
      </c>
      <c r="X58" s="163">
        <f t="shared" ca="1" si="34"/>
        <v>-12.43910995526025</v>
      </c>
      <c r="Y58" s="163">
        <f t="shared" ca="1" si="35"/>
        <v>-531.47387663371785</v>
      </c>
      <c r="Z58" s="163">
        <f t="shared" ca="1" si="22"/>
        <v>0</v>
      </c>
      <c r="AA58" s="163">
        <f t="shared" ca="1" si="36"/>
        <v>-605.88021936243842</v>
      </c>
      <c r="AB58" s="84">
        <f t="shared" ca="1" si="7"/>
        <v>-3877.7196308705225</v>
      </c>
      <c r="AC58" s="160">
        <f t="shared" si="8"/>
        <v>0</v>
      </c>
      <c r="AD58" s="31">
        <f t="shared" ca="1" si="9"/>
        <v>635845.51028604782</v>
      </c>
      <c r="AE58" s="5"/>
      <c r="AF58" s="151">
        <f t="shared" ca="1" si="10"/>
        <v>-6234.7220095610019</v>
      </c>
      <c r="AG58" s="151">
        <f t="shared" ca="1" si="11"/>
        <v>1022332.8076896073</v>
      </c>
      <c r="AH58" s="5"/>
      <c r="AI58" s="5"/>
      <c r="AJ58" s="5"/>
      <c r="AK58" s="44">
        <v>72</v>
      </c>
      <c r="AL58" s="2">
        <v>4.5719999999999997E-2</v>
      </c>
      <c r="AM58" s="2">
        <v>4.5740000000000003E-2</v>
      </c>
      <c r="AN58" s="2">
        <f t="shared" si="47"/>
        <v>133</v>
      </c>
      <c r="AO58" s="2">
        <f t="shared" si="48"/>
        <v>0</v>
      </c>
      <c r="AP58" s="45">
        <f t="shared" si="37"/>
        <v>1.7713133024043772E-4</v>
      </c>
      <c r="AQ58" s="46">
        <f t="shared" ca="1" si="49"/>
        <v>7.6169071197659702E-6</v>
      </c>
      <c r="AS58" s="55">
        <f t="shared" si="26"/>
        <v>5</v>
      </c>
      <c r="AT58" s="56">
        <f t="shared" si="38"/>
        <v>55</v>
      </c>
      <c r="AU58" s="57">
        <f t="shared" si="39"/>
        <v>0.7646256112509151</v>
      </c>
      <c r="AV58" s="58">
        <f t="shared" si="27"/>
        <v>4.8675505653430484E-3</v>
      </c>
      <c r="AW58" s="59">
        <f t="shared" si="28"/>
        <v>1.004867550565343</v>
      </c>
      <c r="AX58" s="60">
        <f>PRODUCT(AW$4:AW58)</f>
        <v>1.3061264243685138</v>
      </c>
      <c r="AZ58" s="71">
        <f t="shared" si="40"/>
        <v>55</v>
      </c>
      <c r="BA58" s="72">
        <f t="shared" ca="1" si="52"/>
        <v>1.004867550565343</v>
      </c>
      <c r="BB58" s="72">
        <f t="shared" ca="1" si="52"/>
        <v>1.004867550565343</v>
      </c>
      <c r="BC58" s="72">
        <f t="shared" ca="1" si="52"/>
        <v>1.004867550565343</v>
      </c>
      <c r="BD58" s="72">
        <f t="shared" ca="1" si="52"/>
        <v>1.004867550565343</v>
      </c>
      <c r="BE58" s="72">
        <f t="shared" ca="1" si="52"/>
        <v>1.004867550565343</v>
      </c>
      <c r="BF58" s="72">
        <f t="shared" ca="1" si="52"/>
        <v>1.004867550565343</v>
      </c>
      <c r="BG58" s="72">
        <f t="shared" ca="1" si="52"/>
        <v>1.004867550565343</v>
      </c>
      <c r="BH58" s="72">
        <f t="shared" ca="1" si="52"/>
        <v>1.004867550565343</v>
      </c>
      <c r="BI58" s="72">
        <f t="shared" ca="1" si="52"/>
        <v>1.004867550565343</v>
      </c>
      <c r="BJ58" s="72">
        <f t="shared" ca="1" si="52"/>
        <v>1.004867550565343</v>
      </c>
      <c r="BK58" s="72">
        <f t="shared" ca="1" si="52"/>
        <v>1.004867550565343</v>
      </c>
      <c r="BL58" s="72">
        <f t="shared" ca="1" si="52"/>
        <v>1.004867550565343</v>
      </c>
      <c r="BM58" s="72">
        <f t="shared" ca="1" si="46"/>
        <v>6.0000000000000275E-2</v>
      </c>
      <c r="BN58" s="73">
        <f t="shared" ca="1" si="50"/>
        <v>24.650321594131889</v>
      </c>
    </row>
    <row r="59" spans="5:66">
      <c r="E59">
        <f t="shared" si="31"/>
        <v>56</v>
      </c>
      <c r="F59" s="9">
        <f t="shared" si="32"/>
        <v>73.583333333333073</v>
      </c>
      <c r="G59" s="132">
        <f t="shared" si="0"/>
        <v>0</v>
      </c>
      <c r="H59" s="133">
        <f t="shared" si="41"/>
        <v>1</v>
      </c>
      <c r="I59" s="31">
        <f t="shared" si="14"/>
        <v>2098422.6209886363</v>
      </c>
      <c r="J59" s="31">
        <f t="shared" si="1"/>
        <v>10214.178215121878</v>
      </c>
      <c r="K59" s="163">
        <f t="shared" si="2"/>
        <v>-20</v>
      </c>
      <c r="L59" s="163">
        <f t="shared" si="15"/>
        <v>-1748.6855174905304</v>
      </c>
      <c r="M59" s="163">
        <f t="shared" si="43"/>
        <v>0</v>
      </c>
      <c r="N59" s="163">
        <f t="shared" si="17"/>
        <v>-1993.5014899392047</v>
      </c>
      <c r="O59" s="84">
        <f t="shared" si="3"/>
        <v>-17488.599999999999</v>
      </c>
      <c r="P59" s="31">
        <f t="shared" si="4"/>
        <v>2087386.0121963285</v>
      </c>
      <c r="Q59" s="5"/>
      <c r="R59">
        <f t="shared" ca="1" si="18"/>
        <v>176</v>
      </c>
      <c r="S59" s="133">
        <f t="shared" ca="1" si="19"/>
        <v>83.4</v>
      </c>
      <c r="T59" s="132">
        <f t="shared" ca="1" si="5"/>
        <v>1.0234375850733946E-2</v>
      </c>
      <c r="U59" s="133">
        <f t="shared" ca="1" si="33"/>
        <v>0.61559017143647554</v>
      </c>
      <c r="V59" s="31">
        <f t="shared" ca="1" si="20"/>
        <v>629338.02835077874</v>
      </c>
      <c r="W59" s="31">
        <f t="shared" ca="1" si="6"/>
        <v>3063.3346756907126</v>
      </c>
      <c r="X59" s="163">
        <f t="shared" ca="1" si="34"/>
        <v>-12.311803428729512</v>
      </c>
      <c r="Y59" s="163">
        <f t="shared" ca="1" si="35"/>
        <v>-524.44835695898234</v>
      </c>
      <c r="Z59" s="163">
        <f t="shared" ca="1" si="22"/>
        <v>0</v>
      </c>
      <c r="AA59" s="163">
        <f t="shared" ca="1" si="36"/>
        <v>-597.87112693323991</v>
      </c>
      <c r="AB59" s="84">
        <f t="shared" ca="1" si="7"/>
        <v>-3838.0335907244244</v>
      </c>
      <c r="AC59" s="160">
        <f t="shared" si="8"/>
        <v>0</v>
      </c>
      <c r="AD59" s="31">
        <f t="shared" ca="1" si="9"/>
        <v>627428.69814842404</v>
      </c>
      <c r="AE59" s="5"/>
      <c r="AF59" s="151">
        <f t="shared" ca="1" si="10"/>
        <v>-6234.7220095610019</v>
      </c>
      <c r="AG59" s="151">
        <f t="shared" ca="1" si="11"/>
        <v>1019231.1821423714</v>
      </c>
      <c r="AH59" s="5"/>
      <c r="AI59" s="5"/>
      <c r="AJ59" s="5"/>
      <c r="AK59" s="44">
        <v>73</v>
      </c>
      <c r="AL59" s="2">
        <v>4.9799999999999997E-2</v>
      </c>
      <c r="AM59" s="2">
        <v>4.9840000000000002E-2</v>
      </c>
      <c r="AN59" s="2">
        <f t="shared" si="47"/>
        <v>134</v>
      </c>
      <c r="AO59" s="2">
        <f t="shared" si="48"/>
        <v>0</v>
      </c>
      <c r="AP59" s="45">
        <f t="shared" si="37"/>
        <v>1.7713133024043772E-4</v>
      </c>
      <c r="AQ59" s="46">
        <f t="shared" ca="1" si="49"/>
        <v>7.18576143374148E-6</v>
      </c>
      <c r="AS59" s="55">
        <f t="shared" si="26"/>
        <v>5</v>
      </c>
      <c r="AT59" s="56">
        <f t="shared" si="38"/>
        <v>56</v>
      </c>
      <c r="AU59" s="57">
        <f t="shared" si="39"/>
        <v>0.76090375742459493</v>
      </c>
      <c r="AV59" s="58">
        <f t="shared" si="27"/>
        <v>4.8675505653430484E-3</v>
      </c>
      <c r="AW59" s="59">
        <f t="shared" si="28"/>
        <v>1.004867550565343</v>
      </c>
      <c r="AX59" s="60">
        <f>PRODUCT(AW$4:AW59)</f>
        <v>1.3124840607838582</v>
      </c>
      <c r="AZ59" s="71">
        <f t="shared" si="40"/>
        <v>56</v>
      </c>
      <c r="BA59" s="72">
        <f t="shared" ca="1" si="52"/>
        <v>1.004867550565343</v>
      </c>
      <c r="BB59" s="72">
        <f t="shared" ca="1" si="52"/>
        <v>1.004867550565343</v>
      </c>
      <c r="BC59" s="72">
        <f t="shared" ca="1" si="52"/>
        <v>1.004867550565343</v>
      </c>
      <c r="BD59" s="72">
        <f t="shared" ca="1" si="52"/>
        <v>1.004867550565343</v>
      </c>
      <c r="BE59" s="72">
        <f t="shared" ca="1" si="52"/>
        <v>1.004867550565343</v>
      </c>
      <c r="BF59" s="72">
        <f t="shared" ca="1" si="52"/>
        <v>1.004867550565343</v>
      </c>
      <c r="BG59" s="72">
        <f t="shared" ca="1" si="52"/>
        <v>1.004867550565343</v>
      </c>
      <c r="BH59" s="72">
        <f t="shared" ca="1" si="52"/>
        <v>1.004867550565343</v>
      </c>
      <c r="BI59" s="72">
        <f t="shared" ca="1" si="52"/>
        <v>1.004867550565343</v>
      </c>
      <c r="BJ59" s="72">
        <f t="shared" ca="1" si="52"/>
        <v>1.004867550565343</v>
      </c>
      <c r="BK59" s="72">
        <f t="shared" ca="1" si="52"/>
        <v>1.004867550565343</v>
      </c>
      <c r="BL59" s="72">
        <f t="shared" ca="1" si="52"/>
        <v>1.004867550565343</v>
      </c>
      <c r="BM59" s="72">
        <f t="shared" ca="1" si="46"/>
        <v>6.0000000000000275E-2</v>
      </c>
      <c r="BN59" s="73">
        <f t="shared" ca="1" si="50"/>
        <v>26.129340889779808</v>
      </c>
    </row>
    <row r="60" spans="5:66">
      <c r="E60">
        <f t="shared" si="31"/>
        <v>57</v>
      </c>
      <c r="F60" s="9">
        <f t="shared" si="32"/>
        <v>73.666666666666401</v>
      </c>
      <c r="G60" s="132">
        <f t="shared" si="0"/>
        <v>0</v>
      </c>
      <c r="H60" s="133">
        <f t="shared" si="41"/>
        <v>1</v>
      </c>
      <c r="I60" s="31">
        <f t="shared" si="14"/>
        <v>2087386.0121963285</v>
      </c>
      <c r="J60" s="31">
        <f t="shared" si="1"/>
        <v>10160.45696375541</v>
      </c>
      <c r="K60" s="163">
        <f t="shared" si="2"/>
        <v>-20</v>
      </c>
      <c r="L60" s="163">
        <f t="shared" si="15"/>
        <v>-1739.4883434969406</v>
      </c>
      <c r="M60" s="163">
        <f t="shared" si="43"/>
        <v>0</v>
      </c>
      <c r="N60" s="163">
        <f t="shared" si="17"/>
        <v>-1983.0167115865124</v>
      </c>
      <c r="O60" s="84">
        <f t="shared" si="3"/>
        <v>-17488.599999999999</v>
      </c>
      <c r="P60" s="31">
        <f t="shared" si="4"/>
        <v>2076315.3641049999</v>
      </c>
      <c r="Q60" s="5"/>
      <c r="R60">
        <f t="shared" ca="1" si="18"/>
        <v>177</v>
      </c>
      <c r="S60" s="133">
        <f t="shared" ca="1" si="19"/>
        <v>83.48</v>
      </c>
      <c r="T60" s="132">
        <f t="shared" ca="1" si="5"/>
        <v>1.0234375850733946E-2</v>
      </c>
      <c r="U60" s="133">
        <f t="shared" ca="1" si="33"/>
        <v>0.60928999025197694</v>
      </c>
      <c r="V60" s="31">
        <f t="shared" ca="1" si="20"/>
        <v>621007.35703203641</v>
      </c>
      <c r="W60" s="31">
        <f t="shared" ca="1" si="6"/>
        <v>3022.7847118034811</v>
      </c>
      <c r="X60" s="163">
        <f t="shared" ca="1" si="34"/>
        <v>-12.185799805039538</v>
      </c>
      <c r="Y60" s="163">
        <f t="shared" ca="1" si="35"/>
        <v>-517.50613086003034</v>
      </c>
      <c r="Z60" s="163">
        <f t="shared" ca="1" si="22"/>
        <v>0</v>
      </c>
      <c r="AA60" s="163">
        <f t="shared" ca="1" si="36"/>
        <v>-589.95698918043468</v>
      </c>
      <c r="AB60" s="84">
        <f t="shared" ca="1" si="7"/>
        <v>-3798.7537124292085</v>
      </c>
      <c r="AC60" s="160">
        <f t="shared" si="8"/>
        <v>0</v>
      </c>
      <c r="AD60" s="31">
        <f t="shared" ca="1" si="9"/>
        <v>619111.73911156517</v>
      </c>
      <c r="AE60" s="5"/>
      <c r="AF60" s="151">
        <f t="shared" ca="1" si="10"/>
        <v>-6234.722009561001</v>
      </c>
      <c r="AG60" s="151">
        <f t="shared" ca="1" si="11"/>
        <v>1016119.9905081756</v>
      </c>
      <c r="AH60" s="5"/>
      <c r="AI60" s="5"/>
      <c r="AJ60" s="5"/>
      <c r="AK60" s="44">
        <v>74</v>
      </c>
      <c r="AL60" s="2">
        <v>5.4190000000000002E-2</v>
      </c>
      <c r="AM60" s="2">
        <v>5.425E-2</v>
      </c>
      <c r="AN60" s="2">
        <f t="shared" si="47"/>
        <v>135</v>
      </c>
      <c r="AO60" s="2">
        <f t="shared" si="48"/>
        <v>0</v>
      </c>
      <c r="AP60" s="45">
        <f t="shared" si="37"/>
        <v>1.7713133024043772E-4</v>
      </c>
      <c r="AQ60" s="46">
        <f t="shared" ca="1" si="49"/>
        <v>6.7790202205108285E-6</v>
      </c>
      <c r="AS60" s="55">
        <f t="shared" si="26"/>
        <v>5</v>
      </c>
      <c r="AT60" s="56">
        <f t="shared" si="38"/>
        <v>57</v>
      </c>
      <c r="AU60" s="57">
        <f t="shared" si="39"/>
        <v>0.75720001990997121</v>
      </c>
      <c r="AV60" s="58">
        <f t="shared" si="27"/>
        <v>4.8675505653430484E-3</v>
      </c>
      <c r="AW60" s="59">
        <f t="shared" si="28"/>
        <v>1.004867550565343</v>
      </c>
      <c r="AX60" s="60">
        <f>PRODUCT(AW$4:AW60)</f>
        <v>1.3188726433159303</v>
      </c>
      <c r="AZ60" s="71">
        <f t="shared" si="40"/>
        <v>57</v>
      </c>
      <c r="BA60" s="72">
        <f t="shared" ca="1" si="52"/>
        <v>1.004867550565343</v>
      </c>
      <c r="BB60" s="72">
        <f t="shared" ca="1" si="52"/>
        <v>1.004867550565343</v>
      </c>
      <c r="BC60" s="72">
        <f t="shared" ca="1" si="52"/>
        <v>1.004867550565343</v>
      </c>
      <c r="BD60" s="72">
        <f t="shared" ca="1" si="52"/>
        <v>1.004867550565343</v>
      </c>
      <c r="BE60" s="72">
        <f t="shared" ca="1" si="52"/>
        <v>1.004867550565343</v>
      </c>
      <c r="BF60" s="72">
        <f t="shared" ca="1" si="52"/>
        <v>1.004867550565343</v>
      </c>
      <c r="BG60" s="72">
        <f t="shared" ca="1" si="52"/>
        <v>1.004867550565343</v>
      </c>
      <c r="BH60" s="72">
        <f t="shared" ca="1" si="52"/>
        <v>1.004867550565343</v>
      </c>
      <c r="BI60" s="72">
        <f t="shared" ca="1" si="52"/>
        <v>1.004867550565343</v>
      </c>
      <c r="BJ60" s="72">
        <f t="shared" ca="1" si="52"/>
        <v>1.004867550565343</v>
      </c>
      <c r="BK60" s="72">
        <f t="shared" ca="1" si="52"/>
        <v>1.004867550565343</v>
      </c>
      <c r="BL60" s="72">
        <f t="shared" ca="1" si="52"/>
        <v>1.004867550565343</v>
      </c>
      <c r="BM60" s="72">
        <f t="shared" ca="1" si="46"/>
        <v>6.0000000000000275E-2</v>
      </c>
      <c r="BN60" s="73">
        <f t="shared" ca="1" si="50"/>
        <v>27.697101343166604</v>
      </c>
    </row>
    <row r="61" spans="5:66">
      <c r="E61">
        <f t="shared" si="31"/>
        <v>58</v>
      </c>
      <c r="F61" s="9">
        <f t="shared" si="32"/>
        <v>73.74999999999973</v>
      </c>
      <c r="G61" s="132">
        <f t="shared" si="0"/>
        <v>0</v>
      </c>
      <c r="H61" s="133">
        <f t="shared" si="41"/>
        <v>1</v>
      </c>
      <c r="I61" s="31">
        <f t="shared" si="14"/>
        <v>2076315.3641049999</v>
      </c>
      <c r="J61" s="31">
        <f t="shared" si="1"/>
        <v>10106.570024379749</v>
      </c>
      <c r="K61" s="163">
        <f t="shared" si="2"/>
        <v>-20</v>
      </c>
      <c r="L61" s="163">
        <f t="shared" si="15"/>
        <v>-1730.2628034208333</v>
      </c>
      <c r="M61" s="163">
        <f t="shared" si="43"/>
        <v>0</v>
      </c>
      <c r="N61" s="163">
        <f t="shared" si="17"/>
        <v>-1972.4995958997504</v>
      </c>
      <c r="O61" s="84">
        <f t="shared" si="3"/>
        <v>-17488.599999999999</v>
      </c>
      <c r="P61" s="31">
        <f t="shared" si="4"/>
        <v>2065210.5717300589</v>
      </c>
      <c r="Q61" s="5"/>
      <c r="R61">
        <f t="shared" ca="1" si="18"/>
        <v>178</v>
      </c>
      <c r="S61" s="133">
        <f t="shared" ca="1" si="19"/>
        <v>83.56</v>
      </c>
      <c r="T61" s="132">
        <f t="shared" ca="1" si="5"/>
        <v>1.1202604060464583E-2</v>
      </c>
      <c r="U61" s="133">
        <f t="shared" ca="1" si="33"/>
        <v>0.60246435573317969</v>
      </c>
      <c r="V61" s="31">
        <f t="shared" ca="1" si="20"/>
        <v>612176.07542911265</v>
      </c>
      <c r="W61" s="31">
        <f t="shared" ca="1" si="6"/>
        <v>2979.7980020444661</v>
      </c>
      <c r="X61" s="163">
        <f t="shared" ca="1" si="34"/>
        <v>-12.049287114663594</v>
      </c>
      <c r="Y61" s="163">
        <f t="shared" ca="1" si="35"/>
        <v>-510.14672952426059</v>
      </c>
      <c r="Z61" s="163">
        <f t="shared" ca="1" si="22"/>
        <v>0</v>
      </c>
      <c r="AA61" s="163">
        <f t="shared" ca="1" si="36"/>
        <v>-581.5672716576571</v>
      </c>
      <c r="AB61" s="84">
        <f t="shared" ca="1" si="7"/>
        <v>-3756.1977786656444</v>
      </c>
      <c r="AC61" s="160">
        <f t="shared" si="8"/>
        <v>0</v>
      </c>
      <c r="AD61" s="31">
        <f t="shared" ca="1" si="9"/>
        <v>610295.91236419487</v>
      </c>
      <c r="AE61" s="5"/>
      <c r="AF61" s="151">
        <f t="shared" ca="1" si="10"/>
        <v>-6234.7220095610019</v>
      </c>
      <c r="AG61" s="151">
        <f t="shared" ca="1" si="11"/>
        <v>1012999.2032831294</v>
      </c>
      <c r="AH61" s="5"/>
      <c r="AI61" s="5"/>
      <c r="AJ61" s="5"/>
      <c r="AK61" s="44">
        <v>75</v>
      </c>
      <c r="AL61" s="2">
        <v>5.8939999999999999E-2</v>
      </c>
      <c r="AM61" s="2">
        <v>5.901E-2</v>
      </c>
      <c r="AN61" s="2">
        <f t="shared" si="47"/>
        <v>136</v>
      </c>
      <c r="AO61" s="2">
        <f t="shared" si="48"/>
        <v>0</v>
      </c>
      <c r="AP61" s="45">
        <f t="shared" si="37"/>
        <v>1.7713133024043772E-4</v>
      </c>
      <c r="AQ61" s="46">
        <f t="shared" ca="1" si="49"/>
        <v>6.3953020948215345E-6</v>
      </c>
      <c r="AS61" s="55">
        <f t="shared" si="26"/>
        <v>5</v>
      </c>
      <c r="AT61" s="56">
        <f t="shared" si="38"/>
        <v>58</v>
      </c>
      <c r="AU61" s="57">
        <f t="shared" si="39"/>
        <v>0.75351431052498064</v>
      </c>
      <c r="AV61" s="58">
        <f t="shared" si="27"/>
        <v>4.8675505653430484E-3</v>
      </c>
      <c r="AW61" s="59">
        <f t="shared" si="28"/>
        <v>1.004867550565343</v>
      </c>
      <c r="AX61" s="60">
        <f>PRODUCT(AW$4:AW61)</f>
        <v>1.3252923225965183</v>
      </c>
      <c r="AZ61" s="71">
        <f t="shared" si="40"/>
        <v>58</v>
      </c>
      <c r="BA61" s="72">
        <f t="shared" ca="1" si="52"/>
        <v>1.004867550565343</v>
      </c>
      <c r="BB61" s="72">
        <f t="shared" ca="1" si="52"/>
        <v>1.004867550565343</v>
      </c>
      <c r="BC61" s="72">
        <f t="shared" ca="1" si="52"/>
        <v>1.004867550565343</v>
      </c>
      <c r="BD61" s="72">
        <f t="shared" ca="1" si="52"/>
        <v>1.004867550565343</v>
      </c>
      <c r="BE61" s="72">
        <f t="shared" ca="1" si="52"/>
        <v>1.004867550565343</v>
      </c>
      <c r="BF61" s="72">
        <f t="shared" ca="1" si="52"/>
        <v>1.004867550565343</v>
      </c>
      <c r="BG61" s="72">
        <f t="shared" ca="1" si="52"/>
        <v>1.004867550565343</v>
      </c>
      <c r="BH61" s="72">
        <f t="shared" ca="1" si="52"/>
        <v>1.004867550565343</v>
      </c>
      <c r="BI61" s="72">
        <f t="shared" ca="1" si="52"/>
        <v>1.004867550565343</v>
      </c>
      <c r="BJ61" s="72">
        <f t="shared" ca="1" si="52"/>
        <v>1.004867550565343</v>
      </c>
      <c r="BK61" s="72">
        <f t="shared" ca="1" si="52"/>
        <v>1.004867550565343</v>
      </c>
      <c r="BL61" s="72">
        <f t="shared" ca="1" si="52"/>
        <v>1.004867550565343</v>
      </c>
      <c r="BM61" s="72">
        <f t="shared" ca="1" si="46"/>
        <v>6.0000000000000275E-2</v>
      </c>
      <c r="BN61" s="73">
        <f t="shared" ca="1" si="50"/>
        <v>29.358927423756608</v>
      </c>
    </row>
    <row r="62" spans="5:66">
      <c r="E62">
        <f t="shared" si="31"/>
        <v>59</v>
      </c>
      <c r="F62" s="9">
        <f t="shared" si="32"/>
        <v>73.833333333333059</v>
      </c>
      <c r="G62" s="132">
        <f t="shared" si="0"/>
        <v>0</v>
      </c>
      <c r="H62" s="133">
        <f t="shared" si="41"/>
        <v>1</v>
      </c>
      <c r="I62" s="31">
        <f t="shared" si="14"/>
        <v>2065210.5717300589</v>
      </c>
      <c r="J62" s="31">
        <f t="shared" si="1"/>
        <v>10052.516885977087</v>
      </c>
      <c r="K62" s="163">
        <f t="shared" si="2"/>
        <v>-20</v>
      </c>
      <c r="L62" s="163">
        <f t="shared" si="15"/>
        <v>-1721.0088097750493</v>
      </c>
      <c r="M62" s="163">
        <f t="shared" si="43"/>
        <v>0</v>
      </c>
      <c r="N62" s="163">
        <f t="shared" si="17"/>
        <v>-1961.9500431435563</v>
      </c>
      <c r="O62" s="84">
        <f t="shared" si="3"/>
        <v>-17488.599999999999</v>
      </c>
      <c r="P62" s="31">
        <f t="shared" si="4"/>
        <v>2054071.5297631172</v>
      </c>
      <c r="Q62" s="5"/>
      <c r="R62">
        <f t="shared" ca="1" si="18"/>
        <v>179</v>
      </c>
      <c r="S62" s="133">
        <f t="shared" ca="1" si="19"/>
        <v>83.64</v>
      </c>
      <c r="T62" s="132">
        <f t="shared" ca="1" si="5"/>
        <v>1.1202604060464583E-2</v>
      </c>
      <c r="U62" s="133">
        <f t="shared" ca="1" si="33"/>
        <v>0.59571518609535801</v>
      </c>
      <c r="V62" s="31">
        <f t="shared" ca="1" si="20"/>
        <v>603459.00889825879</v>
      </c>
      <c r="W62" s="31">
        <f t="shared" ca="1" si="6"/>
        <v>2937.3672399240754</v>
      </c>
      <c r="X62" s="163">
        <f t="shared" ca="1" si="34"/>
        <v>-11.91430372190716</v>
      </c>
      <c r="Y62" s="163">
        <f t="shared" ca="1" si="35"/>
        <v>-502.88250741521568</v>
      </c>
      <c r="Z62" s="163">
        <f t="shared" ca="1" si="22"/>
        <v>0</v>
      </c>
      <c r="AA62" s="163">
        <f t="shared" ca="1" si="36"/>
        <v>-573.28605845334596</v>
      </c>
      <c r="AB62" s="84">
        <f t="shared" ca="1" si="7"/>
        <v>-3714.1185821784566</v>
      </c>
      <c r="AC62" s="160">
        <f t="shared" si="8"/>
        <v>0</v>
      </c>
      <c r="AD62" s="31">
        <f t="shared" ca="1" si="9"/>
        <v>601594.17468641384</v>
      </c>
      <c r="AE62" s="5"/>
      <c r="AF62" s="151">
        <f t="shared" ca="1" si="10"/>
        <v>-6234.7220095610019</v>
      </c>
      <c r="AG62" s="151">
        <f t="shared" ca="1" si="11"/>
        <v>1009868.7908723461</v>
      </c>
      <c r="AH62" s="5"/>
      <c r="AI62" s="5"/>
      <c r="AJ62" s="5"/>
      <c r="AK62" s="44">
        <v>76</v>
      </c>
      <c r="AL62" s="2">
        <v>6.411E-2</v>
      </c>
      <c r="AM62" s="2">
        <v>6.4180000000000001E-2</v>
      </c>
      <c r="AN62" s="2">
        <f t="shared" si="47"/>
        <v>137</v>
      </c>
      <c r="AO62" s="2">
        <f t="shared" si="48"/>
        <v>0</v>
      </c>
      <c r="AP62" s="45">
        <f t="shared" si="37"/>
        <v>1.7713133024043772E-4</v>
      </c>
      <c r="AQ62" s="46">
        <f t="shared" ca="1" si="49"/>
        <v>6.0333038630391817E-6</v>
      </c>
      <c r="AS62" s="55">
        <f t="shared" si="26"/>
        <v>5</v>
      </c>
      <c r="AT62" s="56">
        <f t="shared" si="38"/>
        <v>59</v>
      </c>
      <c r="AU62" s="57">
        <f t="shared" si="39"/>
        <v>0.74984654151679064</v>
      </c>
      <c r="AV62" s="58">
        <f t="shared" si="27"/>
        <v>4.8675505653430484E-3</v>
      </c>
      <c r="AW62" s="59">
        <f t="shared" si="28"/>
        <v>1.004867550565343</v>
      </c>
      <c r="AX62" s="60">
        <f>PRODUCT(AW$4:AW62)</f>
        <v>1.3317432499906179</v>
      </c>
      <c r="AZ62" s="71">
        <f t="shared" si="40"/>
        <v>59</v>
      </c>
      <c r="BA62" s="72">
        <f t="shared" ca="1" si="52"/>
        <v>1.004867550565343</v>
      </c>
      <c r="BB62" s="72">
        <f t="shared" ca="1" si="52"/>
        <v>1.004867550565343</v>
      </c>
      <c r="BC62" s="72">
        <f t="shared" ca="1" si="52"/>
        <v>1.004867550565343</v>
      </c>
      <c r="BD62" s="72">
        <f t="shared" ca="1" si="52"/>
        <v>1.004867550565343</v>
      </c>
      <c r="BE62" s="72">
        <f t="shared" ca="1" si="52"/>
        <v>1.004867550565343</v>
      </c>
      <c r="BF62" s="72">
        <f t="shared" ca="1" si="52"/>
        <v>1.004867550565343</v>
      </c>
      <c r="BG62" s="72">
        <f t="shared" ca="1" si="52"/>
        <v>1.004867550565343</v>
      </c>
      <c r="BH62" s="72">
        <f t="shared" ca="1" si="52"/>
        <v>1.004867550565343</v>
      </c>
      <c r="BI62" s="72">
        <f t="shared" ca="1" si="52"/>
        <v>1.004867550565343</v>
      </c>
      <c r="BJ62" s="72">
        <f t="shared" ca="1" si="52"/>
        <v>1.004867550565343</v>
      </c>
      <c r="BK62" s="72">
        <f t="shared" ca="1" si="52"/>
        <v>1.004867550565343</v>
      </c>
      <c r="BL62" s="72">
        <f t="shared" ca="1" si="52"/>
        <v>1.004867550565343</v>
      </c>
      <c r="BM62" s="72">
        <f t="shared" ca="1" si="46"/>
        <v>6.0000000000000275E-2</v>
      </c>
      <c r="BN62" s="73">
        <f t="shared" ca="1" si="50"/>
        <v>31.120463069182012</v>
      </c>
    </row>
    <row r="63" spans="5:66">
      <c r="E63">
        <f t="shared" si="31"/>
        <v>60</v>
      </c>
      <c r="F63" s="9">
        <f t="shared" si="32"/>
        <v>73.916666666666387</v>
      </c>
      <c r="G63" s="132">
        <f t="shared" si="0"/>
        <v>0</v>
      </c>
      <c r="H63" s="133">
        <f t="shared" si="41"/>
        <v>1</v>
      </c>
      <c r="I63" s="31">
        <f t="shared" si="14"/>
        <v>2054071.5297631172</v>
      </c>
      <c r="J63" s="31">
        <f t="shared" si="1"/>
        <v>9998.2970359535211</v>
      </c>
      <c r="K63" s="163">
        <f t="shared" si="2"/>
        <v>-20</v>
      </c>
      <c r="L63" s="163">
        <f t="shared" si="15"/>
        <v>-1711.7262748025978</v>
      </c>
      <c r="M63" s="163">
        <f t="shared" si="43"/>
        <v>0</v>
      </c>
      <c r="N63" s="163">
        <f t="shared" si="17"/>
        <v>-1951.3679532749618</v>
      </c>
      <c r="O63" s="84">
        <f t="shared" si="3"/>
        <v>-17488.599999999999</v>
      </c>
      <c r="P63" s="31">
        <f t="shared" si="4"/>
        <v>2042898.1325709932</v>
      </c>
      <c r="Q63" s="5"/>
      <c r="R63">
        <f t="shared" ca="1" si="18"/>
        <v>180</v>
      </c>
      <c r="S63" s="133">
        <f t="shared" ca="1" si="19"/>
        <v>83.72</v>
      </c>
      <c r="T63" s="132">
        <f t="shared" ca="1" si="5"/>
        <v>1.1202604060464583E-2</v>
      </c>
      <c r="U63" s="133">
        <f t="shared" ca="1" si="33"/>
        <v>0.5890416247327257</v>
      </c>
      <c r="V63" s="31">
        <f t="shared" ca="1" si="20"/>
        <v>594854.75334231998</v>
      </c>
      <c r="W63" s="31">
        <f t="shared" ca="1" si="6"/>
        <v>2895.4855909284092</v>
      </c>
      <c r="X63" s="163">
        <f t="shared" ca="1" si="34"/>
        <v>-11.780832494654515</v>
      </c>
      <c r="Y63" s="163">
        <f t="shared" ca="1" si="35"/>
        <v>-495.71229445193336</v>
      </c>
      <c r="Z63" s="163">
        <f t="shared" ca="1" si="22"/>
        <v>-4461.4106500673997</v>
      </c>
      <c r="AA63" s="163">
        <f t="shared" ca="1" si="36"/>
        <v>-565.11201567520413</v>
      </c>
      <c r="AB63" s="84">
        <f t="shared" ca="1" si="7"/>
        <v>-3672.5107822686969</v>
      </c>
      <c r="AC63" s="160">
        <f t="shared" si="8"/>
        <v>0</v>
      </c>
      <c r="AD63" s="31">
        <f t="shared" ca="1" si="9"/>
        <v>588543.71235829068</v>
      </c>
      <c r="AE63" s="5"/>
      <c r="AF63" s="151">
        <f t="shared" ca="1" si="10"/>
        <v>-6234.7220095610019</v>
      </c>
      <c r="AG63" s="151">
        <f t="shared" ca="1" si="11"/>
        <v>999154.7076581202</v>
      </c>
      <c r="AH63" s="5"/>
      <c r="AI63" s="5"/>
      <c r="AJ63" s="5"/>
      <c r="AK63" s="44">
        <v>77</v>
      </c>
      <c r="AL63" s="2">
        <v>6.9739999999999996E-2</v>
      </c>
      <c r="AM63" s="2">
        <v>6.9809999999999997E-2</v>
      </c>
      <c r="AN63" s="2">
        <f t="shared" si="47"/>
        <v>138</v>
      </c>
      <c r="AO63" s="2">
        <f t="shared" si="48"/>
        <v>0</v>
      </c>
      <c r="AP63" s="45">
        <f t="shared" si="37"/>
        <v>1.7713133024043772E-4</v>
      </c>
      <c r="AQ63" s="46">
        <f t="shared" ca="1" si="49"/>
        <v>5.6917960972067743E-6</v>
      </c>
      <c r="AS63" s="55">
        <f t="shared" si="26"/>
        <v>5</v>
      </c>
      <c r="AT63" s="56">
        <f t="shared" si="38"/>
        <v>60</v>
      </c>
      <c r="AU63" s="57">
        <f t="shared" si="39"/>
        <v>0.74619662555971011</v>
      </c>
      <c r="AV63" s="58">
        <f t="shared" si="27"/>
        <v>4.8675505653430484E-3</v>
      </c>
      <c r="AW63" s="59">
        <f t="shared" si="28"/>
        <v>1.004867550565343</v>
      </c>
      <c r="AX63" s="60">
        <f>PRODUCT(AW$4:AW63)</f>
        <v>1.3382255776000016</v>
      </c>
      <c r="AZ63" s="71">
        <f t="shared" si="40"/>
        <v>60</v>
      </c>
      <c r="BA63" s="72">
        <f t="shared" ca="1" si="52"/>
        <v>1.004867550565343</v>
      </c>
      <c r="BB63" s="72">
        <f t="shared" ca="1" si="52"/>
        <v>1.004867550565343</v>
      </c>
      <c r="BC63" s="72">
        <f t="shared" ca="1" si="52"/>
        <v>1.004867550565343</v>
      </c>
      <c r="BD63" s="72">
        <f t="shared" ca="1" si="52"/>
        <v>1.004867550565343</v>
      </c>
      <c r="BE63" s="72">
        <f t="shared" ca="1" si="52"/>
        <v>1.004867550565343</v>
      </c>
      <c r="BF63" s="72">
        <f t="shared" ca="1" si="52"/>
        <v>1.004867550565343</v>
      </c>
      <c r="BG63" s="72">
        <f t="shared" ca="1" si="52"/>
        <v>1.004867550565343</v>
      </c>
      <c r="BH63" s="72">
        <f t="shared" ca="1" si="52"/>
        <v>1.004867550565343</v>
      </c>
      <c r="BI63" s="72">
        <f t="shared" ca="1" si="52"/>
        <v>1.004867550565343</v>
      </c>
      <c r="BJ63" s="72">
        <f t="shared" ca="1" si="52"/>
        <v>1.004867550565343</v>
      </c>
      <c r="BK63" s="72">
        <f t="shared" ca="1" si="52"/>
        <v>1.004867550565343</v>
      </c>
      <c r="BL63" s="72">
        <f t="shared" ca="1" si="52"/>
        <v>1.004867550565343</v>
      </c>
      <c r="BM63" s="72">
        <f t="shared" ca="1" si="46"/>
        <v>6.0000000000000275E-2</v>
      </c>
      <c r="BN63" s="73">
        <f t="shared" ca="1" si="50"/>
        <v>32.987690853332943</v>
      </c>
    </row>
    <row r="64" spans="5:66">
      <c r="E64">
        <f t="shared" si="31"/>
        <v>61</v>
      </c>
      <c r="F64" s="9">
        <f t="shared" si="32"/>
        <v>73.999999999999716</v>
      </c>
      <c r="G64" s="132">
        <f t="shared" si="0"/>
        <v>0</v>
      </c>
      <c r="H64" s="133">
        <f t="shared" si="41"/>
        <v>1</v>
      </c>
      <c r="I64" s="31">
        <f t="shared" si="14"/>
        <v>2042898.1325709932</v>
      </c>
      <c r="J64" s="31">
        <f t="shared" si="1"/>
        <v>9943.909960134195</v>
      </c>
      <c r="K64" s="163">
        <f t="shared" si="2"/>
        <v>-20</v>
      </c>
      <c r="L64" s="163">
        <f t="shared" si="15"/>
        <v>-1702.4151104758278</v>
      </c>
      <c r="M64" s="163">
        <f t="shared" si="43"/>
        <v>-15321.735994282448</v>
      </c>
      <c r="N64" s="163">
        <f t="shared" si="17"/>
        <v>-1940.753225942444</v>
      </c>
      <c r="O64" s="84">
        <f t="shared" si="3"/>
        <v>-17488.599999999999</v>
      </c>
      <c r="P64" s="31">
        <f t="shared" si="4"/>
        <v>2016368.5382004266</v>
      </c>
      <c r="Q64" s="5"/>
      <c r="R64">
        <f t="shared" ca="1" si="18"/>
        <v>181</v>
      </c>
      <c r="S64" s="133">
        <f t="shared" ca="1" si="19"/>
        <v>83.8</v>
      </c>
      <c r="T64" s="132">
        <f t="shared" ca="1" si="5"/>
        <v>1.1202604060464583E-2</v>
      </c>
      <c r="U64" s="133">
        <f t="shared" ca="1" si="33"/>
        <v>0.58244282463571218</v>
      </c>
      <c r="V64" s="31">
        <f t="shared" ca="1" si="20"/>
        <v>581950.49017646478</v>
      </c>
      <c r="W64" s="31">
        <f t="shared" ca="1" si="6"/>
        <v>2832.6734374601151</v>
      </c>
      <c r="X64" s="163">
        <f t="shared" ca="1" si="34"/>
        <v>-11.648856492714243</v>
      </c>
      <c r="Y64" s="163">
        <f t="shared" ca="1" si="35"/>
        <v>-484.95874181372068</v>
      </c>
      <c r="Z64" s="163">
        <f t="shared" ca="1" si="22"/>
        <v>0</v>
      </c>
      <c r="AA64" s="163">
        <f t="shared" ca="1" si="36"/>
        <v>-552.85296566764157</v>
      </c>
      <c r="AB64" s="84">
        <f t="shared" ca="1" si="7"/>
        <v>-3631.3690980671531</v>
      </c>
      <c r="AC64" s="160">
        <f t="shared" si="8"/>
        <v>0</v>
      </c>
      <c r="AD64" s="31">
        <f t="shared" ca="1" si="9"/>
        <v>580102.33395188372</v>
      </c>
      <c r="AE64" s="5"/>
      <c r="AF64" s="151">
        <f t="shared" ca="1" si="10"/>
        <v>-6234.722009561001</v>
      </c>
      <c r="AG64" s="151">
        <f t="shared" ca="1" si="11"/>
        <v>995981.59581536206</v>
      </c>
      <c r="AH64" s="5"/>
      <c r="AI64" s="5"/>
      <c r="AJ64" s="5"/>
      <c r="AK64" s="44">
        <v>78</v>
      </c>
      <c r="AL64" s="2">
        <v>7.5880000000000003E-2</v>
      </c>
      <c r="AM64" s="2">
        <v>7.5950000000000004E-2</v>
      </c>
      <c r="AN64" s="2">
        <f t="shared" si="47"/>
        <v>139</v>
      </c>
      <c r="AO64" s="2">
        <f t="shared" si="48"/>
        <v>0</v>
      </c>
      <c r="AP64" s="45">
        <f t="shared" si="37"/>
        <v>1.7713133024043772E-4</v>
      </c>
      <c r="AQ64" s="46">
        <f t="shared" ca="1" si="49"/>
        <v>5.3696189596290305E-6</v>
      </c>
      <c r="AS64" s="55">
        <f t="shared" si="26"/>
        <v>6</v>
      </c>
      <c r="AT64" s="56">
        <f t="shared" si="38"/>
        <v>61</v>
      </c>
      <c r="AU64" s="57">
        <f t="shared" si="39"/>
        <v>0.74256447575310991</v>
      </c>
      <c r="AV64" s="58">
        <f t="shared" si="27"/>
        <v>4.8675505653430484E-3</v>
      </c>
      <c r="AW64" s="59">
        <f t="shared" si="28"/>
        <v>1.004867550565343</v>
      </c>
      <c r="AX64" s="60">
        <f>PRODUCT(AW$4:AW64)</f>
        <v>1.3447394582668051</v>
      </c>
      <c r="AZ64" s="71">
        <f t="shared" si="40"/>
        <v>61</v>
      </c>
      <c r="BA64" s="72">
        <f t="shared" ca="1" si="52"/>
        <v>1.004867550565343</v>
      </c>
      <c r="BB64" s="72">
        <f t="shared" ca="1" si="52"/>
        <v>1.004867550565343</v>
      </c>
      <c r="BC64" s="72">
        <f t="shared" ca="1" si="52"/>
        <v>1.004867550565343</v>
      </c>
      <c r="BD64" s="72">
        <f t="shared" ca="1" si="52"/>
        <v>1.004867550565343</v>
      </c>
      <c r="BE64" s="72">
        <f t="shared" ca="1" si="52"/>
        <v>1.004867550565343</v>
      </c>
      <c r="BF64" s="72">
        <f t="shared" ca="1" si="52"/>
        <v>1.004867550565343</v>
      </c>
      <c r="BG64" s="72">
        <f t="shared" ca="1" si="52"/>
        <v>1.004867550565343</v>
      </c>
      <c r="BH64" s="72">
        <f t="shared" ca="1" si="52"/>
        <v>1.004867550565343</v>
      </c>
      <c r="BI64" s="72">
        <f t="shared" ca="1" si="52"/>
        <v>1.004867550565343</v>
      </c>
      <c r="BJ64" s="72">
        <f t="shared" ca="1" si="52"/>
        <v>1.004867550565343</v>
      </c>
      <c r="BK64" s="72">
        <f t="shared" ca="1" si="52"/>
        <v>1.004867550565343</v>
      </c>
      <c r="BL64" s="72">
        <f t="shared" ca="1" si="52"/>
        <v>1.004867550565343</v>
      </c>
      <c r="BM64" s="72">
        <f t="shared" ca="1" si="46"/>
        <v>6.0000000000000275E-2</v>
      </c>
      <c r="BN64" s="73">
        <f t="shared" ca="1" si="50"/>
        <v>34.966952304532931</v>
      </c>
    </row>
    <row r="65" spans="5:66">
      <c r="E65">
        <f t="shared" si="31"/>
        <v>62</v>
      </c>
      <c r="F65" s="9">
        <f t="shared" si="32"/>
        <v>74.083333333333044</v>
      </c>
      <c r="G65" s="132">
        <f t="shared" si="0"/>
        <v>0</v>
      </c>
      <c r="H65" s="133">
        <f t="shared" si="41"/>
        <v>1</v>
      </c>
      <c r="I65" s="31">
        <f t="shared" si="14"/>
        <v>2016368.5382004266</v>
      </c>
      <c r="J65" s="31">
        <f t="shared" si="1"/>
        <v>9814.7758180574219</v>
      </c>
      <c r="K65" s="163">
        <f t="shared" si="2"/>
        <v>-20</v>
      </c>
      <c r="L65" s="163">
        <f t="shared" si="15"/>
        <v>-1680.3071151670222</v>
      </c>
      <c r="M65" s="163">
        <f t="shared" si="43"/>
        <v>0</v>
      </c>
      <c r="N65" s="163">
        <f t="shared" si="17"/>
        <v>-1915.5501112904058</v>
      </c>
      <c r="O65" s="84">
        <f t="shared" si="3"/>
        <v>-17488.599999999999</v>
      </c>
      <c r="P65" s="31">
        <f t="shared" si="4"/>
        <v>2005078.8567920267</v>
      </c>
      <c r="Q65" s="5"/>
      <c r="R65">
        <f t="shared" ca="1" si="18"/>
        <v>182</v>
      </c>
      <c r="S65" s="133">
        <f t="shared" ca="1" si="19"/>
        <v>83.88</v>
      </c>
      <c r="T65" s="132">
        <f t="shared" ca="1" si="5"/>
        <v>1.1202604060464583E-2</v>
      </c>
      <c r="U65" s="133">
        <f t="shared" ca="1" si="33"/>
        <v>0.57591794828345966</v>
      </c>
      <c r="V65" s="31">
        <f t="shared" ca="1" si="20"/>
        <v>573603.67719006934</v>
      </c>
      <c r="W65" s="31">
        <f t="shared" ca="1" si="6"/>
        <v>2792.0449031893736</v>
      </c>
      <c r="X65" s="163">
        <f t="shared" ca="1" si="34"/>
        <v>-11.518358965669194</v>
      </c>
      <c r="Y65" s="163">
        <f t="shared" ca="1" si="35"/>
        <v>-478.00306432505784</v>
      </c>
      <c r="Z65" s="163">
        <f t="shared" ca="1" si="22"/>
        <v>0</v>
      </c>
      <c r="AA65" s="163">
        <f t="shared" ca="1" si="36"/>
        <v>-544.92349333056598</v>
      </c>
      <c r="AB65" s="84">
        <f t="shared" ca="1" si="7"/>
        <v>-3590.6883078641004</v>
      </c>
      <c r="AC65" s="160">
        <f t="shared" si="8"/>
        <v>0</v>
      </c>
      <c r="AD65" s="31">
        <f t="shared" ca="1" si="9"/>
        <v>571770.58886877331</v>
      </c>
      <c r="AE65" s="5"/>
      <c r="AF65" s="151">
        <f t="shared" ca="1" si="10"/>
        <v>-6234.722009561001</v>
      </c>
      <c r="AG65" s="151">
        <f t="shared" ca="1" si="11"/>
        <v>992798.69740637939</v>
      </c>
      <c r="AH65" s="5"/>
      <c r="AI65" s="5"/>
      <c r="AJ65" s="5"/>
      <c r="AK65" s="44">
        <v>79</v>
      </c>
      <c r="AL65" s="2">
        <v>8.2589999999999997E-2</v>
      </c>
      <c r="AM65" s="2">
        <v>8.2659999999999997E-2</v>
      </c>
      <c r="AN65" s="2">
        <f t="shared" si="47"/>
        <v>140</v>
      </c>
      <c r="AO65" s="2">
        <f t="shared" si="48"/>
        <v>0</v>
      </c>
      <c r="AP65" s="45">
        <f t="shared" si="37"/>
        <v>1.7713133024043772E-4</v>
      </c>
      <c r="AQ65" s="46">
        <f t="shared" ca="1" si="49"/>
        <v>5.0656782638009705E-6</v>
      </c>
      <c r="AS65" s="55">
        <f t="shared" si="26"/>
        <v>6</v>
      </c>
      <c r="AT65" s="56">
        <f t="shared" si="38"/>
        <v>62</v>
      </c>
      <c r="AU65" s="57">
        <f t="shared" si="39"/>
        <v>0.7389500056193542</v>
      </c>
      <c r="AV65" s="58">
        <f t="shared" si="27"/>
        <v>4.8675505653430484E-3</v>
      </c>
      <c r="AW65" s="59">
        <f t="shared" si="28"/>
        <v>1.004867550565343</v>
      </c>
      <c r="AX65" s="60">
        <f>PRODUCT(AW$4:AW65)</f>
        <v>1.3512850455771308</v>
      </c>
      <c r="AZ65" s="71">
        <f t="shared" si="40"/>
        <v>62</v>
      </c>
      <c r="BA65" s="72">
        <f t="shared" ref="BA65:BL74" ca="1" si="53">OFFSET($AW$3,($AZ65*12-12)+BA$3,0)</f>
        <v>1.004867550565343</v>
      </c>
      <c r="BB65" s="72">
        <f t="shared" ca="1" si="53"/>
        <v>1.004867550565343</v>
      </c>
      <c r="BC65" s="72">
        <f t="shared" ca="1" si="53"/>
        <v>1.004867550565343</v>
      </c>
      <c r="BD65" s="72">
        <f t="shared" ca="1" si="53"/>
        <v>1.004867550565343</v>
      </c>
      <c r="BE65" s="72">
        <f t="shared" ca="1" si="53"/>
        <v>1.004867550565343</v>
      </c>
      <c r="BF65" s="72">
        <f t="shared" ca="1" si="53"/>
        <v>1.004867550565343</v>
      </c>
      <c r="BG65" s="72">
        <f t="shared" ca="1" si="53"/>
        <v>1.004867550565343</v>
      </c>
      <c r="BH65" s="72">
        <f t="shared" ca="1" si="53"/>
        <v>1.004867550565343</v>
      </c>
      <c r="BI65" s="72">
        <f t="shared" ca="1" si="53"/>
        <v>1.004867550565343</v>
      </c>
      <c r="BJ65" s="72">
        <f t="shared" ca="1" si="53"/>
        <v>1.004867550565343</v>
      </c>
      <c r="BK65" s="72">
        <f t="shared" ca="1" si="53"/>
        <v>1.004867550565343</v>
      </c>
      <c r="BL65" s="72">
        <f t="shared" ca="1" si="53"/>
        <v>1.004867550565343</v>
      </c>
      <c r="BM65" s="72">
        <f t="shared" ca="1" si="46"/>
        <v>6.0000000000000275E-2</v>
      </c>
      <c r="BN65" s="73">
        <f t="shared" ca="1" si="50"/>
        <v>37.064969442804916</v>
      </c>
    </row>
    <row r="66" spans="5:66">
      <c r="E66">
        <f t="shared" si="31"/>
        <v>63</v>
      </c>
      <c r="F66" s="9">
        <f t="shared" si="32"/>
        <v>74.166666666666373</v>
      </c>
      <c r="G66" s="132">
        <f t="shared" si="0"/>
        <v>0</v>
      </c>
      <c r="H66" s="133">
        <f t="shared" si="41"/>
        <v>1</v>
      </c>
      <c r="I66" s="31">
        <f t="shared" si="14"/>
        <v>2005078.8567920267</v>
      </c>
      <c r="J66" s="31">
        <f t="shared" si="1"/>
        <v>9759.8227229354234</v>
      </c>
      <c r="K66" s="163">
        <f t="shared" si="2"/>
        <v>-20</v>
      </c>
      <c r="L66" s="163">
        <f t="shared" si="15"/>
        <v>-1670.899047326689</v>
      </c>
      <c r="M66" s="163">
        <f t="shared" si="43"/>
        <v>0</v>
      </c>
      <c r="N66" s="163">
        <f t="shared" si="17"/>
        <v>-1904.8249139524257</v>
      </c>
      <c r="O66" s="84">
        <f t="shared" si="3"/>
        <v>-17488.599999999999</v>
      </c>
      <c r="P66" s="31">
        <f t="shared" si="4"/>
        <v>1993754.3555536827</v>
      </c>
      <c r="Q66" s="5"/>
      <c r="R66">
        <f t="shared" ca="1" si="18"/>
        <v>183</v>
      </c>
      <c r="S66" s="133">
        <f t="shared" ca="1" si="19"/>
        <v>83.96</v>
      </c>
      <c r="T66" s="132">
        <f t="shared" ca="1" si="5"/>
        <v>1.1202604060464583E-2</v>
      </c>
      <c r="U66" s="133">
        <f t="shared" ca="1" si="33"/>
        <v>0.56946616753752499</v>
      </c>
      <c r="V66" s="31">
        <f t="shared" ca="1" si="20"/>
        <v>565365.2693482578</v>
      </c>
      <c r="W66" s="31">
        <f t="shared" ca="1" si="6"/>
        <v>2751.9440364414372</v>
      </c>
      <c r="X66" s="163">
        <f t="shared" ca="1" si="34"/>
        <v>-11.3893233507505</v>
      </c>
      <c r="Y66" s="163">
        <f t="shared" ca="1" si="35"/>
        <v>-471.13772445688153</v>
      </c>
      <c r="Z66" s="163">
        <f t="shared" ca="1" si="22"/>
        <v>0</v>
      </c>
      <c r="AA66" s="163">
        <f t="shared" ca="1" si="36"/>
        <v>-537.09700588084502</v>
      </c>
      <c r="AB66" s="84">
        <f t="shared" ca="1" si="7"/>
        <v>-3550.4632484465601</v>
      </c>
      <c r="AC66" s="160">
        <f t="shared" si="8"/>
        <v>0</v>
      </c>
      <c r="AD66" s="31">
        <f t="shared" ca="1" si="9"/>
        <v>563547.12608256424</v>
      </c>
      <c r="AE66" s="5"/>
      <c r="AF66" s="151">
        <f t="shared" ca="1" si="10"/>
        <v>-6234.7220095610019</v>
      </c>
      <c r="AG66" s="151">
        <f t="shared" ca="1" si="11"/>
        <v>989605.982247276</v>
      </c>
      <c r="AH66" s="5"/>
      <c r="AI66" s="5"/>
      <c r="AJ66" s="5"/>
      <c r="AK66" s="44">
        <v>80</v>
      </c>
      <c r="AL66" s="2">
        <v>8.992E-2</v>
      </c>
      <c r="AM66" s="2">
        <v>0.09</v>
      </c>
      <c r="AN66" s="2">
        <f t="shared" si="47"/>
        <v>141</v>
      </c>
      <c r="AO66" s="2">
        <f t="shared" si="48"/>
        <v>0</v>
      </c>
      <c r="AP66" s="45">
        <f t="shared" si="37"/>
        <v>1.7713133024043772E-4</v>
      </c>
      <c r="AQ66" s="46">
        <f t="shared" ca="1" si="49"/>
        <v>4.7789417583028009E-6</v>
      </c>
      <c r="AS66" s="55">
        <f t="shared" si="26"/>
        <v>6</v>
      </c>
      <c r="AT66" s="56">
        <f t="shared" si="38"/>
        <v>63</v>
      </c>
      <c r="AU66" s="57">
        <f t="shared" si="39"/>
        <v>0.73535312910174144</v>
      </c>
      <c r="AV66" s="58">
        <f t="shared" si="27"/>
        <v>4.8675505653430484E-3</v>
      </c>
      <c r="AW66" s="59">
        <f t="shared" si="28"/>
        <v>1.004867550565343</v>
      </c>
      <c r="AX66" s="60">
        <f>PRODUCT(AW$4:AW66)</f>
        <v>1.3578624938646693</v>
      </c>
      <c r="AZ66" s="71">
        <f t="shared" si="40"/>
        <v>63</v>
      </c>
      <c r="BA66" s="72">
        <f t="shared" ca="1" si="53"/>
        <v>1.004867550565343</v>
      </c>
      <c r="BB66" s="72">
        <f t="shared" ca="1" si="53"/>
        <v>1.004867550565343</v>
      </c>
      <c r="BC66" s="72">
        <f t="shared" ca="1" si="53"/>
        <v>1.004867550565343</v>
      </c>
      <c r="BD66" s="72">
        <f t="shared" ca="1" si="53"/>
        <v>1.004867550565343</v>
      </c>
      <c r="BE66" s="72">
        <f t="shared" ca="1" si="53"/>
        <v>1.004867550565343</v>
      </c>
      <c r="BF66" s="72">
        <f t="shared" ca="1" si="53"/>
        <v>1.004867550565343</v>
      </c>
      <c r="BG66" s="72">
        <f t="shared" ca="1" si="53"/>
        <v>1.004867550565343</v>
      </c>
      <c r="BH66" s="72">
        <f t="shared" ca="1" si="53"/>
        <v>1.004867550565343</v>
      </c>
      <c r="BI66" s="72">
        <f t="shared" ca="1" si="53"/>
        <v>1.004867550565343</v>
      </c>
      <c r="BJ66" s="72">
        <f t="shared" ca="1" si="53"/>
        <v>1.004867550565343</v>
      </c>
      <c r="BK66" s="72">
        <f t="shared" ca="1" si="53"/>
        <v>1.004867550565343</v>
      </c>
      <c r="BL66" s="72">
        <f t="shared" ca="1" si="53"/>
        <v>1.004867550565343</v>
      </c>
      <c r="BM66" s="72">
        <f t="shared" ca="1" si="46"/>
        <v>6.0000000000000275E-2</v>
      </c>
      <c r="BN66" s="73">
        <f t="shared" ca="1" si="50"/>
        <v>39.28886760937322</v>
      </c>
    </row>
    <row r="67" spans="5:66">
      <c r="E67">
        <f t="shared" si="31"/>
        <v>64</v>
      </c>
      <c r="F67" s="9">
        <f t="shared" si="32"/>
        <v>74.249999999999702</v>
      </c>
      <c r="G67" s="132">
        <f t="shared" si="0"/>
        <v>0</v>
      </c>
      <c r="H67" s="133">
        <f t="shared" si="41"/>
        <v>1</v>
      </c>
      <c r="I67" s="31">
        <f t="shared" si="14"/>
        <v>1993754.3555536827</v>
      </c>
      <c r="J67" s="31">
        <f t="shared" si="1"/>
        <v>9704.7001405304927</v>
      </c>
      <c r="K67" s="163">
        <f t="shared" si="2"/>
        <v>-20</v>
      </c>
      <c r="L67" s="163">
        <f t="shared" si="15"/>
        <v>-1661.4619629614024</v>
      </c>
      <c r="M67" s="163">
        <f t="shared" si="43"/>
        <v>0</v>
      </c>
      <c r="N67" s="163">
        <f t="shared" si="17"/>
        <v>-1894.066637775999</v>
      </c>
      <c r="O67" s="84">
        <f t="shared" si="3"/>
        <v>-17488.599999999999</v>
      </c>
      <c r="P67" s="31">
        <f t="shared" si="4"/>
        <v>1982394.9270934756</v>
      </c>
      <c r="Q67" s="5"/>
      <c r="R67">
        <f t="shared" ca="1" si="18"/>
        <v>184</v>
      </c>
      <c r="S67" s="133">
        <f t="shared" ca="1" si="19"/>
        <v>84.04</v>
      </c>
      <c r="T67" s="132">
        <f t="shared" ca="1" si="5"/>
        <v>1.1202604060464583E-2</v>
      </c>
      <c r="U67" s="133">
        <f t="shared" ca="1" si="33"/>
        <v>0.56308666353677195</v>
      </c>
      <c r="V67" s="31">
        <f t="shared" ca="1" si="20"/>
        <v>557233.93075964856</v>
      </c>
      <c r="W67" s="31">
        <f t="shared" ca="1" si="6"/>
        <v>2712.3643346974563</v>
      </c>
      <c r="X67" s="163">
        <f t="shared" ca="1" si="34"/>
        <v>-11.261733270735439</v>
      </c>
      <c r="Y67" s="163">
        <f t="shared" ca="1" si="35"/>
        <v>-464.36160896637381</v>
      </c>
      <c r="Z67" s="163">
        <f t="shared" ca="1" si="22"/>
        <v>0</v>
      </c>
      <c r="AA67" s="163">
        <f t="shared" ca="1" si="36"/>
        <v>-529.37223422166619</v>
      </c>
      <c r="AB67" s="84">
        <f t="shared" ca="1" si="7"/>
        <v>-3510.6888144429827</v>
      </c>
      <c r="AC67" s="160">
        <f t="shared" si="8"/>
        <v>0</v>
      </c>
      <c r="AD67" s="31">
        <f t="shared" ca="1" si="9"/>
        <v>555430.61070344434</v>
      </c>
      <c r="AE67" s="5"/>
      <c r="AF67" s="151">
        <f t="shared" ca="1" si="10"/>
        <v>-6234.7220095610019</v>
      </c>
      <c r="AG67" s="151">
        <f t="shared" ca="1" si="11"/>
        <v>986403.42006106197</v>
      </c>
      <c r="AH67" s="5"/>
      <c r="AI67" s="5"/>
      <c r="AJ67" s="5"/>
      <c r="AK67" s="44">
        <v>81</v>
      </c>
      <c r="AL67" s="2">
        <v>9.7919999999999993E-2</v>
      </c>
      <c r="AM67" s="2">
        <v>9.8019999999999996E-2</v>
      </c>
      <c r="AN67" s="2">
        <f t="shared" si="47"/>
        <v>142</v>
      </c>
      <c r="AO67" s="2">
        <f t="shared" si="48"/>
        <v>0</v>
      </c>
      <c r="AP67" s="45">
        <f t="shared" si="37"/>
        <v>1.7713133024043772E-4</v>
      </c>
      <c r="AQ67" s="46">
        <f t="shared" ca="1" si="49"/>
        <v>4.5084356210403775E-6</v>
      </c>
      <c r="AS67" s="55">
        <f t="shared" si="26"/>
        <v>6</v>
      </c>
      <c r="AT67" s="56">
        <f t="shared" si="38"/>
        <v>64</v>
      </c>
      <c r="AU67" s="57">
        <f t="shared" si="39"/>
        <v>0.73177376056245547</v>
      </c>
      <c r="AV67" s="58">
        <f t="shared" si="27"/>
        <v>4.8675505653430484E-3</v>
      </c>
      <c r="AW67" s="59">
        <f t="shared" si="28"/>
        <v>1.004867550565343</v>
      </c>
      <c r="AX67" s="60">
        <f>PRODUCT(AW$4:AW67)</f>
        <v>1.3644719582143383</v>
      </c>
      <c r="AZ67" s="71">
        <f t="shared" si="40"/>
        <v>64</v>
      </c>
      <c r="BA67" s="72">
        <f t="shared" ca="1" si="53"/>
        <v>1.004867550565343</v>
      </c>
      <c r="BB67" s="72">
        <f t="shared" ca="1" si="53"/>
        <v>1.004867550565343</v>
      </c>
      <c r="BC67" s="72">
        <f t="shared" ca="1" si="53"/>
        <v>1.004867550565343</v>
      </c>
      <c r="BD67" s="72">
        <f t="shared" ca="1" si="53"/>
        <v>1.004867550565343</v>
      </c>
      <c r="BE67" s="72">
        <f t="shared" ca="1" si="53"/>
        <v>1.004867550565343</v>
      </c>
      <c r="BF67" s="72">
        <f t="shared" ca="1" si="53"/>
        <v>1.004867550565343</v>
      </c>
      <c r="BG67" s="72">
        <f t="shared" ca="1" si="53"/>
        <v>1.004867550565343</v>
      </c>
      <c r="BH67" s="72">
        <f t="shared" ca="1" si="53"/>
        <v>1.004867550565343</v>
      </c>
      <c r="BI67" s="72">
        <f t="shared" ca="1" si="53"/>
        <v>1.004867550565343</v>
      </c>
      <c r="BJ67" s="72">
        <f t="shared" ca="1" si="53"/>
        <v>1.004867550565343</v>
      </c>
      <c r="BK67" s="72">
        <f t="shared" ca="1" si="53"/>
        <v>1.004867550565343</v>
      </c>
      <c r="BL67" s="72">
        <f t="shared" ca="1" si="53"/>
        <v>1.004867550565343</v>
      </c>
      <c r="BM67" s="72">
        <f t="shared" ca="1" si="46"/>
        <v>6.0000000000000275E-2</v>
      </c>
      <c r="BN67" s="73">
        <f t="shared" ca="1" si="50"/>
        <v>41.646199665935626</v>
      </c>
    </row>
    <row r="68" spans="5:66">
      <c r="E68">
        <f t="shared" si="31"/>
        <v>65</v>
      </c>
      <c r="F68" s="9">
        <f t="shared" si="32"/>
        <v>74.33333333333303</v>
      </c>
      <c r="G68" s="132">
        <f t="shared" ref="G68:G131" si="54">(1-(1-IF(F68&gt;$AK$90,0,VLOOKUP(ROUND(F68,0),$AK$4:$AL$90,2,FALSE)))^(1/12))*0</f>
        <v>0</v>
      </c>
      <c r="H68" s="133">
        <f t="shared" si="41"/>
        <v>1</v>
      </c>
      <c r="I68" s="31">
        <f t="shared" si="14"/>
        <v>1982394.9270934756</v>
      </c>
      <c r="J68" s="31">
        <f t="shared" ref="J68:J131" si="55">(I68)*$AV68</f>
        <v>9649.4075481070377</v>
      </c>
      <c r="K68" s="163">
        <f t="shared" ref="K68:K131" si="56">IF(I68=0,0,-$C$19)*H68</f>
        <v>-20</v>
      </c>
      <c r="L68" s="163">
        <f t="shared" si="15"/>
        <v>-1651.9957725778963</v>
      </c>
      <c r="M68" s="163">
        <f t="shared" si="43"/>
        <v>0</v>
      </c>
      <c r="N68" s="163">
        <f t="shared" si="17"/>
        <v>-1883.2751807388022</v>
      </c>
      <c r="O68" s="84">
        <f t="shared" ref="O68:O131" si="57">-MIN(
IF(MOD(E68-1,IF($C$7="Annual",12,1))=0,1,0)
*IF(F68&lt;=$C$6,H68*$C$5*$C$4/IF($C$7="Monthly",12,1),$C$12),I68)</f>
        <v>-17488.599999999999</v>
      </c>
      <c r="P68" s="31">
        <f t="shared" ref="P68:P131" si="58">SUM(I68:O68)</f>
        <v>1971000.4636882658</v>
      </c>
      <c r="Q68" s="5"/>
      <c r="R68">
        <f t="shared" ca="1" si="18"/>
        <v>185</v>
      </c>
      <c r="S68" s="133">
        <f t="shared" ca="1" si="19"/>
        <v>84.12</v>
      </c>
      <c r="T68" s="132">
        <f t="shared" ref="T68:T131" ca="1" si="59">(1-(1-IF(S68&gt;$AK$90,0,VLOOKUP(ROUND(S68,0),$AK$4:$AL$90,2,FALSE)))^(1/12))</f>
        <v>1.1202604060464583E-2</v>
      </c>
      <c r="U68" s="133">
        <f t="shared" ca="1" si="33"/>
        <v>0.55677862659344146</v>
      </c>
      <c r="V68" s="31">
        <f t="shared" ca="1" si="20"/>
        <v>549208.34148867161</v>
      </c>
      <c r="W68" s="31">
        <f t="shared" ref="W68:W131" ca="1" si="60">(V68)*$AV68</f>
        <v>2673.2993731043016</v>
      </c>
      <c r="X68" s="163">
        <f t="shared" ca="1" si="34"/>
        <v>-11.13557253186883</v>
      </c>
      <c r="Y68" s="163">
        <f t="shared" ca="1" si="35"/>
        <v>-457.67361790722634</v>
      </c>
      <c r="Z68" s="163">
        <f t="shared" ca="1" si="22"/>
        <v>0</v>
      </c>
      <c r="AA68" s="163">
        <f t="shared" ca="1" si="36"/>
        <v>-521.74792441423813</v>
      </c>
      <c r="AB68" s="84">
        <f t="shared" ref="AB68:AB131" ca="1" si="61">-MIN(IF(MOD(R68,IF($C$7="Annual",12,1))=0,1,0)*$C$39*U68/IF($C$7="Monthly",12,1),V68)</f>
        <v>-3471.3599576752763</v>
      </c>
      <c r="AC68" s="160">
        <f t="shared" ref="AC68:AC131" si="62">IF($C$8="Yes",-V68*T68,0)</f>
        <v>0</v>
      </c>
      <c r="AD68" s="31">
        <f t="shared" ref="AD68:AD131" ca="1" si="63">SUM(V68:AC68)</f>
        <v>547419.72378924733</v>
      </c>
      <c r="AE68" s="5"/>
      <c r="AF68" s="151">
        <f t="shared" ref="AF68:AF131" ca="1" si="64">AB68/U68</f>
        <v>-6234.7220095610028</v>
      </c>
      <c r="AG68" s="151">
        <f t="shared" ref="AG68:AG131" ca="1" si="65">AD68/U68</f>
        <v>983190.98047736671</v>
      </c>
      <c r="AH68" s="5"/>
      <c r="AI68" s="5"/>
      <c r="AJ68" s="5"/>
      <c r="AK68" s="44">
        <v>82</v>
      </c>
      <c r="AL68" s="2">
        <v>0.10664</v>
      </c>
      <c r="AM68" s="2">
        <v>0.10677</v>
      </c>
      <c r="AN68" s="2">
        <f t="shared" si="47"/>
        <v>143</v>
      </c>
      <c r="AO68" s="2">
        <f t="shared" si="48"/>
        <v>0</v>
      </c>
      <c r="AP68" s="45">
        <f t="shared" si="37"/>
        <v>1.7713133024043772E-4</v>
      </c>
      <c r="AQ68" s="46">
        <f t="shared" ca="1" si="49"/>
        <v>4.253241151924883E-6</v>
      </c>
      <c r="AS68" s="55">
        <f t="shared" si="26"/>
        <v>6</v>
      </c>
      <c r="AT68" s="56">
        <f t="shared" si="38"/>
        <v>65</v>
      </c>
      <c r="AU68" s="57">
        <f t="shared" si="39"/>
        <v>0.72821181478052643</v>
      </c>
      <c r="AV68" s="58">
        <f t="shared" si="27"/>
        <v>4.8675505653430484E-3</v>
      </c>
      <c r="AW68" s="59">
        <f t="shared" si="28"/>
        <v>1.004867550565343</v>
      </c>
      <c r="AX68" s="60">
        <f>PRODUCT(AW$4:AW68)</f>
        <v>1.3711135944659392</v>
      </c>
      <c r="AZ68" s="71">
        <f t="shared" si="40"/>
        <v>65</v>
      </c>
      <c r="BA68" s="72">
        <f t="shared" ca="1" si="53"/>
        <v>1.004867550565343</v>
      </c>
      <c r="BB68" s="72">
        <f t="shared" ca="1" si="53"/>
        <v>1.004867550565343</v>
      </c>
      <c r="BC68" s="72">
        <f t="shared" ca="1" si="53"/>
        <v>1.004867550565343</v>
      </c>
      <c r="BD68" s="72">
        <f t="shared" ca="1" si="53"/>
        <v>1.004867550565343</v>
      </c>
      <c r="BE68" s="72">
        <f t="shared" ca="1" si="53"/>
        <v>1.004867550565343</v>
      </c>
      <c r="BF68" s="72">
        <f t="shared" ca="1" si="53"/>
        <v>1.004867550565343</v>
      </c>
      <c r="BG68" s="72">
        <f t="shared" ca="1" si="53"/>
        <v>1.004867550565343</v>
      </c>
      <c r="BH68" s="72">
        <f t="shared" ca="1" si="53"/>
        <v>1.004867550565343</v>
      </c>
      <c r="BI68" s="72">
        <f t="shared" ca="1" si="53"/>
        <v>1.004867550565343</v>
      </c>
      <c r="BJ68" s="72">
        <f t="shared" ca="1" si="53"/>
        <v>1.004867550565343</v>
      </c>
      <c r="BK68" s="72">
        <f t="shared" ca="1" si="53"/>
        <v>1.004867550565343</v>
      </c>
      <c r="BL68" s="72">
        <f t="shared" ca="1" si="53"/>
        <v>1.004867550565343</v>
      </c>
      <c r="BM68" s="72">
        <f t="shared" ref="BM68:BM99" ca="1" si="66">PRODUCT(BA68:BL68)-1</f>
        <v>6.0000000000000275E-2</v>
      </c>
      <c r="BN68" s="73">
        <f t="shared" ca="1" si="50"/>
        <v>44.144971645891772</v>
      </c>
    </row>
    <row r="69" spans="5:66">
      <c r="E69">
        <f t="shared" si="31"/>
        <v>66</v>
      </c>
      <c r="F69" s="9">
        <f t="shared" si="32"/>
        <v>74.416666666666359</v>
      </c>
      <c r="G69" s="132">
        <f t="shared" si="54"/>
        <v>0</v>
      </c>
      <c r="H69" s="133">
        <f t="shared" si="41"/>
        <v>1</v>
      </c>
      <c r="I69" s="31">
        <f t="shared" ref="I69:I132" si="67">MAX(P68,0)*(1-G69)</f>
        <v>1971000.4636882658</v>
      </c>
      <c r="J69" s="31">
        <f t="shared" si="55"/>
        <v>9593.9444213172283</v>
      </c>
      <c r="K69" s="163">
        <f t="shared" si="56"/>
        <v>-20</v>
      </c>
      <c r="L69" s="163">
        <f t="shared" ref="L69:L132" si="68">IF(OR(I68+O68=0,K68=0),0,-I69*($C$16/12))</f>
        <v>-1642.5003864068883</v>
      </c>
      <c r="M69" s="163">
        <f t="shared" si="43"/>
        <v>0</v>
      </c>
      <c r="N69" s="163">
        <f t="shared" ref="N69:N132" si="69">IF(OR(I68+O68=0,K68=0),0,-I69*($C$18*(1+$C$20))/12)</f>
        <v>-1872.4504405038526</v>
      </c>
      <c r="O69" s="84">
        <f t="shared" si="57"/>
        <v>-17488.599999999999</v>
      </c>
      <c r="P69" s="31">
        <f t="shared" si="58"/>
        <v>1959570.8572826721</v>
      </c>
      <c r="Q69" s="5"/>
      <c r="R69">
        <f t="shared" ref="R69:R132" ca="1" si="70">R68+1</f>
        <v>186</v>
      </c>
      <c r="S69" s="133">
        <f t="shared" ref="S69:S132" ca="1" si="71">ROUND((R69-R68)/12+S68,2)</f>
        <v>84.2</v>
      </c>
      <c r="T69" s="132">
        <f t="shared" ca="1" si="59"/>
        <v>1.1202604060464583E-2</v>
      </c>
      <c r="U69" s="133">
        <f t="shared" ca="1" si="33"/>
        <v>0.55054125609038584</v>
      </c>
      <c r="V69" s="31">
        <f t="shared" ref="V69:V132" ca="1" si="72">MAX(AD68,0)*(1-T69)</f>
        <v>541287.19736874755</v>
      </c>
      <c r="W69" s="31">
        <f t="shared" ca="1" si="60"/>
        <v>2634.7428035652015</v>
      </c>
      <c r="X69" s="163">
        <f t="shared" ca="1" si="34"/>
        <v>-11.010825121807716</v>
      </c>
      <c r="Y69" s="163">
        <f t="shared" ca="1" si="35"/>
        <v>-451.07266447395631</v>
      </c>
      <c r="Z69" s="163">
        <f t="shared" ref="Z69:Z132" ca="1" si="73">IF(OR(V68+AB68=0,X68=0),0,-IF(MOD(E69,12)=0,1,0)*V69*($C$17))</f>
        <v>0</v>
      </c>
      <c r="AA69" s="163">
        <f t="shared" ca="1" si="36"/>
        <v>-514.22283750031022</v>
      </c>
      <c r="AB69" s="84">
        <f t="shared" ca="1" si="61"/>
        <v>-3432.4716865180885</v>
      </c>
      <c r="AC69" s="160">
        <f t="shared" si="62"/>
        <v>0</v>
      </c>
      <c r="AD69" s="31">
        <f t="shared" ca="1" si="63"/>
        <v>539513.16215869877</v>
      </c>
      <c r="AE69" s="5"/>
      <c r="AF69" s="151">
        <f t="shared" ca="1" si="64"/>
        <v>-6234.7220095610019</v>
      </c>
      <c r="AG69" s="151">
        <f t="shared" ca="1" si="65"/>
        <v>979968.63303215092</v>
      </c>
      <c r="AH69" s="5"/>
      <c r="AI69" s="5"/>
      <c r="AJ69" s="5"/>
      <c r="AK69" s="44">
        <v>83</v>
      </c>
      <c r="AL69" s="2">
        <v>0.11613</v>
      </c>
      <c r="AM69" s="2">
        <v>0.11632000000000001</v>
      </c>
      <c r="AN69" s="2">
        <f t="shared" ref="AN69:AN90" si="74">$C$6+E69-1</f>
        <v>144</v>
      </c>
      <c r="AO69" s="2">
        <f t="shared" ref="AO69:AO90" si="75">IF(AN69&gt;$AK$90,0,VLOOKUP($C$6+E69-1,$AK$4:$AL$90,2,FALSE))</f>
        <v>0</v>
      </c>
      <c r="AP69" s="45">
        <f t="shared" si="37"/>
        <v>1.7713133024043772E-4</v>
      </c>
      <c r="AQ69" s="46">
        <f t="shared" ref="AQ69:AQ90" ca="1" si="76">AP69/BN68</f>
        <v>4.0124916527593226E-6</v>
      </c>
      <c r="AS69" s="55">
        <f t="shared" ref="AS69:AS132" si="77">ROUNDDOWN((AT69-1)/12,0)+1</f>
        <v>6</v>
      </c>
      <c r="AT69" s="56">
        <f t="shared" si="38"/>
        <v>66</v>
      </c>
      <c r="AU69" s="57">
        <f t="shared" si="39"/>
        <v>0.72466720694980202</v>
      </c>
      <c r="AV69" s="58">
        <f t="shared" ref="AV69:AV132" si="78">((1+$AV$1)^(1/12))-1</f>
        <v>4.8675505653430484E-3</v>
      </c>
      <c r="AW69" s="59">
        <f t="shared" ref="AW69:AW132" si="79">(1+AV69)</f>
        <v>1.004867550565343</v>
      </c>
      <c r="AX69" s="60">
        <f>PRODUCT(AW$4:AW69)</f>
        <v>1.3777875592178315</v>
      </c>
      <c r="AZ69" s="71">
        <f t="shared" si="40"/>
        <v>66</v>
      </c>
      <c r="BA69" s="72">
        <f t="shared" ca="1" si="53"/>
        <v>1.004867550565343</v>
      </c>
      <c r="BB69" s="72">
        <f t="shared" ca="1" si="53"/>
        <v>1.004867550565343</v>
      </c>
      <c r="BC69" s="72">
        <f t="shared" ca="1" si="53"/>
        <v>1.004867550565343</v>
      </c>
      <c r="BD69" s="72">
        <f t="shared" ca="1" si="53"/>
        <v>1.004867550565343</v>
      </c>
      <c r="BE69" s="72">
        <f t="shared" ca="1" si="53"/>
        <v>1.004867550565343</v>
      </c>
      <c r="BF69" s="72">
        <f t="shared" ca="1" si="53"/>
        <v>1.004867550565343</v>
      </c>
      <c r="BG69" s="72">
        <f t="shared" ca="1" si="53"/>
        <v>1.004867550565343</v>
      </c>
      <c r="BH69" s="72">
        <f t="shared" ca="1" si="53"/>
        <v>1.004867550565343</v>
      </c>
      <c r="BI69" s="72">
        <f t="shared" ca="1" si="53"/>
        <v>1.004867550565343</v>
      </c>
      <c r="BJ69" s="72">
        <f t="shared" ca="1" si="53"/>
        <v>1.004867550565343</v>
      </c>
      <c r="BK69" s="72">
        <f t="shared" ca="1" si="53"/>
        <v>1.004867550565343</v>
      </c>
      <c r="BL69" s="72">
        <f t="shared" ca="1" si="53"/>
        <v>1.004867550565343</v>
      </c>
      <c r="BM69" s="72">
        <f t="shared" ca="1" si="66"/>
        <v>6.0000000000000275E-2</v>
      </c>
      <c r="BN69" s="73">
        <f t="shared" ref="BN69:BN100" ca="1" si="80">PRODUCT(BA69:BL69)*BN68</f>
        <v>46.793669944645288</v>
      </c>
    </row>
    <row r="70" spans="5:66">
      <c r="E70">
        <f t="shared" ref="E70:E90" si="81">E69+1</f>
        <v>67</v>
      </c>
      <c r="F70" s="9">
        <f t="shared" ref="F70:F133" si="82">1/12+F69</f>
        <v>74.499999999999687</v>
      </c>
      <c r="G70" s="132">
        <f t="shared" si="54"/>
        <v>0</v>
      </c>
      <c r="H70" s="133">
        <f t="shared" si="41"/>
        <v>1</v>
      </c>
      <c r="I70" s="31">
        <f t="shared" si="67"/>
        <v>1959570.8572826721</v>
      </c>
      <c r="J70" s="31">
        <f t="shared" si="55"/>
        <v>9538.310234196033</v>
      </c>
      <c r="K70" s="163">
        <f t="shared" si="56"/>
        <v>-20</v>
      </c>
      <c r="L70" s="163">
        <f t="shared" si="68"/>
        <v>-1632.9757144022269</v>
      </c>
      <c r="M70" s="163">
        <f t="shared" si="43"/>
        <v>0</v>
      </c>
      <c r="N70" s="163">
        <f t="shared" si="69"/>
        <v>-1861.5923144185388</v>
      </c>
      <c r="O70" s="84">
        <f t="shared" si="57"/>
        <v>-17488.599999999999</v>
      </c>
      <c r="P70" s="31">
        <f t="shared" si="58"/>
        <v>1948105.9994880471</v>
      </c>
      <c r="Q70" s="5"/>
      <c r="R70">
        <f t="shared" ca="1" si="70"/>
        <v>187</v>
      </c>
      <c r="S70" s="133">
        <f t="shared" ca="1" si="71"/>
        <v>84.28</v>
      </c>
      <c r="T70" s="132">
        <f t="shared" ca="1" si="59"/>
        <v>1.1202604060464583E-2</v>
      </c>
      <c r="U70" s="133">
        <f t="shared" ref="U70:U133" ca="1" si="83">U69*(1-T70)</f>
        <v>0.5443737603794544</v>
      </c>
      <c r="V70" s="31">
        <f t="shared" ca="1" si="72"/>
        <v>533469.2098176257</v>
      </c>
      <c r="W70" s="31">
        <f t="shared" ca="1" si="60"/>
        <v>2596.6883538408933</v>
      </c>
      <c r="X70" s="163">
        <f t="shared" ref="X70:X133" ca="1" si="84">IF(V70=0,0,-$C$19)*U70</f>
        <v>-10.887475207589087</v>
      </c>
      <c r="Y70" s="163">
        <f t="shared" ref="Y70:Y133" ca="1" si="85">IF(OR(V69+AB69=0,X69=0),0,-V70*($C$16/12))</f>
        <v>-444.55767484802146</v>
      </c>
      <c r="Z70" s="163">
        <f t="shared" ca="1" si="73"/>
        <v>0</v>
      </c>
      <c r="AA70" s="163">
        <f t="shared" ref="AA70:AA133" ca="1" si="86">IF(OR(V69+AB69=0,X69=0),0,-V70*($C$18*(1+$C$20))/12)</f>
        <v>-506.7957493267445</v>
      </c>
      <c r="AB70" s="84">
        <f t="shared" ca="1" si="61"/>
        <v>-3394.0190652652709</v>
      </c>
      <c r="AC70" s="160">
        <f t="shared" si="62"/>
        <v>0</v>
      </c>
      <c r="AD70" s="31">
        <f t="shared" ca="1" si="63"/>
        <v>531709.63820681896</v>
      </c>
      <c r="AE70" s="5"/>
      <c r="AF70" s="151">
        <f t="shared" ca="1" si="64"/>
        <v>-6234.722009561001</v>
      </c>
      <c r="AG70" s="151">
        <f t="shared" ca="1" si="65"/>
        <v>976736.34716741682</v>
      </c>
      <c r="AH70" s="5"/>
      <c r="AI70" s="5"/>
      <c r="AJ70" s="5"/>
      <c r="AK70" s="44">
        <v>84</v>
      </c>
      <c r="AL70" s="2">
        <v>0.12645000000000001</v>
      </c>
      <c r="AM70" s="2">
        <v>0.12670000000000001</v>
      </c>
      <c r="AN70" s="2">
        <f t="shared" si="74"/>
        <v>145</v>
      </c>
      <c r="AO70" s="2">
        <f t="shared" si="75"/>
        <v>0</v>
      </c>
      <c r="AP70" s="45">
        <f t="shared" ref="AP70:AP90" si="87">(1-IFERROR(AO70,1))*AP69</f>
        <v>1.7713133024043772E-4</v>
      </c>
      <c r="AQ70" s="46">
        <f t="shared" ca="1" si="76"/>
        <v>3.7853694837352095E-6</v>
      </c>
      <c r="AS70" s="55">
        <f t="shared" si="77"/>
        <v>6</v>
      </c>
      <c r="AT70" s="56">
        <f t="shared" ref="AT70:AT133" si="88">AT69+1</f>
        <v>67</v>
      </c>
      <c r="AU70" s="57">
        <f t="shared" ref="AU70:AU133" si="89">(1-AV70)*AU69</f>
        <v>0.72113985267692793</v>
      </c>
      <c r="AV70" s="58">
        <f t="shared" si="78"/>
        <v>4.8675505653430484E-3</v>
      </c>
      <c r="AW70" s="59">
        <f t="shared" si="79"/>
        <v>1.004867550565343</v>
      </c>
      <c r="AX70" s="60">
        <f>PRODUCT(AW$4:AW70)</f>
        <v>1.3844940098306249</v>
      </c>
      <c r="AZ70" s="71">
        <f t="shared" ref="AZ70:AZ133" si="90">AZ69+1</f>
        <v>67</v>
      </c>
      <c r="BA70" s="72">
        <f t="shared" ca="1" si="53"/>
        <v>1.004867550565343</v>
      </c>
      <c r="BB70" s="72">
        <f t="shared" ca="1" si="53"/>
        <v>1.004867550565343</v>
      </c>
      <c r="BC70" s="72">
        <f t="shared" ca="1" si="53"/>
        <v>1.004867550565343</v>
      </c>
      <c r="BD70" s="72">
        <f t="shared" ca="1" si="53"/>
        <v>1.004867550565343</v>
      </c>
      <c r="BE70" s="72">
        <f t="shared" ca="1" si="53"/>
        <v>1.004867550565343</v>
      </c>
      <c r="BF70" s="72">
        <f t="shared" ca="1" si="53"/>
        <v>1.004867550565343</v>
      </c>
      <c r="BG70" s="72">
        <f t="shared" ca="1" si="53"/>
        <v>1.004867550565343</v>
      </c>
      <c r="BH70" s="72">
        <f t="shared" ca="1" si="53"/>
        <v>1.004867550565343</v>
      </c>
      <c r="BI70" s="72">
        <f t="shared" ca="1" si="53"/>
        <v>1.004867550565343</v>
      </c>
      <c r="BJ70" s="72">
        <f t="shared" ca="1" si="53"/>
        <v>1.004867550565343</v>
      </c>
      <c r="BK70" s="72">
        <f t="shared" ca="1" si="53"/>
        <v>1.004867550565343</v>
      </c>
      <c r="BL70" s="72">
        <f t="shared" ca="1" si="53"/>
        <v>1.004867550565343</v>
      </c>
      <c r="BM70" s="72">
        <f t="shared" ca="1" si="66"/>
        <v>6.0000000000000275E-2</v>
      </c>
      <c r="BN70" s="73">
        <f t="shared" ca="1" si="80"/>
        <v>49.601290141324014</v>
      </c>
    </row>
    <row r="71" spans="5:66">
      <c r="E71">
        <f t="shared" si="81"/>
        <v>68</v>
      </c>
      <c r="F71" s="9">
        <f t="shared" si="82"/>
        <v>74.583333333333016</v>
      </c>
      <c r="G71" s="132">
        <f t="shared" si="54"/>
        <v>0</v>
      </c>
      <c r="H71" s="133">
        <f t="shared" ref="H71:H134" si="91">H70*(1-G71)</f>
        <v>1</v>
      </c>
      <c r="I71" s="31">
        <f t="shared" si="67"/>
        <v>1948105.9994880471</v>
      </c>
      <c r="J71" s="31">
        <f t="shared" si="55"/>
        <v>9482.5044591562273</v>
      </c>
      <c r="K71" s="163">
        <f t="shared" si="56"/>
        <v>-20</v>
      </c>
      <c r="L71" s="163">
        <f t="shared" si="68"/>
        <v>-1623.4216662400393</v>
      </c>
      <c r="M71" s="163">
        <f t="shared" si="43"/>
        <v>0</v>
      </c>
      <c r="N71" s="163">
        <f t="shared" si="69"/>
        <v>-1850.7006995136451</v>
      </c>
      <c r="O71" s="84">
        <f t="shared" si="57"/>
        <v>-17488.599999999999</v>
      </c>
      <c r="P71" s="31">
        <f t="shared" si="58"/>
        <v>1936605.7815814496</v>
      </c>
      <c r="Q71" s="5"/>
      <c r="R71">
        <f t="shared" ca="1" si="70"/>
        <v>188</v>
      </c>
      <c r="S71" s="133">
        <f t="shared" ca="1" si="71"/>
        <v>84.36</v>
      </c>
      <c r="T71" s="132">
        <f t="shared" ca="1" si="59"/>
        <v>1.1202604060464583E-2</v>
      </c>
      <c r="U71" s="133">
        <f t="shared" ca="1" si="83"/>
        <v>0.53827535668101711</v>
      </c>
      <c r="V71" s="31">
        <f t="shared" ca="1" si="72"/>
        <v>525753.10565485514</v>
      </c>
      <c r="W71" s="31">
        <f t="shared" ca="1" si="60"/>
        <v>2559.1298266611534</v>
      </c>
      <c r="X71" s="163">
        <f t="shared" ca="1" si="84"/>
        <v>-10.765507133620343</v>
      </c>
      <c r="Y71" s="163">
        <f t="shared" ca="1" si="85"/>
        <v>-438.12758804571263</v>
      </c>
      <c r="Z71" s="163">
        <f t="shared" ca="1" si="73"/>
        <v>0</v>
      </c>
      <c r="AA71" s="163">
        <f t="shared" ca="1" si="86"/>
        <v>-499.46545037211246</v>
      </c>
      <c r="AB71" s="84">
        <f t="shared" ca="1" si="61"/>
        <v>-3355.9972135034363</v>
      </c>
      <c r="AC71" s="160">
        <f t="shared" si="62"/>
        <v>0</v>
      </c>
      <c r="AD71" s="31">
        <f t="shared" ca="1" si="63"/>
        <v>524007.87972246145</v>
      </c>
      <c r="AE71" s="5"/>
      <c r="AF71" s="151">
        <f t="shared" ca="1" si="64"/>
        <v>-6234.7220095610028</v>
      </c>
      <c r="AG71" s="151">
        <f t="shared" ca="1" si="65"/>
        <v>973494.09223091998</v>
      </c>
      <c r="AH71" s="5"/>
      <c r="AI71" s="5"/>
      <c r="AJ71" s="5"/>
      <c r="AK71" s="44">
        <v>85</v>
      </c>
      <c r="AL71" s="2">
        <v>0.13764000000000001</v>
      </c>
      <c r="AM71" s="2">
        <v>0.13799</v>
      </c>
      <c r="AN71" s="2">
        <f t="shared" si="74"/>
        <v>146</v>
      </c>
      <c r="AO71" s="2">
        <f t="shared" si="75"/>
        <v>0</v>
      </c>
      <c r="AP71" s="45">
        <f t="shared" si="87"/>
        <v>1.7713133024043772E-4</v>
      </c>
      <c r="AQ71" s="46">
        <f t="shared" ca="1" si="76"/>
        <v>3.5711032865426498E-6</v>
      </c>
      <c r="AS71" s="55">
        <f t="shared" si="77"/>
        <v>6</v>
      </c>
      <c r="AT71" s="56">
        <f t="shared" si="88"/>
        <v>68</v>
      </c>
      <c r="AU71" s="57">
        <f t="shared" si="89"/>
        <v>0.71762966797933891</v>
      </c>
      <c r="AV71" s="58">
        <f t="shared" si="78"/>
        <v>4.8675505653430484E-3</v>
      </c>
      <c r="AW71" s="59">
        <f t="shared" si="79"/>
        <v>1.004867550565343</v>
      </c>
      <c r="AX71" s="60">
        <f>PRODUCT(AW$4:AW71)</f>
        <v>1.3912331044308901</v>
      </c>
      <c r="AZ71" s="71">
        <f t="shared" si="90"/>
        <v>68</v>
      </c>
      <c r="BA71" s="72">
        <f t="shared" ca="1" si="53"/>
        <v>1.004867550565343</v>
      </c>
      <c r="BB71" s="72">
        <f t="shared" ca="1" si="53"/>
        <v>1.004867550565343</v>
      </c>
      <c r="BC71" s="72">
        <f t="shared" ca="1" si="53"/>
        <v>1.004867550565343</v>
      </c>
      <c r="BD71" s="72">
        <f t="shared" ca="1" si="53"/>
        <v>1.004867550565343</v>
      </c>
      <c r="BE71" s="72">
        <f t="shared" ca="1" si="53"/>
        <v>1.004867550565343</v>
      </c>
      <c r="BF71" s="72">
        <f t="shared" ca="1" si="53"/>
        <v>1.004867550565343</v>
      </c>
      <c r="BG71" s="72">
        <f t="shared" ca="1" si="53"/>
        <v>1.004867550565343</v>
      </c>
      <c r="BH71" s="72">
        <f t="shared" ca="1" si="53"/>
        <v>1.004867550565343</v>
      </c>
      <c r="BI71" s="72">
        <f t="shared" ca="1" si="53"/>
        <v>1.004867550565343</v>
      </c>
      <c r="BJ71" s="72">
        <f t="shared" ca="1" si="53"/>
        <v>1.004867550565343</v>
      </c>
      <c r="BK71" s="72">
        <f t="shared" ca="1" si="53"/>
        <v>1.004867550565343</v>
      </c>
      <c r="BL71" s="72">
        <f t="shared" ca="1" si="53"/>
        <v>1.004867550565343</v>
      </c>
      <c r="BM71" s="72">
        <f t="shared" ca="1" si="66"/>
        <v>6.0000000000000275E-2</v>
      </c>
      <c r="BN71" s="73">
        <f t="shared" ca="1" si="80"/>
        <v>52.577367549803469</v>
      </c>
    </row>
    <row r="72" spans="5:66">
      <c r="E72">
        <f t="shared" si="81"/>
        <v>69</v>
      </c>
      <c r="F72" s="9">
        <f t="shared" si="82"/>
        <v>74.666666666666345</v>
      </c>
      <c r="G72" s="132">
        <f t="shared" si="54"/>
        <v>0</v>
      </c>
      <c r="H72" s="133">
        <f t="shared" si="91"/>
        <v>1</v>
      </c>
      <c r="I72" s="31">
        <f t="shared" si="67"/>
        <v>1936605.7815814496</v>
      </c>
      <c r="J72" s="31">
        <f t="shared" si="55"/>
        <v>9426.5265669834007</v>
      </c>
      <c r="K72" s="163">
        <f t="shared" si="56"/>
        <v>-20</v>
      </c>
      <c r="L72" s="163">
        <f t="shared" si="68"/>
        <v>-1613.8381513178747</v>
      </c>
      <c r="M72" s="163">
        <f t="shared" si="43"/>
        <v>0</v>
      </c>
      <c r="N72" s="163">
        <f t="shared" si="69"/>
        <v>-1839.7754925023773</v>
      </c>
      <c r="O72" s="84">
        <f t="shared" si="57"/>
        <v>-17488.599999999999</v>
      </c>
      <c r="P72" s="31">
        <f t="shared" si="58"/>
        <v>1925070.0945046127</v>
      </c>
      <c r="Q72" s="5"/>
      <c r="R72">
        <f t="shared" ca="1" si="70"/>
        <v>189</v>
      </c>
      <c r="S72" s="133">
        <f t="shared" ca="1" si="71"/>
        <v>84.44</v>
      </c>
      <c r="T72" s="132">
        <f t="shared" ca="1" si="59"/>
        <v>1.1202604060464583E-2</v>
      </c>
      <c r="U72" s="133">
        <f t="shared" ca="1" si="83"/>
        <v>0.53224527098461438</v>
      </c>
      <c r="V72" s="31">
        <f t="shared" ca="1" si="72"/>
        <v>518137.62692136719</v>
      </c>
      <c r="W72" s="31">
        <f t="shared" ca="1" si="60"/>
        <v>2522.0610988466065</v>
      </c>
      <c r="X72" s="163">
        <f t="shared" ca="1" si="84"/>
        <v>-10.644905419692288</v>
      </c>
      <c r="Y72" s="163">
        <f t="shared" ca="1" si="85"/>
        <v>-431.78135576780602</v>
      </c>
      <c r="Z72" s="163">
        <f t="shared" ca="1" si="73"/>
        <v>0</v>
      </c>
      <c r="AA72" s="163">
        <f t="shared" ca="1" si="86"/>
        <v>-492.2307455752989</v>
      </c>
      <c r="AB72" s="84">
        <f t="shared" ca="1" si="61"/>
        <v>-3318.4013054925349</v>
      </c>
      <c r="AC72" s="160">
        <f t="shared" si="62"/>
        <v>0</v>
      </c>
      <c r="AD72" s="31">
        <f t="shared" ca="1" si="63"/>
        <v>516406.62970795849</v>
      </c>
      <c r="AE72" s="5"/>
      <c r="AF72" s="151">
        <f t="shared" ca="1" si="64"/>
        <v>-6234.7220095610019</v>
      </c>
      <c r="AG72" s="151">
        <f t="shared" ca="1" si="65"/>
        <v>970241.83747587726</v>
      </c>
      <c r="AH72" s="5"/>
      <c r="AI72" s="5"/>
      <c r="AJ72" s="5"/>
      <c r="AK72" s="44">
        <v>86</v>
      </c>
      <c r="AL72" s="2">
        <v>0.14976</v>
      </c>
      <c r="AM72" s="2">
        <v>0.15023</v>
      </c>
      <c r="AN72" s="2">
        <f t="shared" si="74"/>
        <v>147</v>
      </c>
      <c r="AO72" s="2">
        <f t="shared" si="75"/>
        <v>0</v>
      </c>
      <c r="AP72" s="45">
        <f t="shared" si="87"/>
        <v>1.7713133024043772E-4</v>
      </c>
      <c r="AQ72" s="46">
        <f t="shared" ca="1" si="76"/>
        <v>3.3689653646628761E-6</v>
      </c>
      <c r="AS72" s="55">
        <f t="shared" si="77"/>
        <v>6</v>
      </c>
      <c r="AT72" s="56">
        <f t="shared" si="88"/>
        <v>69</v>
      </c>
      <c r="AU72" s="57">
        <f t="shared" si="89"/>
        <v>0.71413656928325919</v>
      </c>
      <c r="AV72" s="58">
        <f t="shared" si="78"/>
        <v>4.8675505653430484E-3</v>
      </c>
      <c r="AW72" s="59">
        <f t="shared" si="79"/>
        <v>1.004867550565343</v>
      </c>
      <c r="AX72" s="60">
        <f>PRODUCT(AW$4:AW72)</f>
        <v>1.3980050019148866</v>
      </c>
      <c r="AZ72" s="71">
        <f t="shared" si="90"/>
        <v>69</v>
      </c>
      <c r="BA72" s="72">
        <f t="shared" ca="1" si="53"/>
        <v>1.004867550565343</v>
      </c>
      <c r="BB72" s="72">
        <f t="shared" ca="1" si="53"/>
        <v>1.004867550565343</v>
      </c>
      <c r="BC72" s="72">
        <f t="shared" ca="1" si="53"/>
        <v>1.004867550565343</v>
      </c>
      <c r="BD72" s="72">
        <f t="shared" ca="1" si="53"/>
        <v>1.004867550565343</v>
      </c>
      <c r="BE72" s="72">
        <f t="shared" ca="1" si="53"/>
        <v>1.004867550565343</v>
      </c>
      <c r="BF72" s="72">
        <f t="shared" ca="1" si="53"/>
        <v>1.004867550565343</v>
      </c>
      <c r="BG72" s="72">
        <f t="shared" ca="1" si="53"/>
        <v>1.004867550565343</v>
      </c>
      <c r="BH72" s="72">
        <f t="shared" ca="1" si="53"/>
        <v>1.004867550565343</v>
      </c>
      <c r="BI72" s="72">
        <f t="shared" ca="1" si="53"/>
        <v>1.004867550565343</v>
      </c>
      <c r="BJ72" s="72">
        <f t="shared" ca="1" si="53"/>
        <v>1.004867550565343</v>
      </c>
      <c r="BK72" s="72">
        <f t="shared" ca="1" si="53"/>
        <v>1.004867550565343</v>
      </c>
      <c r="BL72" s="72">
        <f t="shared" ca="1" si="53"/>
        <v>1.004867550565343</v>
      </c>
      <c r="BM72" s="72">
        <f t="shared" ca="1" si="66"/>
        <v>6.0000000000000275E-2</v>
      </c>
      <c r="BN72" s="73">
        <f t="shared" ca="1" si="80"/>
        <v>55.732009602791692</v>
      </c>
    </row>
    <row r="73" spans="5:66">
      <c r="E73">
        <f t="shared" si="81"/>
        <v>70</v>
      </c>
      <c r="F73" s="9">
        <f t="shared" si="82"/>
        <v>74.749999999999673</v>
      </c>
      <c r="G73" s="132">
        <f t="shared" si="54"/>
        <v>0</v>
      </c>
      <c r="H73" s="133">
        <f t="shared" si="91"/>
        <v>1</v>
      </c>
      <c r="I73" s="31">
        <f t="shared" si="67"/>
        <v>1925070.0945046127</v>
      </c>
      <c r="J73" s="31">
        <f t="shared" si="55"/>
        <v>9370.3760268309234</v>
      </c>
      <c r="K73" s="163">
        <f t="shared" si="56"/>
        <v>-20</v>
      </c>
      <c r="L73" s="163">
        <f t="shared" si="68"/>
        <v>-1604.2250787538439</v>
      </c>
      <c r="M73" s="163">
        <f t="shared" si="43"/>
        <v>0</v>
      </c>
      <c r="N73" s="163">
        <f t="shared" si="69"/>
        <v>-1828.8165897793824</v>
      </c>
      <c r="O73" s="84">
        <f t="shared" si="57"/>
        <v>-17488.599999999999</v>
      </c>
      <c r="P73" s="31">
        <f t="shared" si="58"/>
        <v>1913498.8288629102</v>
      </c>
      <c r="Q73" s="5"/>
      <c r="R73">
        <f t="shared" ca="1" si="70"/>
        <v>190</v>
      </c>
      <c r="S73" s="133">
        <f t="shared" ca="1" si="71"/>
        <v>84.52</v>
      </c>
      <c r="T73" s="132">
        <f t="shared" ca="1" si="59"/>
        <v>1.2264377074415411E-2</v>
      </c>
      <c r="U73" s="133">
        <f t="shared" ca="1" si="83"/>
        <v>0.52571761428518471</v>
      </c>
      <c r="V73" s="31">
        <f t="shared" ca="1" si="72"/>
        <v>510073.22407749208</v>
      </c>
      <c r="W73" s="31">
        <f t="shared" ca="1" si="60"/>
        <v>2482.8072102247479</v>
      </c>
      <c r="X73" s="163">
        <f t="shared" ca="1" si="84"/>
        <v>-10.514352285703694</v>
      </c>
      <c r="Y73" s="163">
        <f t="shared" ca="1" si="85"/>
        <v>-425.06102006457678</v>
      </c>
      <c r="Z73" s="163">
        <f t="shared" ca="1" si="73"/>
        <v>0</v>
      </c>
      <c r="AA73" s="163">
        <f t="shared" ca="1" si="86"/>
        <v>-484.56956287361754</v>
      </c>
      <c r="AB73" s="84">
        <f t="shared" ca="1" si="61"/>
        <v>-3277.7031805977422</v>
      </c>
      <c r="AC73" s="160">
        <f t="shared" si="62"/>
        <v>0</v>
      </c>
      <c r="AD73" s="31">
        <f t="shared" ca="1" si="63"/>
        <v>508358.18317189516</v>
      </c>
      <c r="AE73" s="5"/>
      <c r="AF73" s="151">
        <f t="shared" ca="1" si="64"/>
        <v>-6234.722009561001</v>
      </c>
      <c r="AG73" s="151">
        <f t="shared" ca="1" si="65"/>
        <v>966979.55206067604</v>
      </c>
      <c r="AH73" s="5"/>
      <c r="AI73" s="5"/>
      <c r="AJ73" s="5"/>
      <c r="AK73" s="44">
        <v>87</v>
      </c>
      <c r="AL73" s="2">
        <v>0.16286</v>
      </c>
      <c r="AM73" s="2">
        <v>0.16347999999999999</v>
      </c>
      <c r="AN73" s="2">
        <f t="shared" si="74"/>
        <v>148</v>
      </c>
      <c r="AO73" s="2">
        <f t="shared" si="75"/>
        <v>0</v>
      </c>
      <c r="AP73" s="45">
        <f t="shared" si="87"/>
        <v>1.7713133024043772E-4</v>
      </c>
      <c r="AQ73" s="46">
        <f t="shared" ca="1" si="76"/>
        <v>3.1782692119461086E-6</v>
      </c>
      <c r="AS73" s="55">
        <f t="shared" si="77"/>
        <v>6</v>
      </c>
      <c r="AT73" s="56">
        <f t="shared" si="88"/>
        <v>70</v>
      </c>
      <c r="AU73" s="57">
        <f t="shared" si="89"/>
        <v>0.71066047342171235</v>
      </c>
      <c r="AV73" s="58">
        <f t="shared" si="78"/>
        <v>4.8675505653430484E-3</v>
      </c>
      <c r="AW73" s="59">
        <f t="shared" si="79"/>
        <v>1.004867550565343</v>
      </c>
      <c r="AX73" s="60">
        <f>PRODUCT(AW$4:AW73)</f>
        <v>1.4048098619523099</v>
      </c>
      <c r="AZ73" s="71">
        <f t="shared" si="90"/>
        <v>70</v>
      </c>
      <c r="BA73" s="72">
        <f t="shared" ca="1" si="53"/>
        <v>1.004867550565343</v>
      </c>
      <c r="BB73" s="72">
        <f t="shared" ca="1" si="53"/>
        <v>1.004867550565343</v>
      </c>
      <c r="BC73" s="72">
        <f t="shared" ca="1" si="53"/>
        <v>1.004867550565343</v>
      </c>
      <c r="BD73" s="72">
        <f t="shared" ca="1" si="53"/>
        <v>1.004867550565343</v>
      </c>
      <c r="BE73" s="72">
        <f t="shared" ca="1" si="53"/>
        <v>1.004867550565343</v>
      </c>
      <c r="BF73" s="72">
        <f t="shared" ca="1" si="53"/>
        <v>1.004867550565343</v>
      </c>
      <c r="BG73" s="72">
        <f t="shared" ca="1" si="53"/>
        <v>1.004867550565343</v>
      </c>
      <c r="BH73" s="72">
        <f t="shared" ca="1" si="53"/>
        <v>1.004867550565343</v>
      </c>
      <c r="BI73" s="72">
        <f t="shared" ca="1" si="53"/>
        <v>1.004867550565343</v>
      </c>
      <c r="BJ73" s="72">
        <f t="shared" ca="1" si="53"/>
        <v>1.004867550565343</v>
      </c>
      <c r="BK73" s="72">
        <f t="shared" ca="1" si="53"/>
        <v>1.004867550565343</v>
      </c>
      <c r="BL73" s="72">
        <f t="shared" ca="1" si="53"/>
        <v>1.004867550565343</v>
      </c>
      <c r="BM73" s="72">
        <f t="shared" ca="1" si="66"/>
        <v>6.0000000000000275E-2</v>
      </c>
      <c r="BN73" s="73">
        <f t="shared" ca="1" si="80"/>
        <v>59.075930178959212</v>
      </c>
    </row>
    <row r="74" spans="5:66">
      <c r="E74">
        <f t="shared" si="81"/>
        <v>71</v>
      </c>
      <c r="F74" s="9">
        <f t="shared" si="82"/>
        <v>74.833333333333002</v>
      </c>
      <c r="G74" s="132">
        <f t="shared" si="54"/>
        <v>0</v>
      </c>
      <c r="H74" s="133">
        <f t="shared" si="91"/>
        <v>1</v>
      </c>
      <c r="I74" s="31">
        <f t="shared" si="67"/>
        <v>1913498.8288629102</v>
      </c>
      <c r="J74" s="31">
        <f t="shared" si="55"/>
        <v>9314.0523062149186</v>
      </c>
      <c r="K74" s="163">
        <f t="shared" si="56"/>
        <v>-20</v>
      </c>
      <c r="L74" s="163">
        <f t="shared" si="68"/>
        <v>-1594.5823573857585</v>
      </c>
      <c r="M74" s="163">
        <f t="shared" si="43"/>
        <v>0</v>
      </c>
      <c r="N74" s="163">
        <f t="shared" si="69"/>
        <v>-1817.823887419765</v>
      </c>
      <c r="O74" s="84">
        <f t="shared" si="57"/>
        <v>-17488.599999999999</v>
      </c>
      <c r="P74" s="31">
        <f t="shared" si="58"/>
        <v>1901891.8749243196</v>
      </c>
      <c r="Q74" s="5"/>
      <c r="R74">
        <f t="shared" ca="1" si="70"/>
        <v>191</v>
      </c>
      <c r="S74" s="133">
        <f t="shared" ca="1" si="71"/>
        <v>84.6</v>
      </c>
      <c r="T74" s="132">
        <f t="shared" ca="1" si="59"/>
        <v>1.2264377074415411E-2</v>
      </c>
      <c r="U74" s="133">
        <f t="shared" ca="1" si="83"/>
        <v>0.51927001522892913</v>
      </c>
      <c r="V74" s="31">
        <f t="shared" ca="1" si="72"/>
        <v>502123.48672461032</v>
      </c>
      <c r="W74" s="31">
        <f t="shared" ca="1" si="60"/>
        <v>2444.1114616783998</v>
      </c>
      <c r="X74" s="163">
        <f t="shared" ca="1" si="84"/>
        <v>-10.385400304578582</v>
      </c>
      <c r="Y74" s="163">
        <f t="shared" ca="1" si="85"/>
        <v>-418.43623893717529</v>
      </c>
      <c r="Z74" s="163">
        <f t="shared" ca="1" si="73"/>
        <v>0</v>
      </c>
      <c r="AA74" s="163">
        <f t="shared" ca="1" si="86"/>
        <v>-477.01731238837988</v>
      </c>
      <c r="AB74" s="84">
        <f t="shared" ca="1" si="61"/>
        <v>-3237.5041928528808</v>
      </c>
      <c r="AC74" s="160">
        <f t="shared" si="62"/>
        <v>0</v>
      </c>
      <c r="AD74" s="31">
        <f t="shared" ca="1" si="63"/>
        <v>500424.25504180568</v>
      </c>
      <c r="AE74" s="5"/>
      <c r="AF74" s="151">
        <f t="shared" ca="1" si="64"/>
        <v>-6234.722009561001</v>
      </c>
      <c r="AG74" s="151">
        <f t="shared" ca="1" si="65"/>
        <v>963707.20504858159</v>
      </c>
      <c r="AH74" s="5"/>
      <c r="AI74" s="5"/>
      <c r="AJ74" s="5"/>
      <c r="AK74" s="44">
        <v>88</v>
      </c>
      <c r="AL74" s="2">
        <v>0.17699000000000001</v>
      </c>
      <c r="AM74" s="2">
        <v>0.17779</v>
      </c>
      <c r="AN74" s="2">
        <f t="shared" si="74"/>
        <v>149</v>
      </c>
      <c r="AO74" s="2">
        <f t="shared" si="75"/>
        <v>0</v>
      </c>
      <c r="AP74" s="45">
        <f t="shared" si="87"/>
        <v>1.7713133024043772E-4</v>
      </c>
      <c r="AQ74" s="46">
        <f t="shared" ca="1" si="76"/>
        <v>2.9983671810812337E-6</v>
      </c>
      <c r="AS74" s="55">
        <f t="shared" si="77"/>
        <v>6</v>
      </c>
      <c r="AT74" s="56">
        <f t="shared" si="88"/>
        <v>71</v>
      </c>
      <c r="AU74" s="57">
        <f t="shared" si="89"/>
        <v>0.70720129763254158</v>
      </c>
      <c r="AV74" s="58">
        <f t="shared" si="78"/>
        <v>4.8675505653430484E-3</v>
      </c>
      <c r="AW74" s="59">
        <f t="shared" si="79"/>
        <v>1.004867550565343</v>
      </c>
      <c r="AX74" s="60">
        <f>PRODUCT(AW$4:AW74)</f>
        <v>1.4116478449900554</v>
      </c>
      <c r="AZ74" s="71">
        <f t="shared" si="90"/>
        <v>71</v>
      </c>
      <c r="BA74" s="72">
        <f t="shared" ca="1" si="53"/>
        <v>1.004867550565343</v>
      </c>
      <c r="BB74" s="72">
        <f t="shared" ca="1" si="53"/>
        <v>1.004867550565343</v>
      </c>
      <c r="BC74" s="72">
        <f t="shared" ca="1" si="53"/>
        <v>1.004867550565343</v>
      </c>
      <c r="BD74" s="72">
        <f t="shared" ca="1" si="53"/>
        <v>1.004867550565343</v>
      </c>
      <c r="BE74" s="72">
        <f t="shared" ca="1" si="53"/>
        <v>1.004867550565343</v>
      </c>
      <c r="BF74" s="72">
        <f t="shared" ca="1" si="53"/>
        <v>1.004867550565343</v>
      </c>
      <c r="BG74" s="72">
        <f t="shared" ca="1" si="53"/>
        <v>1.004867550565343</v>
      </c>
      <c r="BH74" s="72">
        <f t="shared" ca="1" si="53"/>
        <v>1.004867550565343</v>
      </c>
      <c r="BI74" s="72">
        <f t="shared" ca="1" si="53"/>
        <v>1.004867550565343</v>
      </c>
      <c r="BJ74" s="72">
        <f t="shared" ca="1" si="53"/>
        <v>1.004867550565343</v>
      </c>
      <c r="BK74" s="72">
        <f t="shared" ca="1" si="53"/>
        <v>1.004867550565343</v>
      </c>
      <c r="BL74" s="72">
        <f t="shared" ca="1" si="53"/>
        <v>1.004867550565343</v>
      </c>
      <c r="BM74" s="72">
        <f t="shared" ca="1" si="66"/>
        <v>6.0000000000000275E-2</v>
      </c>
      <c r="BN74" s="73">
        <f t="shared" ca="1" si="80"/>
        <v>62.620485989696782</v>
      </c>
    </row>
    <row r="75" spans="5:66">
      <c r="E75">
        <f t="shared" si="81"/>
        <v>72</v>
      </c>
      <c r="F75" s="9">
        <f t="shared" si="82"/>
        <v>74.91666666666633</v>
      </c>
      <c r="G75" s="132">
        <f t="shared" si="54"/>
        <v>0</v>
      </c>
      <c r="H75" s="133">
        <f t="shared" si="91"/>
        <v>1</v>
      </c>
      <c r="I75" s="31">
        <f t="shared" si="67"/>
        <v>1901891.8749243196</v>
      </c>
      <c r="J75" s="31">
        <f t="shared" si="55"/>
        <v>9257.5548710092226</v>
      </c>
      <c r="K75" s="163">
        <f t="shared" si="56"/>
        <v>-20</v>
      </c>
      <c r="L75" s="163">
        <f t="shared" si="68"/>
        <v>-1584.9098957702663</v>
      </c>
      <c r="M75" s="163">
        <f t="shared" si="43"/>
        <v>0</v>
      </c>
      <c r="N75" s="163">
        <f t="shared" si="69"/>
        <v>-1806.797281178104</v>
      </c>
      <c r="O75" s="84">
        <f t="shared" si="57"/>
        <v>-17488.599999999999</v>
      </c>
      <c r="P75" s="31">
        <f t="shared" si="58"/>
        <v>1890249.1226183802</v>
      </c>
      <c r="Q75" s="5"/>
      <c r="R75">
        <f t="shared" ca="1" si="70"/>
        <v>192</v>
      </c>
      <c r="S75" s="133">
        <f t="shared" ca="1" si="71"/>
        <v>84.68</v>
      </c>
      <c r="T75" s="132">
        <f t="shared" ca="1" si="59"/>
        <v>1.2264377074415411E-2</v>
      </c>
      <c r="U75" s="133">
        <f t="shared" ca="1" si="83"/>
        <v>0.51290149195872414</v>
      </c>
      <c r="V75" s="31">
        <f t="shared" ca="1" si="72"/>
        <v>494286.86328078952</v>
      </c>
      <c r="W75" s="31">
        <f t="shared" ca="1" si="60"/>
        <v>2405.9663008040493</v>
      </c>
      <c r="X75" s="163">
        <f t="shared" ca="1" si="84"/>
        <v>-10.258029839174483</v>
      </c>
      <c r="Y75" s="163">
        <f t="shared" ca="1" si="85"/>
        <v>-411.90571940065797</v>
      </c>
      <c r="Z75" s="163">
        <f t="shared" ca="1" si="73"/>
        <v>-3707.1514746059211</v>
      </c>
      <c r="AA75" s="163">
        <f t="shared" ca="1" si="86"/>
        <v>-469.57252011675013</v>
      </c>
      <c r="AB75" s="84">
        <f t="shared" ca="1" si="61"/>
        <v>-3197.7982206517322</v>
      </c>
      <c r="AC75" s="160">
        <f t="shared" si="62"/>
        <v>0</v>
      </c>
      <c r="AD75" s="31">
        <f t="shared" ca="1" si="63"/>
        <v>488896.1436169793</v>
      </c>
      <c r="AE75" s="5"/>
      <c r="AF75" s="151">
        <f t="shared" ca="1" si="64"/>
        <v>-6234.722009561001</v>
      </c>
      <c r="AG75" s="151">
        <f t="shared" ca="1" si="65"/>
        <v>953196.96136957884</v>
      </c>
      <c r="AH75" s="5"/>
      <c r="AI75" s="5"/>
      <c r="AJ75" s="5"/>
      <c r="AK75" s="44">
        <v>89</v>
      </c>
      <c r="AL75" s="2">
        <v>0.19220000000000001</v>
      </c>
      <c r="AM75" s="2">
        <v>0.19320999999999999</v>
      </c>
      <c r="AN75" s="2">
        <f t="shared" si="74"/>
        <v>150</v>
      </c>
      <c r="AO75" s="2">
        <f t="shared" si="75"/>
        <v>0</v>
      </c>
      <c r="AP75" s="45">
        <f t="shared" si="87"/>
        <v>1.7713133024043772E-4</v>
      </c>
      <c r="AQ75" s="46">
        <f t="shared" ca="1" si="76"/>
        <v>2.8286482840388989E-6</v>
      </c>
      <c r="AS75" s="55">
        <f t="shared" si="77"/>
        <v>6</v>
      </c>
      <c r="AT75" s="56">
        <f t="shared" si="88"/>
        <v>72</v>
      </c>
      <c r="AU75" s="57">
        <f t="shared" si="89"/>
        <v>0.70375895955643897</v>
      </c>
      <c r="AV75" s="58">
        <f t="shared" si="78"/>
        <v>4.8675505653430484E-3</v>
      </c>
      <c r="AW75" s="59">
        <f t="shared" si="79"/>
        <v>1.004867550565343</v>
      </c>
      <c r="AX75" s="60">
        <f>PRODUCT(AW$4:AW75)</f>
        <v>1.4185191122560019</v>
      </c>
      <c r="AZ75" s="71">
        <f t="shared" si="90"/>
        <v>72</v>
      </c>
      <c r="BA75" s="72">
        <f t="shared" ref="BA75:BL84" ca="1" si="92">OFFSET($AW$3,($AZ75*12-12)+BA$3,0)</f>
        <v>1.004867550565343</v>
      </c>
      <c r="BB75" s="72">
        <f t="shared" ca="1" si="92"/>
        <v>1.004867550565343</v>
      </c>
      <c r="BC75" s="72">
        <f t="shared" ca="1" si="92"/>
        <v>1.004867550565343</v>
      </c>
      <c r="BD75" s="72">
        <f t="shared" ca="1" si="92"/>
        <v>1.004867550565343</v>
      </c>
      <c r="BE75" s="72">
        <f t="shared" ca="1" si="92"/>
        <v>1.004867550565343</v>
      </c>
      <c r="BF75" s="72">
        <f t="shared" ca="1" si="92"/>
        <v>1.004867550565343</v>
      </c>
      <c r="BG75" s="72">
        <f t="shared" ca="1" si="92"/>
        <v>1.004867550565343</v>
      </c>
      <c r="BH75" s="72">
        <f t="shared" ca="1" si="92"/>
        <v>1.004867550565343</v>
      </c>
      <c r="BI75" s="72">
        <f t="shared" ca="1" si="92"/>
        <v>1.004867550565343</v>
      </c>
      <c r="BJ75" s="72">
        <f t="shared" ca="1" si="92"/>
        <v>1.004867550565343</v>
      </c>
      <c r="BK75" s="72">
        <f t="shared" ca="1" si="92"/>
        <v>1.004867550565343</v>
      </c>
      <c r="BL75" s="72">
        <f t="shared" ca="1" si="92"/>
        <v>1.004867550565343</v>
      </c>
      <c r="BM75" s="72">
        <f t="shared" ca="1" si="66"/>
        <v>6.0000000000000275E-2</v>
      </c>
      <c r="BN75" s="73">
        <f t="shared" ca="1" si="80"/>
        <v>66.377715149078611</v>
      </c>
    </row>
    <row r="76" spans="5:66">
      <c r="E76">
        <f t="shared" si="81"/>
        <v>73</v>
      </c>
      <c r="F76" s="9">
        <f t="shared" si="82"/>
        <v>74.999999999999659</v>
      </c>
      <c r="G76" s="132">
        <f t="shared" si="54"/>
        <v>0</v>
      </c>
      <c r="H76" s="133">
        <f t="shared" si="91"/>
        <v>1</v>
      </c>
      <c r="I76" s="31">
        <f t="shared" si="67"/>
        <v>1890249.1226183802</v>
      </c>
      <c r="J76" s="31">
        <f t="shared" si="55"/>
        <v>9200.8831854402979</v>
      </c>
      <c r="K76" s="163">
        <f t="shared" si="56"/>
        <v>-20</v>
      </c>
      <c r="L76" s="163">
        <f t="shared" si="68"/>
        <v>-1575.2076021819837</v>
      </c>
      <c r="M76" s="163">
        <f t="shared" si="43"/>
        <v>-14176.868419637851</v>
      </c>
      <c r="N76" s="163">
        <f t="shared" si="69"/>
        <v>-1795.7366664874617</v>
      </c>
      <c r="O76" s="84">
        <f t="shared" si="57"/>
        <v>-17488.599999999999</v>
      </c>
      <c r="P76" s="31">
        <f t="shared" si="58"/>
        <v>1864393.593115513</v>
      </c>
      <c r="Q76" s="5"/>
      <c r="R76">
        <f t="shared" ca="1" si="70"/>
        <v>193</v>
      </c>
      <c r="S76" s="133">
        <f t="shared" ca="1" si="71"/>
        <v>84.76</v>
      </c>
      <c r="T76" s="132">
        <f t="shared" ca="1" si="59"/>
        <v>1.2264377074415411E-2</v>
      </c>
      <c r="U76" s="133">
        <f t="shared" ca="1" si="83"/>
        <v>0.5066110746593121</v>
      </c>
      <c r="V76" s="31">
        <f t="shared" ca="1" si="72"/>
        <v>482900.13696143311</v>
      </c>
      <c r="W76" s="31">
        <f t="shared" ca="1" si="60"/>
        <v>2350.5408346708591</v>
      </c>
      <c r="X76" s="163">
        <f t="shared" ca="1" si="84"/>
        <v>-10.132221493186242</v>
      </c>
      <c r="Y76" s="163">
        <f t="shared" ca="1" si="85"/>
        <v>-402.41678080119431</v>
      </c>
      <c r="Z76" s="163">
        <f t="shared" ca="1" si="73"/>
        <v>0</v>
      </c>
      <c r="AA76" s="163">
        <f t="shared" ca="1" si="86"/>
        <v>-458.75513011336153</v>
      </c>
      <c r="AB76" s="84">
        <f t="shared" ca="1" si="61"/>
        <v>-3158.5792174657649</v>
      </c>
      <c r="AC76" s="160">
        <f t="shared" si="62"/>
        <v>0</v>
      </c>
      <c r="AD76" s="31">
        <f t="shared" ca="1" si="63"/>
        <v>481220.79444623052</v>
      </c>
      <c r="AE76" s="5"/>
      <c r="AF76" s="151">
        <f t="shared" ca="1" si="64"/>
        <v>-6234.7220095610019</v>
      </c>
      <c r="AG76" s="151">
        <f t="shared" ca="1" si="65"/>
        <v>949882.1058537733</v>
      </c>
      <c r="AH76" s="5"/>
      <c r="AI76" s="5"/>
      <c r="AJ76" s="5"/>
      <c r="AK76" s="44">
        <v>90</v>
      </c>
      <c r="AL76" s="2">
        <v>0.20841999999999999</v>
      </c>
      <c r="AM76" s="2">
        <v>0.20959</v>
      </c>
      <c r="AN76" s="2">
        <f t="shared" si="74"/>
        <v>151</v>
      </c>
      <c r="AO76" s="2">
        <f t="shared" si="75"/>
        <v>0</v>
      </c>
      <c r="AP76" s="45">
        <f t="shared" si="87"/>
        <v>1.7713133024043772E-4</v>
      </c>
      <c r="AQ76" s="46">
        <f t="shared" ca="1" si="76"/>
        <v>2.6685361170178283E-6</v>
      </c>
      <c r="AS76" s="55">
        <f t="shared" si="77"/>
        <v>7</v>
      </c>
      <c r="AT76" s="56">
        <f t="shared" si="88"/>
        <v>73</v>
      </c>
      <c r="AU76" s="57">
        <f t="shared" si="89"/>
        <v>0.70033337723498479</v>
      </c>
      <c r="AV76" s="58">
        <f t="shared" si="78"/>
        <v>4.8675505653430484E-3</v>
      </c>
      <c r="AW76" s="59">
        <f t="shared" si="79"/>
        <v>1.004867550565343</v>
      </c>
      <c r="AX76" s="60">
        <f>PRODUCT(AW$4:AW76)</f>
        <v>1.4254238257628136</v>
      </c>
      <c r="AZ76" s="71">
        <f t="shared" si="90"/>
        <v>73</v>
      </c>
      <c r="BA76" s="72">
        <f t="shared" ca="1" si="92"/>
        <v>1.004867550565343</v>
      </c>
      <c r="BB76" s="72">
        <f t="shared" ca="1" si="92"/>
        <v>1.004867550565343</v>
      </c>
      <c r="BC76" s="72">
        <f t="shared" ca="1" si="92"/>
        <v>1.004867550565343</v>
      </c>
      <c r="BD76" s="72">
        <f t="shared" ca="1" si="92"/>
        <v>1.004867550565343</v>
      </c>
      <c r="BE76" s="72">
        <f t="shared" ca="1" si="92"/>
        <v>1.004867550565343</v>
      </c>
      <c r="BF76" s="72">
        <f t="shared" ca="1" si="92"/>
        <v>1.004867550565343</v>
      </c>
      <c r="BG76" s="72">
        <f t="shared" ca="1" si="92"/>
        <v>1.004867550565343</v>
      </c>
      <c r="BH76" s="72">
        <f t="shared" ca="1" si="92"/>
        <v>1.004867550565343</v>
      </c>
      <c r="BI76" s="72">
        <f t="shared" ca="1" si="92"/>
        <v>1.004867550565343</v>
      </c>
      <c r="BJ76" s="72">
        <f t="shared" ca="1" si="92"/>
        <v>1.004867550565343</v>
      </c>
      <c r="BK76" s="72">
        <f t="shared" ca="1" si="92"/>
        <v>1.004867550565343</v>
      </c>
      <c r="BL76" s="72">
        <f t="shared" ca="1" si="92"/>
        <v>1.004867550565343</v>
      </c>
      <c r="BM76" s="72">
        <f t="shared" ca="1" si="66"/>
        <v>6.0000000000000275E-2</v>
      </c>
      <c r="BN76" s="73">
        <f t="shared" ca="1" si="80"/>
        <v>70.360378058023343</v>
      </c>
    </row>
    <row r="77" spans="5:66">
      <c r="E77">
        <f t="shared" si="81"/>
        <v>74</v>
      </c>
      <c r="F77" s="9">
        <f t="shared" si="82"/>
        <v>75.083333333332988</v>
      </c>
      <c r="G77" s="132">
        <f t="shared" si="54"/>
        <v>0</v>
      </c>
      <c r="H77" s="133">
        <f t="shared" si="91"/>
        <v>1</v>
      </c>
      <c r="I77" s="31">
        <f t="shared" si="67"/>
        <v>1864393.593115513</v>
      </c>
      <c r="J77" s="31">
        <f t="shared" si="55"/>
        <v>9075.0300881913718</v>
      </c>
      <c r="K77" s="163">
        <f t="shared" si="56"/>
        <v>-20</v>
      </c>
      <c r="L77" s="163">
        <f t="shared" si="68"/>
        <v>-1553.6613275962609</v>
      </c>
      <c r="M77" s="163">
        <f t="shared" si="43"/>
        <v>0</v>
      </c>
      <c r="N77" s="163">
        <f t="shared" si="69"/>
        <v>-1771.1739134597376</v>
      </c>
      <c r="O77" s="84">
        <f t="shared" si="57"/>
        <v>-17488.599999999999</v>
      </c>
      <c r="P77" s="31">
        <f t="shared" si="58"/>
        <v>1852635.1879626482</v>
      </c>
      <c r="Q77" s="5"/>
      <c r="R77">
        <f t="shared" ca="1" si="70"/>
        <v>194</v>
      </c>
      <c r="S77" s="133">
        <f t="shared" ca="1" si="71"/>
        <v>84.84</v>
      </c>
      <c r="T77" s="132">
        <f t="shared" ca="1" si="59"/>
        <v>1.2264377074415411E-2</v>
      </c>
      <c r="U77" s="133">
        <f t="shared" ca="1" si="83"/>
        <v>0.50039780540961543</v>
      </c>
      <c r="V77" s="31">
        <f t="shared" ca="1" si="72"/>
        <v>475318.92116709222</v>
      </c>
      <c r="W77" s="31">
        <f t="shared" ca="1" si="60"/>
        <v>2313.6388834451277</v>
      </c>
      <c r="X77" s="163">
        <f t="shared" ca="1" si="84"/>
        <v>-10.007956108192309</v>
      </c>
      <c r="Y77" s="163">
        <f t="shared" ca="1" si="85"/>
        <v>-396.09910097257688</v>
      </c>
      <c r="Z77" s="163">
        <f t="shared" ca="1" si="73"/>
        <v>0</v>
      </c>
      <c r="AA77" s="163">
        <f t="shared" ca="1" si="86"/>
        <v>-451.55297510873771</v>
      </c>
      <c r="AB77" s="84">
        <f t="shared" ca="1" si="61"/>
        <v>-3119.8412109233523</v>
      </c>
      <c r="AC77" s="160">
        <f t="shared" si="62"/>
        <v>0</v>
      </c>
      <c r="AD77" s="31">
        <f t="shared" ca="1" si="63"/>
        <v>473655.0588074245</v>
      </c>
      <c r="AE77" s="5"/>
      <c r="AF77" s="151">
        <f t="shared" ca="1" si="64"/>
        <v>-6234.722009561001</v>
      </c>
      <c r="AG77" s="151">
        <f t="shared" ca="1" si="65"/>
        <v>946557.02660346427</v>
      </c>
      <c r="AH77" s="5"/>
      <c r="AI77" s="5"/>
      <c r="AJ77" s="5"/>
      <c r="AK77" s="44">
        <v>91</v>
      </c>
      <c r="AL77" s="2">
        <v>0.2258</v>
      </c>
      <c r="AM77" s="2">
        <v>0.22714000000000001</v>
      </c>
      <c r="AN77" s="2">
        <f t="shared" si="74"/>
        <v>152</v>
      </c>
      <c r="AO77" s="2">
        <f t="shared" si="75"/>
        <v>0</v>
      </c>
      <c r="AP77" s="45">
        <f t="shared" si="87"/>
        <v>1.7713133024043772E-4</v>
      </c>
      <c r="AQ77" s="46">
        <f t="shared" ca="1" si="76"/>
        <v>2.5174869028470073E-6</v>
      </c>
      <c r="AS77" s="55">
        <f t="shared" si="77"/>
        <v>7</v>
      </c>
      <c r="AT77" s="56">
        <f t="shared" si="88"/>
        <v>74</v>
      </c>
      <c r="AU77" s="57">
        <f t="shared" si="89"/>
        <v>0.69692446910869599</v>
      </c>
      <c r="AV77" s="58">
        <f t="shared" si="78"/>
        <v>4.8675505653430484E-3</v>
      </c>
      <c r="AW77" s="59">
        <f t="shared" si="79"/>
        <v>1.004867550565343</v>
      </c>
      <c r="AX77" s="60">
        <f>PRODUCT(AW$4:AW77)</f>
        <v>1.4323621483117588</v>
      </c>
      <c r="AZ77" s="71">
        <f t="shared" si="90"/>
        <v>74</v>
      </c>
      <c r="BA77" s="72">
        <f t="shared" ca="1" si="92"/>
        <v>1.004867550565343</v>
      </c>
      <c r="BB77" s="72">
        <f t="shared" ca="1" si="92"/>
        <v>1.004867550565343</v>
      </c>
      <c r="BC77" s="72">
        <f t="shared" ca="1" si="92"/>
        <v>1.004867550565343</v>
      </c>
      <c r="BD77" s="72">
        <f t="shared" ca="1" si="92"/>
        <v>1.004867550565343</v>
      </c>
      <c r="BE77" s="72">
        <f t="shared" ca="1" si="92"/>
        <v>1.004867550565343</v>
      </c>
      <c r="BF77" s="72">
        <f t="shared" ca="1" si="92"/>
        <v>1.004867550565343</v>
      </c>
      <c r="BG77" s="72">
        <f t="shared" ca="1" si="92"/>
        <v>1.004867550565343</v>
      </c>
      <c r="BH77" s="72">
        <f t="shared" ca="1" si="92"/>
        <v>1.004867550565343</v>
      </c>
      <c r="BI77" s="72">
        <f t="shared" ca="1" si="92"/>
        <v>1.004867550565343</v>
      </c>
      <c r="BJ77" s="72">
        <f t="shared" ca="1" si="92"/>
        <v>1.004867550565343</v>
      </c>
      <c r="BK77" s="72">
        <f t="shared" ca="1" si="92"/>
        <v>1.004867550565343</v>
      </c>
      <c r="BL77" s="72">
        <f t="shared" ca="1" si="92"/>
        <v>1.004867550565343</v>
      </c>
      <c r="BM77" s="72">
        <f t="shared" ca="1" si="66"/>
        <v>6.0000000000000275E-2</v>
      </c>
      <c r="BN77" s="73">
        <f t="shared" ca="1" si="80"/>
        <v>74.582000741504757</v>
      </c>
    </row>
    <row r="78" spans="5:66">
      <c r="E78">
        <f t="shared" si="81"/>
        <v>75</v>
      </c>
      <c r="F78" s="9">
        <f t="shared" si="82"/>
        <v>75.166666666666316</v>
      </c>
      <c r="G78" s="132">
        <f t="shared" si="54"/>
        <v>0</v>
      </c>
      <c r="H78" s="133">
        <f t="shared" si="91"/>
        <v>1</v>
      </c>
      <c r="I78" s="31">
        <f t="shared" si="67"/>
        <v>1852635.1879626482</v>
      </c>
      <c r="J78" s="31">
        <f t="shared" si="55"/>
        <v>9017.7954565420132</v>
      </c>
      <c r="K78" s="163">
        <f t="shared" si="56"/>
        <v>-20</v>
      </c>
      <c r="L78" s="163">
        <f t="shared" si="68"/>
        <v>-1543.8626566355404</v>
      </c>
      <c r="M78" s="163">
        <f t="shared" si="43"/>
        <v>0</v>
      </c>
      <c r="N78" s="163">
        <f t="shared" si="69"/>
        <v>-1760.0034285645161</v>
      </c>
      <c r="O78" s="84">
        <f t="shared" si="57"/>
        <v>-17488.599999999999</v>
      </c>
      <c r="P78" s="31">
        <f t="shared" si="58"/>
        <v>1840840.5173339902</v>
      </c>
      <c r="Q78" s="5"/>
      <c r="R78">
        <f t="shared" ca="1" si="70"/>
        <v>195</v>
      </c>
      <c r="S78" s="133">
        <f t="shared" ca="1" si="71"/>
        <v>84.92</v>
      </c>
      <c r="T78" s="132">
        <f t="shared" ca="1" si="59"/>
        <v>1.2264377074415411E-2</v>
      </c>
      <c r="U78" s="133">
        <f t="shared" ca="1" si="83"/>
        <v>0.49426073803686194</v>
      </c>
      <c r="V78" s="31">
        <f t="shared" ca="1" si="72"/>
        <v>467845.97456300585</v>
      </c>
      <c r="W78" s="31">
        <f t="shared" ca="1" si="60"/>
        <v>2277.2639379776288</v>
      </c>
      <c r="X78" s="163">
        <f t="shared" ca="1" si="84"/>
        <v>-9.885214760737238</v>
      </c>
      <c r="Y78" s="163">
        <f t="shared" ca="1" si="85"/>
        <v>-389.87164546917154</v>
      </c>
      <c r="Z78" s="163">
        <f t="shared" ca="1" si="73"/>
        <v>0</v>
      </c>
      <c r="AA78" s="163">
        <f t="shared" ca="1" si="86"/>
        <v>-444.45367583485563</v>
      </c>
      <c r="AB78" s="84">
        <f t="shared" ca="1" si="61"/>
        <v>-3081.5783019002879</v>
      </c>
      <c r="AC78" s="160">
        <f t="shared" si="62"/>
        <v>0</v>
      </c>
      <c r="AD78" s="31">
        <f t="shared" ca="1" si="63"/>
        <v>466197.4496630184</v>
      </c>
      <c r="AE78" s="5"/>
      <c r="AF78" s="151">
        <f t="shared" ca="1" si="64"/>
        <v>-6234.7220095610019</v>
      </c>
      <c r="AG78" s="151">
        <f t="shared" ca="1" si="65"/>
        <v>943221.69208643364</v>
      </c>
      <c r="AH78" s="5"/>
      <c r="AI78" s="5"/>
      <c r="AJ78" s="5"/>
      <c r="AK78" s="44">
        <v>92</v>
      </c>
      <c r="AL78" s="2">
        <v>0.24440000000000001</v>
      </c>
      <c r="AM78" s="2">
        <v>0.24593000000000001</v>
      </c>
      <c r="AN78" s="2">
        <f t="shared" si="74"/>
        <v>153</v>
      </c>
      <c r="AO78" s="2">
        <f t="shared" si="75"/>
        <v>0</v>
      </c>
      <c r="AP78" s="45">
        <f t="shared" si="87"/>
        <v>1.7713133024043772E-4</v>
      </c>
      <c r="AQ78" s="46">
        <f t="shared" ca="1" si="76"/>
        <v>2.3749876441952896E-6</v>
      </c>
      <c r="AS78" s="55">
        <f t="shared" si="77"/>
        <v>7</v>
      </c>
      <c r="AT78" s="56">
        <f t="shared" si="88"/>
        <v>75</v>
      </c>
      <c r="AU78" s="57">
        <f t="shared" si="89"/>
        <v>0.6935321540150845</v>
      </c>
      <c r="AV78" s="58">
        <f t="shared" si="78"/>
        <v>4.8675505653430484E-3</v>
      </c>
      <c r="AW78" s="59">
        <f t="shared" si="79"/>
        <v>1.004867550565343</v>
      </c>
      <c r="AX78" s="60">
        <f>PRODUCT(AW$4:AW78)</f>
        <v>1.4393342434965497</v>
      </c>
      <c r="AZ78" s="71">
        <f t="shared" si="90"/>
        <v>75</v>
      </c>
      <c r="BA78" s="72">
        <f t="shared" ca="1" si="92"/>
        <v>1.004867550565343</v>
      </c>
      <c r="BB78" s="72">
        <f t="shared" ca="1" si="92"/>
        <v>1.004867550565343</v>
      </c>
      <c r="BC78" s="72">
        <f t="shared" ca="1" si="92"/>
        <v>1.004867550565343</v>
      </c>
      <c r="BD78" s="72">
        <f t="shared" ca="1" si="92"/>
        <v>1.004867550565343</v>
      </c>
      <c r="BE78" s="72">
        <f t="shared" ca="1" si="92"/>
        <v>1.004867550565343</v>
      </c>
      <c r="BF78" s="72">
        <f t="shared" ca="1" si="92"/>
        <v>1.004867550565343</v>
      </c>
      <c r="BG78" s="72">
        <f t="shared" ca="1" si="92"/>
        <v>1.004867550565343</v>
      </c>
      <c r="BH78" s="72">
        <f t="shared" ca="1" si="92"/>
        <v>1.004867550565343</v>
      </c>
      <c r="BI78" s="72">
        <f t="shared" ca="1" si="92"/>
        <v>1.004867550565343</v>
      </c>
      <c r="BJ78" s="72">
        <f t="shared" ca="1" si="92"/>
        <v>1.004867550565343</v>
      </c>
      <c r="BK78" s="72">
        <f t="shared" ca="1" si="92"/>
        <v>1.004867550565343</v>
      </c>
      <c r="BL78" s="72">
        <f t="shared" ca="1" si="92"/>
        <v>1.004867550565343</v>
      </c>
      <c r="BM78" s="72">
        <f t="shared" ca="1" si="66"/>
        <v>6.0000000000000275E-2</v>
      </c>
      <c r="BN78" s="73">
        <f t="shared" ca="1" si="80"/>
        <v>79.056920785995061</v>
      </c>
    </row>
    <row r="79" spans="5:66">
      <c r="E79">
        <f t="shared" si="81"/>
        <v>76</v>
      </c>
      <c r="F79" s="9">
        <f t="shared" si="82"/>
        <v>75.249999999999645</v>
      </c>
      <c r="G79" s="132">
        <f t="shared" si="54"/>
        <v>0</v>
      </c>
      <c r="H79" s="133">
        <f t="shared" si="91"/>
        <v>1</v>
      </c>
      <c r="I79" s="31">
        <f t="shared" si="67"/>
        <v>1840840.5173339902</v>
      </c>
      <c r="J79" s="31">
        <f t="shared" si="55"/>
        <v>8960.3843008554541</v>
      </c>
      <c r="K79" s="163">
        <f t="shared" si="56"/>
        <v>-20</v>
      </c>
      <c r="L79" s="163">
        <f t="shared" si="68"/>
        <v>-1534.0337644449919</v>
      </c>
      <c r="M79" s="163">
        <f t="shared" si="43"/>
        <v>0</v>
      </c>
      <c r="N79" s="163">
        <f t="shared" si="69"/>
        <v>-1748.7984914672909</v>
      </c>
      <c r="O79" s="84">
        <f t="shared" si="57"/>
        <v>-17488.599999999999</v>
      </c>
      <c r="P79" s="31">
        <f t="shared" si="58"/>
        <v>1829009.4693789333</v>
      </c>
      <c r="Q79" s="5"/>
      <c r="R79">
        <f t="shared" ca="1" si="70"/>
        <v>196</v>
      </c>
      <c r="S79" s="133">
        <f t="shared" ca="1" si="71"/>
        <v>85</v>
      </c>
      <c r="T79" s="132">
        <f t="shared" ca="1" si="59"/>
        <v>1.2264377074415411E-2</v>
      </c>
      <c r="U79" s="133">
        <f t="shared" ca="1" si="83"/>
        <v>0.48819893797249903</v>
      </c>
      <c r="V79" s="31">
        <f t="shared" ca="1" si="72"/>
        <v>460479.82834922033</v>
      </c>
      <c r="W79" s="31">
        <f t="shared" ca="1" si="60"/>
        <v>2241.4088488103175</v>
      </c>
      <c r="X79" s="163">
        <f t="shared" ca="1" si="84"/>
        <v>-9.7639787594499801</v>
      </c>
      <c r="Y79" s="163">
        <f t="shared" ca="1" si="85"/>
        <v>-383.73319029101697</v>
      </c>
      <c r="Z79" s="163">
        <f t="shared" ca="1" si="73"/>
        <v>0</v>
      </c>
      <c r="AA79" s="163">
        <f t="shared" ca="1" si="86"/>
        <v>-437.45583693175939</v>
      </c>
      <c r="AB79" s="84">
        <f t="shared" ca="1" si="61"/>
        <v>-3043.7846636214458</v>
      </c>
      <c r="AC79" s="160">
        <f t="shared" si="62"/>
        <v>0</v>
      </c>
      <c r="AD79" s="31">
        <f t="shared" ca="1" si="63"/>
        <v>458846.49952842691</v>
      </c>
      <c r="AE79" s="5"/>
      <c r="AF79" s="151">
        <f t="shared" ca="1" si="64"/>
        <v>-6234.7220095610019</v>
      </c>
      <c r="AG79" s="151">
        <f t="shared" ca="1" si="65"/>
        <v>939876.07067321066</v>
      </c>
      <c r="AH79" s="5"/>
      <c r="AI79" s="5"/>
      <c r="AJ79" s="5"/>
      <c r="AK79" s="44">
        <v>93</v>
      </c>
      <c r="AL79" s="2">
        <v>0.26424999999999998</v>
      </c>
      <c r="AM79" s="2">
        <v>0.26597999999999999</v>
      </c>
      <c r="AN79" s="2">
        <f t="shared" si="74"/>
        <v>154</v>
      </c>
      <c r="AO79" s="2">
        <f t="shared" si="75"/>
        <v>0</v>
      </c>
      <c r="AP79" s="45">
        <f t="shared" si="87"/>
        <v>1.7713133024043772E-4</v>
      </c>
      <c r="AQ79" s="46">
        <f t="shared" ca="1" si="76"/>
        <v>2.2405543813163103E-6</v>
      </c>
      <c r="AS79" s="55">
        <f t="shared" si="77"/>
        <v>7</v>
      </c>
      <c r="AT79" s="56">
        <f t="shared" si="88"/>
        <v>76</v>
      </c>
      <c r="AU79" s="57">
        <f t="shared" si="89"/>
        <v>0.6901563511867248</v>
      </c>
      <c r="AV79" s="58">
        <f t="shared" si="78"/>
        <v>4.8675505653430484E-3</v>
      </c>
      <c r="AW79" s="59">
        <f t="shared" si="79"/>
        <v>1.004867550565343</v>
      </c>
      <c r="AX79" s="60">
        <f>PRODUCT(AW$4:AW79)</f>
        <v>1.446340275707199</v>
      </c>
      <c r="AZ79" s="71">
        <f t="shared" si="90"/>
        <v>76</v>
      </c>
      <c r="BA79" s="72">
        <f t="shared" ca="1" si="92"/>
        <v>1.004867550565343</v>
      </c>
      <c r="BB79" s="72">
        <f t="shared" ca="1" si="92"/>
        <v>1.004867550565343</v>
      </c>
      <c r="BC79" s="72">
        <f t="shared" ca="1" si="92"/>
        <v>1.004867550565343</v>
      </c>
      <c r="BD79" s="72">
        <f t="shared" ca="1" si="92"/>
        <v>1.004867550565343</v>
      </c>
      <c r="BE79" s="72">
        <f t="shared" ca="1" si="92"/>
        <v>1.004867550565343</v>
      </c>
      <c r="BF79" s="72">
        <f t="shared" ca="1" si="92"/>
        <v>1.004867550565343</v>
      </c>
      <c r="BG79" s="72">
        <f t="shared" ca="1" si="92"/>
        <v>1.004867550565343</v>
      </c>
      <c r="BH79" s="72">
        <f t="shared" ca="1" si="92"/>
        <v>1.004867550565343</v>
      </c>
      <c r="BI79" s="72">
        <f t="shared" ca="1" si="92"/>
        <v>1.004867550565343</v>
      </c>
      <c r="BJ79" s="72">
        <f t="shared" ca="1" si="92"/>
        <v>1.004867550565343</v>
      </c>
      <c r="BK79" s="72">
        <f t="shared" ca="1" si="92"/>
        <v>1.004867550565343</v>
      </c>
      <c r="BL79" s="72">
        <f t="shared" ca="1" si="92"/>
        <v>1.004867550565343</v>
      </c>
      <c r="BM79" s="72">
        <f t="shared" ca="1" si="66"/>
        <v>6.0000000000000275E-2</v>
      </c>
      <c r="BN79" s="73">
        <f t="shared" ca="1" si="80"/>
        <v>83.800336033154792</v>
      </c>
    </row>
    <row r="80" spans="5:66">
      <c r="E80">
        <f t="shared" si="81"/>
        <v>77</v>
      </c>
      <c r="F80" s="9">
        <f t="shared" si="82"/>
        <v>75.333333333332973</v>
      </c>
      <c r="G80" s="132">
        <f t="shared" si="54"/>
        <v>0</v>
      </c>
      <c r="H80" s="133">
        <f t="shared" si="91"/>
        <v>1</v>
      </c>
      <c r="I80" s="31">
        <f t="shared" si="67"/>
        <v>1829009.4693789333</v>
      </c>
      <c r="J80" s="31">
        <f t="shared" si="55"/>
        <v>8902.7960766932156</v>
      </c>
      <c r="K80" s="163">
        <f t="shared" si="56"/>
        <v>-20</v>
      </c>
      <c r="L80" s="163">
        <f t="shared" si="68"/>
        <v>-1524.1745578157779</v>
      </c>
      <c r="M80" s="163">
        <f t="shared" ref="M80:M143" si="93">IF(OR(I79+O79=0,K79=0),0,-IF(MOD(E80-1,12)=0,1,0)*I80*($C$17))</f>
        <v>0</v>
      </c>
      <c r="N80" s="163">
        <f t="shared" si="69"/>
        <v>-1737.5589959099871</v>
      </c>
      <c r="O80" s="84">
        <f t="shared" si="57"/>
        <v>-17488.599999999999</v>
      </c>
      <c r="P80" s="31">
        <f t="shared" si="58"/>
        <v>1817141.9319019006</v>
      </c>
      <c r="Q80" s="5"/>
      <c r="R80">
        <f t="shared" ca="1" si="70"/>
        <v>197</v>
      </c>
      <c r="S80" s="133">
        <f t="shared" ca="1" si="71"/>
        <v>85.08</v>
      </c>
      <c r="T80" s="132">
        <f t="shared" ca="1" si="59"/>
        <v>1.2264377074415411E-2</v>
      </c>
      <c r="U80" s="133">
        <f t="shared" ca="1" si="83"/>
        <v>0.48221148210987513</v>
      </c>
      <c r="V80" s="31">
        <f t="shared" ca="1" si="72"/>
        <v>453219.03303893469</v>
      </c>
      <c r="W80" s="31">
        <f t="shared" ca="1" si="60"/>
        <v>2206.0665604928963</v>
      </c>
      <c r="X80" s="163">
        <f t="shared" ca="1" si="84"/>
        <v>-9.6442296421975033</v>
      </c>
      <c r="Y80" s="163">
        <f t="shared" ca="1" si="85"/>
        <v>-377.68252753244559</v>
      </c>
      <c r="Z80" s="163">
        <f t="shared" ca="1" si="73"/>
        <v>0</v>
      </c>
      <c r="AA80" s="163">
        <f t="shared" ca="1" si="86"/>
        <v>-430.55808138698802</v>
      </c>
      <c r="AB80" s="84">
        <f t="shared" ca="1" si="61"/>
        <v>-3006.4545407734695</v>
      </c>
      <c r="AC80" s="160">
        <f t="shared" si="62"/>
        <v>0</v>
      </c>
      <c r="AD80" s="31">
        <f t="shared" ca="1" si="63"/>
        <v>451600.76022009255</v>
      </c>
      <c r="AE80" s="5"/>
      <c r="AF80" s="151">
        <f t="shared" ca="1" si="64"/>
        <v>-6234.722009561001</v>
      </c>
      <c r="AG80" s="151">
        <f t="shared" ca="1" si="65"/>
        <v>936520.13063677377</v>
      </c>
      <c r="AH80" s="5"/>
      <c r="AI80" s="5"/>
      <c r="AJ80" s="5"/>
      <c r="AK80" s="44">
        <v>94</v>
      </c>
      <c r="AL80" s="2">
        <v>0.28538000000000002</v>
      </c>
      <c r="AM80" s="2">
        <v>0.28733999999999998</v>
      </c>
      <c r="AN80" s="2">
        <f t="shared" si="74"/>
        <v>155</v>
      </c>
      <c r="AO80" s="2">
        <f t="shared" si="75"/>
        <v>0</v>
      </c>
      <c r="AP80" s="45">
        <f t="shared" si="87"/>
        <v>1.7713133024043772E-4</v>
      </c>
      <c r="AQ80" s="46">
        <f t="shared" ca="1" si="76"/>
        <v>2.1137305484116127E-6</v>
      </c>
      <c r="AS80" s="55">
        <f t="shared" si="77"/>
        <v>7</v>
      </c>
      <c r="AT80" s="56">
        <f t="shared" si="88"/>
        <v>77</v>
      </c>
      <c r="AU80" s="57">
        <f t="shared" si="89"/>
        <v>0.68679698024933078</v>
      </c>
      <c r="AV80" s="58">
        <f t="shared" si="78"/>
        <v>4.8675505653430484E-3</v>
      </c>
      <c r="AW80" s="59">
        <f t="shared" si="79"/>
        <v>1.004867550565343</v>
      </c>
      <c r="AX80" s="60">
        <f>PRODUCT(AW$4:AW80)</f>
        <v>1.4533804101338961</v>
      </c>
      <c r="AZ80" s="71">
        <f t="shared" si="90"/>
        <v>77</v>
      </c>
      <c r="BA80" s="72">
        <f t="shared" ca="1" si="92"/>
        <v>1.004867550565343</v>
      </c>
      <c r="BB80" s="72">
        <f t="shared" ca="1" si="92"/>
        <v>1.004867550565343</v>
      </c>
      <c r="BC80" s="72">
        <f t="shared" ca="1" si="92"/>
        <v>1.004867550565343</v>
      </c>
      <c r="BD80" s="72">
        <f t="shared" ca="1" si="92"/>
        <v>1.004867550565343</v>
      </c>
      <c r="BE80" s="72">
        <f t="shared" ca="1" si="92"/>
        <v>1.004867550565343</v>
      </c>
      <c r="BF80" s="72">
        <f t="shared" ca="1" si="92"/>
        <v>1.004867550565343</v>
      </c>
      <c r="BG80" s="72">
        <f t="shared" ca="1" si="92"/>
        <v>1.004867550565343</v>
      </c>
      <c r="BH80" s="72">
        <f t="shared" ca="1" si="92"/>
        <v>1.004867550565343</v>
      </c>
      <c r="BI80" s="72">
        <f t="shared" ca="1" si="92"/>
        <v>1.004867550565343</v>
      </c>
      <c r="BJ80" s="72">
        <f t="shared" ca="1" si="92"/>
        <v>1.004867550565343</v>
      </c>
      <c r="BK80" s="72">
        <f t="shared" ca="1" si="92"/>
        <v>1.004867550565343</v>
      </c>
      <c r="BL80" s="72">
        <f t="shared" ca="1" si="92"/>
        <v>1.004867550565343</v>
      </c>
      <c r="BM80" s="72">
        <f t="shared" ca="1" si="66"/>
        <v>6.0000000000000275E-2</v>
      </c>
      <c r="BN80" s="73">
        <f t="shared" ca="1" si="80"/>
        <v>88.82835619514411</v>
      </c>
    </row>
    <row r="81" spans="5:66">
      <c r="E81">
        <f t="shared" si="81"/>
        <v>78</v>
      </c>
      <c r="F81" s="9">
        <f t="shared" si="82"/>
        <v>75.416666666666302</v>
      </c>
      <c r="G81" s="132">
        <f t="shared" si="54"/>
        <v>0</v>
      </c>
      <c r="H81" s="133">
        <f t="shared" si="91"/>
        <v>1</v>
      </c>
      <c r="I81" s="31">
        <f t="shared" si="67"/>
        <v>1817141.9319019006</v>
      </c>
      <c r="J81" s="31">
        <f t="shared" si="55"/>
        <v>8845.0302379376553</v>
      </c>
      <c r="K81" s="163">
        <f t="shared" si="56"/>
        <v>-20</v>
      </c>
      <c r="L81" s="163">
        <f t="shared" si="68"/>
        <v>-1514.2849432515839</v>
      </c>
      <c r="M81" s="163">
        <f t="shared" si="93"/>
        <v>0</v>
      </c>
      <c r="N81" s="163">
        <f t="shared" si="69"/>
        <v>-1726.2848353068059</v>
      </c>
      <c r="O81" s="84">
        <f t="shared" si="57"/>
        <v>-17488.599999999999</v>
      </c>
      <c r="P81" s="31">
        <f t="shared" si="58"/>
        <v>1805237.7923612797</v>
      </c>
      <c r="Q81" s="5"/>
      <c r="R81">
        <f t="shared" ca="1" si="70"/>
        <v>198</v>
      </c>
      <c r="S81" s="133">
        <f t="shared" ca="1" si="71"/>
        <v>85.16</v>
      </c>
      <c r="T81" s="132">
        <f t="shared" ca="1" si="59"/>
        <v>1.2264377074415411E-2</v>
      </c>
      <c r="U81" s="133">
        <f t="shared" ca="1" si="83"/>
        <v>0.47629745866366691</v>
      </c>
      <c r="V81" s="31">
        <f t="shared" ca="1" si="72"/>
        <v>446062.15820966067</v>
      </c>
      <c r="W81" s="31">
        <f t="shared" ca="1" si="60"/>
        <v>2171.230110371574</v>
      </c>
      <c r="X81" s="163">
        <f t="shared" ca="1" si="84"/>
        <v>-9.5259491732733377</v>
      </c>
      <c r="Y81" s="163">
        <f t="shared" ca="1" si="85"/>
        <v>-371.71846517471727</v>
      </c>
      <c r="Z81" s="163">
        <f t="shared" ca="1" si="73"/>
        <v>0</v>
      </c>
      <c r="AA81" s="163">
        <f t="shared" ca="1" si="86"/>
        <v>-423.75905029917772</v>
      </c>
      <c r="AB81" s="84">
        <f t="shared" ca="1" si="61"/>
        <v>-2969.5822486283355</v>
      </c>
      <c r="AC81" s="160">
        <f t="shared" si="62"/>
        <v>0</v>
      </c>
      <c r="AD81" s="31">
        <f t="shared" ca="1" si="63"/>
        <v>444458.8026067568</v>
      </c>
      <c r="AE81" s="5"/>
      <c r="AF81" s="151">
        <f t="shared" ca="1" si="64"/>
        <v>-6234.7220095610019</v>
      </c>
      <c r="AG81" s="151">
        <f t="shared" ca="1" si="65"/>
        <v>933153.84015224676</v>
      </c>
      <c r="AH81" s="5"/>
      <c r="AI81" s="5"/>
      <c r="AJ81" s="5"/>
      <c r="AK81" s="44">
        <v>95</v>
      </c>
      <c r="AL81" s="2">
        <v>0.30784</v>
      </c>
      <c r="AM81" s="2">
        <v>0.31002999999999997</v>
      </c>
      <c r="AN81" s="2">
        <f t="shared" si="74"/>
        <v>156</v>
      </c>
      <c r="AO81" s="2">
        <f t="shared" si="75"/>
        <v>0</v>
      </c>
      <c r="AP81" s="45">
        <f t="shared" si="87"/>
        <v>1.7713133024043772E-4</v>
      </c>
      <c r="AQ81" s="46">
        <f t="shared" ca="1" si="76"/>
        <v>1.9940854230298226E-6</v>
      </c>
      <c r="AS81" s="55">
        <f t="shared" si="77"/>
        <v>7</v>
      </c>
      <c r="AT81" s="56">
        <f t="shared" si="88"/>
        <v>78</v>
      </c>
      <c r="AU81" s="57">
        <f t="shared" si="89"/>
        <v>0.68345396121984225</v>
      </c>
      <c r="AV81" s="58">
        <f t="shared" si="78"/>
        <v>4.8675505653430484E-3</v>
      </c>
      <c r="AW81" s="59">
        <f t="shared" si="79"/>
        <v>1.004867550565343</v>
      </c>
      <c r="AX81" s="60">
        <f>PRODUCT(AW$4:AW81)</f>
        <v>1.4604548127709018</v>
      </c>
      <c r="AZ81" s="71">
        <f t="shared" si="90"/>
        <v>78</v>
      </c>
      <c r="BA81" s="72">
        <f t="shared" ca="1" si="92"/>
        <v>1.004867550565343</v>
      </c>
      <c r="BB81" s="72">
        <f t="shared" ca="1" si="92"/>
        <v>1.004867550565343</v>
      </c>
      <c r="BC81" s="72">
        <f t="shared" ca="1" si="92"/>
        <v>1.004867550565343</v>
      </c>
      <c r="BD81" s="72">
        <f t="shared" ca="1" si="92"/>
        <v>1.004867550565343</v>
      </c>
      <c r="BE81" s="72">
        <f t="shared" ca="1" si="92"/>
        <v>1.004867550565343</v>
      </c>
      <c r="BF81" s="72">
        <f t="shared" ca="1" si="92"/>
        <v>1.004867550565343</v>
      </c>
      <c r="BG81" s="72">
        <f t="shared" ca="1" si="92"/>
        <v>1.004867550565343</v>
      </c>
      <c r="BH81" s="72">
        <f t="shared" ca="1" si="92"/>
        <v>1.004867550565343</v>
      </c>
      <c r="BI81" s="72">
        <f t="shared" ca="1" si="92"/>
        <v>1.004867550565343</v>
      </c>
      <c r="BJ81" s="72">
        <f t="shared" ca="1" si="92"/>
        <v>1.004867550565343</v>
      </c>
      <c r="BK81" s="72">
        <f t="shared" ca="1" si="92"/>
        <v>1.004867550565343</v>
      </c>
      <c r="BL81" s="72">
        <f t="shared" ca="1" si="92"/>
        <v>1.004867550565343</v>
      </c>
      <c r="BM81" s="72">
        <f t="shared" ca="1" si="66"/>
        <v>6.0000000000000275E-2</v>
      </c>
      <c r="BN81" s="73">
        <f t="shared" ca="1" si="80"/>
        <v>94.158057566852776</v>
      </c>
    </row>
    <row r="82" spans="5:66">
      <c r="E82">
        <f t="shared" si="81"/>
        <v>79</v>
      </c>
      <c r="F82" s="9">
        <f t="shared" si="82"/>
        <v>75.499999999999631</v>
      </c>
      <c r="G82" s="132">
        <f t="shared" si="54"/>
        <v>0</v>
      </c>
      <c r="H82" s="133">
        <f t="shared" si="91"/>
        <v>1</v>
      </c>
      <c r="I82" s="31">
        <f t="shared" si="67"/>
        <v>1805237.7923612797</v>
      </c>
      <c r="J82" s="31">
        <f t="shared" si="55"/>
        <v>8787.086236786783</v>
      </c>
      <c r="K82" s="163">
        <f t="shared" si="56"/>
        <v>-20</v>
      </c>
      <c r="L82" s="163">
        <f t="shared" si="68"/>
        <v>-1504.3648269677333</v>
      </c>
      <c r="M82" s="163">
        <f t="shared" si="93"/>
        <v>0</v>
      </c>
      <c r="N82" s="163">
        <f t="shared" si="69"/>
        <v>-1714.9759027432162</v>
      </c>
      <c r="O82" s="84">
        <f t="shared" si="57"/>
        <v>-17488.599999999999</v>
      </c>
      <c r="P82" s="31">
        <f t="shared" si="58"/>
        <v>1793296.9378683555</v>
      </c>
      <c r="Q82" s="5"/>
      <c r="R82">
        <f t="shared" ca="1" si="70"/>
        <v>199</v>
      </c>
      <c r="S82" s="133">
        <f t="shared" ca="1" si="71"/>
        <v>85.24</v>
      </c>
      <c r="T82" s="132">
        <f t="shared" ca="1" si="59"/>
        <v>1.2264377074415411E-2</v>
      </c>
      <c r="U82" s="133">
        <f t="shared" ca="1" si="83"/>
        <v>0.47045596703102993</v>
      </c>
      <c r="V82" s="31">
        <f t="shared" ca="1" si="72"/>
        <v>439007.79225754435</v>
      </c>
      <c r="W82" s="31">
        <f t="shared" ca="1" si="60"/>
        <v>2136.8926273932134</v>
      </c>
      <c r="X82" s="163">
        <f t="shared" ca="1" si="84"/>
        <v>-9.4091193406205988</v>
      </c>
      <c r="Y82" s="163">
        <f t="shared" ca="1" si="85"/>
        <v>-365.83982688128697</v>
      </c>
      <c r="Z82" s="163">
        <f t="shared" ca="1" si="73"/>
        <v>0</v>
      </c>
      <c r="AA82" s="163">
        <f t="shared" ca="1" si="86"/>
        <v>-417.05740264466721</v>
      </c>
      <c r="AB82" s="84">
        <f t="shared" ca="1" si="61"/>
        <v>-2933.1621721776669</v>
      </c>
      <c r="AC82" s="160">
        <f t="shared" si="62"/>
        <v>0</v>
      </c>
      <c r="AD82" s="31">
        <f t="shared" ca="1" si="63"/>
        <v>437419.21636389324</v>
      </c>
      <c r="AE82" s="5"/>
      <c r="AF82" s="151">
        <f t="shared" ca="1" si="64"/>
        <v>-6234.722009561001</v>
      </c>
      <c r="AG82" s="151">
        <f t="shared" ca="1" si="65"/>
        <v>929777.16729659913</v>
      </c>
      <c r="AH82" s="5"/>
      <c r="AI82" s="5"/>
      <c r="AJ82" s="5"/>
      <c r="AK82" s="44">
        <v>96</v>
      </c>
      <c r="AL82" s="2">
        <v>0.33161000000000002</v>
      </c>
      <c r="AM82" s="2">
        <v>0.33405000000000001</v>
      </c>
      <c r="AN82" s="2">
        <f t="shared" si="74"/>
        <v>157</v>
      </c>
      <c r="AO82" s="2">
        <f t="shared" si="75"/>
        <v>0</v>
      </c>
      <c r="AP82" s="45">
        <f t="shared" si="87"/>
        <v>1.7713133024043772E-4</v>
      </c>
      <c r="AQ82" s="46">
        <f t="shared" ca="1" si="76"/>
        <v>1.8812126632356814E-6</v>
      </c>
      <c r="AS82" s="55">
        <f t="shared" si="77"/>
        <v>7</v>
      </c>
      <c r="AT82" s="56">
        <f t="shared" si="88"/>
        <v>79</v>
      </c>
      <c r="AU82" s="57">
        <f t="shared" si="89"/>
        <v>0.68012721450452063</v>
      </c>
      <c r="AV82" s="58">
        <f t="shared" si="78"/>
        <v>4.8675505653430484E-3</v>
      </c>
      <c r="AW82" s="59">
        <f t="shared" si="79"/>
        <v>1.004867550565343</v>
      </c>
      <c r="AX82" s="60">
        <f>PRODUCT(AW$4:AW82)</f>
        <v>1.4675636504204628</v>
      </c>
      <c r="AZ82" s="71">
        <f t="shared" si="90"/>
        <v>79</v>
      </c>
      <c r="BA82" s="72">
        <f t="shared" ca="1" si="92"/>
        <v>1.004867550565343</v>
      </c>
      <c r="BB82" s="72">
        <f t="shared" ca="1" si="92"/>
        <v>1.004867550565343</v>
      </c>
      <c r="BC82" s="72">
        <f t="shared" ca="1" si="92"/>
        <v>1.004867550565343</v>
      </c>
      <c r="BD82" s="72">
        <f t="shared" ca="1" si="92"/>
        <v>1.004867550565343</v>
      </c>
      <c r="BE82" s="72">
        <f t="shared" ca="1" si="92"/>
        <v>1.004867550565343</v>
      </c>
      <c r="BF82" s="72">
        <f t="shared" ca="1" si="92"/>
        <v>1.004867550565343</v>
      </c>
      <c r="BG82" s="72">
        <f t="shared" ca="1" si="92"/>
        <v>1.004867550565343</v>
      </c>
      <c r="BH82" s="72">
        <f t="shared" ca="1" si="92"/>
        <v>1.004867550565343</v>
      </c>
      <c r="BI82" s="72">
        <f t="shared" ca="1" si="92"/>
        <v>1.004867550565343</v>
      </c>
      <c r="BJ82" s="72">
        <f t="shared" ca="1" si="92"/>
        <v>1.004867550565343</v>
      </c>
      <c r="BK82" s="72">
        <f t="shared" ca="1" si="92"/>
        <v>1.004867550565343</v>
      </c>
      <c r="BL82" s="72">
        <f t="shared" ca="1" si="92"/>
        <v>1.004867550565343</v>
      </c>
      <c r="BM82" s="72">
        <f t="shared" ca="1" si="66"/>
        <v>6.0000000000000275E-2</v>
      </c>
      <c r="BN82" s="73">
        <f t="shared" ca="1" si="80"/>
        <v>99.807541020863965</v>
      </c>
    </row>
    <row r="83" spans="5:66">
      <c r="E83">
        <f t="shared" si="81"/>
        <v>80</v>
      </c>
      <c r="F83" s="9">
        <f t="shared" si="82"/>
        <v>75.583333333332959</v>
      </c>
      <c r="G83" s="132">
        <f t="shared" si="54"/>
        <v>0</v>
      </c>
      <c r="H83" s="133">
        <f t="shared" si="91"/>
        <v>1</v>
      </c>
      <c r="I83" s="31">
        <f t="shared" si="67"/>
        <v>1793296.9378683555</v>
      </c>
      <c r="J83" s="31">
        <f t="shared" si="55"/>
        <v>8728.9635237490711</v>
      </c>
      <c r="K83" s="163">
        <f t="shared" si="56"/>
        <v>-20</v>
      </c>
      <c r="L83" s="163">
        <f t="shared" si="68"/>
        <v>-1494.4141148902963</v>
      </c>
      <c r="M83" s="163">
        <f t="shared" si="93"/>
        <v>0</v>
      </c>
      <c r="N83" s="163">
        <f t="shared" si="69"/>
        <v>-1703.6320909749381</v>
      </c>
      <c r="O83" s="84">
        <f t="shared" si="57"/>
        <v>-17488.599999999999</v>
      </c>
      <c r="P83" s="31">
        <f t="shared" si="58"/>
        <v>1781319.2551862393</v>
      </c>
      <c r="Q83" s="5"/>
      <c r="R83">
        <f t="shared" ca="1" si="70"/>
        <v>200</v>
      </c>
      <c r="S83" s="133">
        <f t="shared" ca="1" si="71"/>
        <v>85.32</v>
      </c>
      <c r="T83" s="132">
        <f t="shared" ca="1" si="59"/>
        <v>1.2264377074415411E-2</v>
      </c>
      <c r="U83" s="133">
        <f t="shared" ca="1" si="83"/>
        <v>0.46468611765445261</v>
      </c>
      <c r="V83" s="31">
        <f t="shared" ca="1" si="72"/>
        <v>432054.54215481115</v>
      </c>
      <c r="W83" s="31">
        <f t="shared" ca="1" si="60"/>
        <v>2103.0473309246831</v>
      </c>
      <c r="X83" s="163">
        <f t="shared" ca="1" si="84"/>
        <v>-9.293722353089052</v>
      </c>
      <c r="Y83" s="163">
        <f t="shared" ca="1" si="85"/>
        <v>-360.045451795676</v>
      </c>
      <c r="Z83" s="163">
        <f t="shared" ca="1" si="73"/>
        <v>0</v>
      </c>
      <c r="AA83" s="163">
        <f t="shared" ca="1" si="86"/>
        <v>-410.45181504707062</v>
      </c>
      <c r="AB83" s="84">
        <f t="shared" ca="1" si="61"/>
        <v>-2897.1887652776691</v>
      </c>
      <c r="AC83" s="160">
        <f t="shared" si="62"/>
        <v>0</v>
      </c>
      <c r="AD83" s="31">
        <f t="shared" ca="1" si="63"/>
        <v>430480.60973126232</v>
      </c>
      <c r="AE83" s="5"/>
      <c r="AF83" s="151">
        <f t="shared" ca="1" si="64"/>
        <v>-6234.7220095610019</v>
      </c>
      <c r="AG83" s="151">
        <f t="shared" ca="1" si="65"/>
        <v>926390.08004834352</v>
      </c>
      <c r="AH83" s="5"/>
      <c r="AI83" s="5"/>
      <c r="AJ83" s="5"/>
      <c r="AK83" s="44">
        <v>97</v>
      </c>
      <c r="AL83" s="2">
        <v>0.35671000000000003</v>
      </c>
      <c r="AM83" s="2">
        <v>0.35941000000000001</v>
      </c>
      <c r="AN83" s="2">
        <f t="shared" si="74"/>
        <v>158</v>
      </c>
      <c r="AO83" s="2">
        <f t="shared" si="75"/>
        <v>0</v>
      </c>
      <c r="AP83" s="45">
        <f t="shared" si="87"/>
        <v>1.7713133024043772E-4</v>
      </c>
      <c r="AQ83" s="46">
        <f t="shared" ca="1" si="76"/>
        <v>1.7747289275808312E-6</v>
      </c>
      <c r="AS83" s="55">
        <f t="shared" si="77"/>
        <v>7</v>
      </c>
      <c r="AT83" s="56">
        <f t="shared" si="88"/>
        <v>80</v>
      </c>
      <c r="AU83" s="57">
        <f t="shared" si="89"/>
        <v>0.67681666089705395</v>
      </c>
      <c r="AV83" s="58">
        <f t="shared" si="78"/>
        <v>4.8675505653430484E-3</v>
      </c>
      <c r="AW83" s="59">
        <f t="shared" si="79"/>
        <v>1.004867550565343</v>
      </c>
      <c r="AX83" s="60">
        <f>PRODUCT(AW$4:AW83)</f>
        <v>1.4747070906967439</v>
      </c>
      <c r="AZ83" s="71">
        <f t="shared" si="90"/>
        <v>80</v>
      </c>
      <c r="BA83" s="72">
        <f t="shared" ca="1" si="92"/>
        <v>1.004867550565343</v>
      </c>
      <c r="BB83" s="72">
        <f t="shared" ca="1" si="92"/>
        <v>1.004867550565343</v>
      </c>
      <c r="BC83" s="72">
        <f t="shared" ca="1" si="92"/>
        <v>1.004867550565343</v>
      </c>
      <c r="BD83" s="72">
        <f t="shared" ca="1" si="92"/>
        <v>1.004867550565343</v>
      </c>
      <c r="BE83" s="72">
        <f t="shared" ca="1" si="92"/>
        <v>1.004867550565343</v>
      </c>
      <c r="BF83" s="72">
        <f t="shared" ca="1" si="92"/>
        <v>1.004867550565343</v>
      </c>
      <c r="BG83" s="72">
        <f t="shared" ca="1" si="92"/>
        <v>1.004867550565343</v>
      </c>
      <c r="BH83" s="72">
        <f t="shared" ca="1" si="92"/>
        <v>1.004867550565343</v>
      </c>
      <c r="BI83" s="72">
        <f t="shared" ca="1" si="92"/>
        <v>1.004867550565343</v>
      </c>
      <c r="BJ83" s="72">
        <f t="shared" ca="1" si="92"/>
        <v>1.004867550565343</v>
      </c>
      <c r="BK83" s="72">
        <f t="shared" ca="1" si="92"/>
        <v>1.004867550565343</v>
      </c>
      <c r="BL83" s="72">
        <f t="shared" ca="1" si="92"/>
        <v>1.004867550565343</v>
      </c>
      <c r="BM83" s="72">
        <f t="shared" ca="1" si="66"/>
        <v>6.0000000000000275E-2</v>
      </c>
      <c r="BN83" s="73">
        <f t="shared" ca="1" si="80"/>
        <v>105.79599348211583</v>
      </c>
    </row>
    <row r="84" spans="5:66">
      <c r="E84">
        <f t="shared" si="81"/>
        <v>81</v>
      </c>
      <c r="F84" s="9">
        <f t="shared" si="82"/>
        <v>75.666666666666288</v>
      </c>
      <c r="G84" s="132">
        <f t="shared" si="54"/>
        <v>0</v>
      </c>
      <c r="H84" s="133">
        <f t="shared" si="91"/>
        <v>1</v>
      </c>
      <c r="I84" s="31">
        <f t="shared" si="67"/>
        <v>1781319.2551862393</v>
      </c>
      <c r="J84" s="31">
        <f t="shared" si="55"/>
        <v>8670.6615476382376</v>
      </c>
      <c r="K84" s="163">
        <f t="shared" si="56"/>
        <v>-20</v>
      </c>
      <c r="L84" s="163">
        <f t="shared" si="68"/>
        <v>-1484.4327126551996</v>
      </c>
      <c r="M84" s="163">
        <f t="shared" si="93"/>
        <v>0</v>
      </c>
      <c r="N84" s="163">
        <f t="shared" si="69"/>
        <v>-1692.2532924269278</v>
      </c>
      <c r="O84" s="84">
        <f t="shared" si="57"/>
        <v>-17488.599999999999</v>
      </c>
      <c r="P84" s="31">
        <f t="shared" si="58"/>
        <v>1769304.6307287952</v>
      </c>
      <c r="Q84" s="5"/>
      <c r="R84">
        <f t="shared" ca="1" si="70"/>
        <v>201</v>
      </c>
      <c r="S84" s="133">
        <f t="shared" ca="1" si="71"/>
        <v>85.4</v>
      </c>
      <c r="T84" s="132">
        <f t="shared" ca="1" si="59"/>
        <v>1.2264377074415411E-2</v>
      </c>
      <c r="U84" s="133">
        <f t="shared" ca="1" si="83"/>
        <v>0.45898703188629225</v>
      </c>
      <c r="V84" s="31">
        <f t="shared" ca="1" si="72"/>
        <v>425201.03321029386</v>
      </c>
      <c r="W84" s="31">
        <f t="shared" ca="1" si="60"/>
        <v>2069.6875295872142</v>
      </c>
      <c r="X84" s="163">
        <f t="shared" ca="1" si="84"/>
        <v>-9.1797406377258444</v>
      </c>
      <c r="Y84" s="163">
        <f t="shared" ca="1" si="85"/>
        <v>-354.33419434191154</v>
      </c>
      <c r="Z84" s="163">
        <f t="shared" ca="1" si="73"/>
        <v>0</v>
      </c>
      <c r="AA84" s="163">
        <f t="shared" ca="1" si="86"/>
        <v>-403.94098154977922</v>
      </c>
      <c r="AB84" s="84">
        <f t="shared" ca="1" si="61"/>
        <v>-2861.6565498045438</v>
      </c>
      <c r="AC84" s="160">
        <f t="shared" si="62"/>
        <v>0</v>
      </c>
      <c r="AD84" s="31">
        <f t="shared" ca="1" si="63"/>
        <v>423641.60927354707</v>
      </c>
      <c r="AE84" s="5"/>
      <c r="AF84" s="151">
        <f t="shared" ca="1" si="64"/>
        <v>-6234.7220095610019</v>
      </c>
      <c r="AG84" s="151">
        <f t="shared" ca="1" si="65"/>
        <v>922992.54628723033</v>
      </c>
      <c r="AH84" s="5"/>
      <c r="AI84" s="5"/>
      <c r="AJ84" s="5"/>
      <c r="AK84" s="44">
        <v>98</v>
      </c>
      <c r="AL84" s="2">
        <v>0.38311000000000001</v>
      </c>
      <c r="AM84" s="2">
        <v>0.38608999999999999</v>
      </c>
      <c r="AN84" s="2">
        <f t="shared" si="74"/>
        <v>159</v>
      </c>
      <c r="AO84" s="2">
        <f t="shared" si="75"/>
        <v>0</v>
      </c>
      <c r="AP84" s="45">
        <f t="shared" si="87"/>
        <v>1.7713133024043772E-4</v>
      </c>
      <c r="AQ84" s="46">
        <f t="shared" ca="1" si="76"/>
        <v>1.674272573189463E-6</v>
      </c>
      <c r="AS84" s="55">
        <f t="shared" si="77"/>
        <v>7</v>
      </c>
      <c r="AT84" s="56">
        <f t="shared" si="88"/>
        <v>81</v>
      </c>
      <c r="AU84" s="57">
        <f t="shared" si="89"/>
        <v>0.67352222157667085</v>
      </c>
      <c r="AV84" s="58">
        <f t="shared" si="78"/>
        <v>4.8675505653430484E-3</v>
      </c>
      <c r="AW84" s="59">
        <f t="shared" si="79"/>
        <v>1.004867550565343</v>
      </c>
      <c r="AX84" s="60">
        <f>PRODUCT(AW$4:AW84)</f>
        <v>1.4818853020297802</v>
      </c>
      <c r="AZ84" s="71">
        <f t="shared" si="90"/>
        <v>81</v>
      </c>
      <c r="BA84" s="72">
        <f t="shared" ca="1" si="92"/>
        <v>1.004867550565343</v>
      </c>
      <c r="BB84" s="72">
        <f t="shared" ca="1" si="92"/>
        <v>1.004867550565343</v>
      </c>
      <c r="BC84" s="72">
        <f t="shared" ca="1" si="92"/>
        <v>1.004867550565343</v>
      </c>
      <c r="BD84" s="72">
        <f t="shared" ca="1" si="92"/>
        <v>1.004867550565343</v>
      </c>
      <c r="BE84" s="72">
        <f t="shared" ca="1" si="92"/>
        <v>1.004867550565343</v>
      </c>
      <c r="BF84" s="72">
        <f t="shared" ca="1" si="92"/>
        <v>1.004867550565343</v>
      </c>
      <c r="BG84" s="72">
        <f t="shared" ca="1" si="92"/>
        <v>1.004867550565343</v>
      </c>
      <c r="BH84" s="72">
        <f t="shared" ca="1" si="92"/>
        <v>1.004867550565343</v>
      </c>
      <c r="BI84" s="72">
        <f t="shared" ca="1" si="92"/>
        <v>1.004867550565343</v>
      </c>
      <c r="BJ84" s="72">
        <f t="shared" ca="1" si="92"/>
        <v>1.004867550565343</v>
      </c>
      <c r="BK84" s="72">
        <f t="shared" ca="1" si="92"/>
        <v>1.004867550565343</v>
      </c>
      <c r="BL84" s="72">
        <f t="shared" ca="1" si="92"/>
        <v>1.004867550565343</v>
      </c>
      <c r="BM84" s="72">
        <f t="shared" ca="1" si="66"/>
        <v>6.0000000000000275E-2</v>
      </c>
      <c r="BN84" s="73">
        <f t="shared" ca="1" si="80"/>
        <v>112.14375309104281</v>
      </c>
    </row>
    <row r="85" spans="5:66">
      <c r="E85">
        <f t="shared" si="81"/>
        <v>82</v>
      </c>
      <c r="F85" s="9">
        <f t="shared" si="82"/>
        <v>75.749999999999616</v>
      </c>
      <c r="G85" s="132">
        <f t="shared" si="54"/>
        <v>0</v>
      </c>
      <c r="H85" s="133">
        <f t="shared" si="91"/>
        <v>1</v>
      </c>
      <c r="I85" s="31">
        <f t="shared" si="67"/>
        <v>1769304.6307287952</v>
      </c>
      <c r="J85" s="31">
        <f t="shared" si="55"/>
        <v>8612.1797555680205</v>
      </c>
      <c r="K85" s="163">
        <f t="shared" si="56"/>
        <v>-20</v>
      </c>
      <c r="L85" s="163">
        <f t="shared" si="68"/>
        <v>-1474.4205256073294</v>
      </c>
      <c r="M85" s="163">
        <f t="shared" si="93"/>
        <v>0</v>
      </c>
      <c r="N85" s="163">
        <f t="shared" si="69"/>
        <v>-1680.8393991923558</v>
      </c>
      <c r="O85" s="84">
        <f t="shared" si="57"/>
        <v>-17488.599999999999</v>
      </c>
      <c r="P85" s="31">
        <f t="shared" si="58"/>
        <v>1757252.9505595635</v>
      </c>
      <c r="Q85" s="5"/>
      <c r="R85">
        <f t="shared" ca="1" si="70"/>
        <v>202</v>
      </c>
      <c r="S85" s="133">
        <f t="shared" ca="1" si="71"/>
        <v>85.48</v>
      </c>
      <c r="T85" s="132">
        <f t="shared" ca="1" si="59"/>
        <v>1.2264377074415411E-2</v>
      </c>
      <c r="U85" s="133">
        <f t="shared" ca="1" si="83"/>
        <v>0.45335784185497202</v>
      </c>
      <c r="V85" s="31">
        <f t="shared" ca="1" si="72"/>
        <v>418445.90883300413</v>
      </c>
      <c r="W85" s="31">
        <f t="shared" ca="1" si="60"/>
        <v>2036.8066201055749</v>
      </c>
      <c r="X85" s="163">
        <f t="shared" ca="1" si="84"/>
        <v>-9.0671568370994411</v>
      </c>
      <c r="Y85" s="163">
        <f t="shared" ca="1" si="85"/>
        <v>-348.70492402750347</v>
      </c>
      <c r="Z85" s="163">
        <f t="shared" ca="1" si="73"/>
        <v>0</v>
      </c>
      <c r="AA85" s="163">
        <f t="shared" ca="1" si="86"/>
        <v>-397.52361339135399</v>
      </c>
      <c r="AB85" s="84">
        <f t="shared" ca="1" si="61"/>
        <v>-2826.56011482027</v>
      </c>
      <c r="AC85" s="160">
        <f t="shared" si="62"/>
        <v>0</v>
      </c>
      <c r="AD85" s="31">
        <f t="shared" ca="1" si="63"/>
        <v>416900.85964403354</v>
      </c>
      <c r="AE85" s="5"/>
      <c r="AF85" s="151">
        <f t="shared" ca="1" si="64"/>
        <v>-6234.7220095610019</v>
      </c>
      <c r="AG85" s="151">
        <f t="shared" ca="1" si="65"/>
        <v>919584.5337939451</v>
      </c>
      <c r="AH85" s="5"/>
      <c r="AI85" s="5"/>
      <c r="AJ85" s="5"/>
      <c r="AK85" s="44">
        <v>99</v>
      </c>
      <c r="AL85" s="2">
        <v>0.41077999999999998</v>
      </c>
      <c r="AM85" s="2">
        <v>0.41404000000000002</v>
      </c>
      <c r="AN85" s="2">
        <f t="shared" si="74"/>
        <v>160</v>
      </c>
      <c r="AO85" s="2">
        <f t="shared" si="75"/>
        <v>0</v>
      </c>
      <c r="AP85" s="45">
        <f t="shared" si="87"/>
        <v>1.7713133024043772E-4</v>
      </c>
      <c r="AQ85" s="46">
        <f t="shared" ca="1" si="76"/>
        <v>1.5795024275372288E-6</v>
      </c>
      <c r="AS85" s="55">
        <f t="shared" si="77"/>
        <v>7</v>
      </c>
      <c r="AT85" s="56">
        <f t="shared" si="88"/>
        <v>82</v>
      </c>
      <c r="AU85" s="57">
        <f t="shared" si="89"/>
        <v>0.67024381810626421</v>
      </c>
      <c r="AV85" s="58">
        <f t="shared" si="78"/>
        <v>4.8675505653430484E-3</v>
      </c>
      <c r="AW85" s="59">
        <f t="shared" si="79"/>
        <v>1.004867550565343</v>
      </c>
      <c r="AX85" s="60">
        <f>PRODUCT(AW$4:AW85)</f>
        <v>1.4890984536694487</v>
      </c>
      <c r="AZ85" s="71">
        <f t="shared" si="90"/>
        <v>82</v>
      </c>
      <c r="BA85" s="72">
        <f t="shared" ref="BA85:BL94" ca="1" si="94">OFFSET($AW$3,($AZ85*12-12)+BA$3,0)</f>
        <v>1.004867550565343</v>
      </c>
      <c r="BB85" s="72">
        <f t="shared" ca="1" si="94"/>
        <v>1.004867550565343</v>
      </c>
      <c r="BC85" s="72">
        <f t="shared" ca="1" si="94"/>
        <v>1.004867550565343</v>
      </c>
      <c r="BD85" s="72">
        <f t="shared" ca="1" si="94"/>
        <v>1.004867550565343</v>
      </c>
      <c r="BE85" s="72">
        <f t="shared" ca="1" si="94"/>
        <v>1.004867550565343</v>
      </c>
      <c r="BF85" s="72">
        <f t="shared" ca="1" si="94"/>
        <v>1.004867550565343</v>
      </c>
      <c r="BG85" s="72">
        <f t="shared" ca="1" si="94"/>
        <v>1.004867550565343</v>
      </c>
      <c r="BH85" s="72">
        <f t="shared" ca="1" si="94"/>
        <v>1.004867550565343</v>
      </c>
      <c r="BI85" s="72">
        <f t="shared" ca="1" si="94"/>
        <v>1.004867550565343</v>
      </c>
      <c r="BJ85" s="72">
        <f t="shared" ca="1" si="94"/>
        <v>1.004867550565343</v>
      </c>
      <c r="BK85" s="72">
        <f t="shared" ca="1" si="94"/>
        <v>1.004867550565343</v>
      </c>
      <c r="BL85" s="72">
        <f t="shared" ca="1" si="94"/>
        <v>1.004867550565343</v>
      </c>
      <c r="BM85" s="72">
        <f t="shared" ca="1" si="66"/>
        <v>6.0000000000000275E-2</v>
      </c>
      <c r="BN85" s="73">
        <f t="shared" ca="1" si="80"/>
        <v>118.87237827650542</v>
      </c>
    </row>
    <row r="86" spans="5:66">
      <c r="E86">
        <f t="shared" si="81"/>
        <v>83</v>
      </c>
      <c r="F86" s="9">
        <f t="shared" si="82"/>
        <v>75.833333333332945</v>
      </c>
      <c r="G86" s="132">
        <f t="shared" si="54"/>
        <v>0</v>
      </c>
      <c r="H86" s="133">
        <f t="shared" si="91"/>
        <v>1</v>
      </c>
      <c r="I86" s="31">
        <f t="shared" si="67"/>
        <v>1757252.9505595635</v>
      </c>
      <c r="J86" s="31">
        <f t="shared" si="55"/>
        <v>8553.5175929469424</v>
      </c>
      <c r="K86" s="163">
        <f t="shared" si="56"/>
        <v>-20</v>
      </c>
      <c r="L86" s="163">
        <f t="shared" si="68"/>
        <v>-1464.3774587996363</v>
      </c>
      <c r="M86" s="163">
        <f t="shared" si="93"/>
        <v>0</v>
      </c>
      <c r="N86" s="163">
        <f t="shared" si="69"/>
        <v>-1669.3903030315857</v>
      </c>
      <c r="O86" s="84">
        <f t="shared" si="57"/>
        <v>-17488.599999999999</v>
      </c>
      <c r="P86" s="31">
        <f t="shared" si="58"/>
        <v>1745164.1003906792</v>
      </c>
      <c r="Q86" s="5"/>
      <c r="R86">
        <f t="shared" ca="1" si="70"/>
        <v>203</v>
      </c>
      <c r="S86" s="133">
        <f t="shared" ca="1" si="71"/>
        <v>85.56</v>
      </c>
      <c r="T86" s="132">
        <f t="shared" ca="1" si="59"/>
        <v>1.342873711998438E-2</v>
      </c>
      <c r="U86" s="133">
        <f t="shared" ca="1" si="83"/>
        <v>0.44726981857541814</v>
      </c>
      <c r="V86" s="31">
        <f t="shared" ca="1" si="72"/>
        <v>411302.40759477828</v>
      </c>
      <c r="W86" s="31">
        <f t="shared" ca="1" si="60"/>
        <v>2002.0352666149199</v>
      </c>
      <c r="X86" s="163">
        <f t="shared" ca="1" si="84"/>
        <v>-8.9453963715083624</v>
      </c>
      <c r="Y86" s="163">
        <f t="shared" ca="1" si="85"/>
        <v>-342.75200632898191</v>
      </c>
      <c r="Z86" s="163">
        <f t="shared" ca="1" si="73"/>
        <v>0</v>
      </c>
      <c r="AA86" s="163">
        <f t="shared" ca="1" si="86"/>
        <v>-390.73728721503943</v>
      </c>
      <c r="AB86" s="84">
        <f t="shared" ca="1" si="61"/>
        <v>-2788.6029820845156</v>
      </c>
      <c r="AC86" s="160">
        <f t="shared" si="62"/>
        <v>0</v>
      </c>
      <c r="AD86" s="31">
        <f t="shared" ca="1" si="63"/>
        <v>409773.4051893932</v>
      </c>
      <c r="AE86" s="5"/>
      <c r="AF86" s="151">
        <f t="shared" ca="1" si="64"/>
        <v>-6234.7220095610019</v>
      </c>
      <c r="AG86" s="151">
        <f t="shared" ca="1" si="65"/>
        <v>916166.0102498011</v>
      </c>
      <c r="AH86" s="5"/>
      <c r="AI86" s="5"/>
      <c r="AJ86" s="5"/>
      <c r="AK86" s="44">
        <v>100</v>
      </c>
      <c r="AL86" s="2">
        <v>0.43966</v>
      </c>
      <c r="AM86" s="2">
        <v>0.44319999999999998</v>
      </c>
      <c r="AN86" s="2">
        <f t="shared" si="74"/>
        <v>161</v>
      </c>
      <c r="AO86" s="2">
        <f t="shared" si="75"/>
        <v>0</v>
      </c>
      <c r="AP86" s="45">
        <f t="shared" si="87"/>
        <v>1.7713133024043772E-4</v>
      </c>
      <c r="AQ86" s="46">
        <f t="shared" ca="1" si="76"/>
        <v>1.4900966297521022E-6</v>
      </c>
      <c r="AS86" s="55">
        <f t="shared" si="77"/>
        <v>7</v>
      </c>
      <c r="AT86" s="56">
        <f t="shared" si="88"/>
        <v>83</v>
      </c>
      <c r="AU86" s="57">
        <f t="shared" si="89"/>
        <v>0.66698137243052336</v>
      </c>
      <c r="AV86" s="58">
        <f t="shared" si="78"/>
        <v>4.8675505653430484E-3</v>
      </c>
      <c r="AW86" s="59">
        <f t="shared" si="79"/>
        <v>1.004867550565343</v>
      </c>
      <c r="AX86" s="60">
        <f>PRODUCT(AW$4:AW86)</f>
        <v>1.496346715689459</v>
      </c>
      <c r="AZ86" s="71">
        <f t="shared" si="90"/>
        <v>83</v>
      </c>
      <c r="BA86" s="72">
        <f t="shared" ca="1" si="94"/>
        <v>1.004867550565343</v>
      </c>
      <c r="BB86" s="72">
        <f t="shared" ca="1" si="94"/>
        <v>1.004867550565343</v>
      </c>
      <c r="BC86" s="72">
        <f t="shared" ca="1" si="94"/>
        <v>1.004867550565343</v>
      </c>
      <c r="BD86" s="72">
        <f t="shared" ca="1" si="94"/>
        <v>1.004867550565343</v>
      </c>
      <c r="BE86" s="72">
        <f t="shared" ca="1" si="94"/>
        <v>1.004867550565343</v>
      </c>
      <c r="BF86" s="72">
        <f t="shared" ca="1" si="94"/>
        <v>1.004867550565343</v>
      </c>
      <c r="BG86" s="72">
        <f t="shared" ca="1" si="94"/>
        <v>1.004867550565343</v>
      </c>
      <c r="BH86" s="72">
        <f t="shared" ca="1" si="94"/>
        <v>1.004867550565343</v>
      </c>
      <c r="BI86" s="72">
        <f t="shared" ca="1" si="94"/>
        <v>1.004867550565343</v>
      </c>
      <c r="BJ86" s="72">
        <f t="shared" ca="1" si="94"/>
        <v>1.004867550565343</v>
      </c>
      <c r="BK86" s="72">
        <f t="shared" ca="1" si="94"/>
        <v>1.004867550565343</v>
      </c>
      <c r="BL86" s="72">
        <f t="shared" ca="1" si="94"/>
        <v>1.004867550565343</v>
      </c>
      <c r="BM86" s="72">
        <f t="shared" ca="1" si="66"/>
        <v>6.0000000000000275E-2</v>
      </c>
      <c r="BN86" s="73">
        <f t="shared" ca="1" si="80"/>
        <v>126.00472097309577</v>
      </c>
    </row>
    <row r="87" spans="5:66">
      <c r="E87">
        <f t="shared" si="81"/>
        <v>84</v>
      </c>
      <c r="F87" s="9">
        <f t="shared" si="82"/>
        <v>75.916666666666273</v>
      </c>
      <c r="G87" s="132">
        <f t="shared" si="54"/>
        <v>0</v>
      </c>
      <c r="H87" s="133">
        <f t="shared" si="91"/>
        <v>1</v>
      </c>
      <c r="I87" s="31">
        <f t="shared" si="67"/>
        <v>1745164.1003906792</v>
      </c>
      <c r="J87" s="31">
        <f t="shared" si="55"/>
        <v>8494.6745034730429</v>
      </c>
      <c r="K87" s="163">
        <f t="shared" si="56"/>
        <v>-20</v>
      </c>
      <c r="L87" s="163">
        <f t="shared" si="68"/>
        <v>-1454.3034169922328</v>
      </c>
      <c r="M87" s="163">
        <f t="shared" si="93"/>
        <v>0</v>
      </c>
      <c r="N87" s="163">
        <f t="shared" si="69"/>
        <v>-1657.9058953711456</v>
      </c>
      <c r="O87" s="84">
        <f t="shared" si="57"/>
        <v>-17488.599999999999</v>
      </c>
      <c r="P87" s="31">
        <f t="shared" si="58"/>
        <v>1733037.9655817887</v>
      </c>
      <c r="Q87" s="5"/>
      <c r="R87">
        <f t="shared" ca="1" si="70"/>
        <v>204</v>
      </c>
      <c r="S87" s="133">
        <f t="shared" ca="1" si="71"/>
        <v>85.64</v>
      </c>
      <c r="T87" s="132">
        <f t="shared" ca="1" si="59"/>
        <v>1.342873711998438E-2</v>
      </c>
      <c r="U87" s="133">
        <f t="shared" ca="1" si="83"/>
        <v>0.44126354976006577</v>
      </c>
      <c r="V87" s="31">
        <f t="shared" ca="1" si="72"/>
        <v>404270.66585234401</v>
      </c>
      <c r="W87" s="31">
        <f t="shared" ca="1" si="60"/>
        <v>1967.8079081211877</v>
      </c>
      <c r="X87" s="163">
        <f t="shared" ca="1" si="84"/>
        <v>-8.8252709952013149</v>
      </c>
      <c r="Y87" s="163">
        <f t="shared" ca="1" si="85"/>
        <v>-336.89222154362005</v>
      </c>
      <c r="Z87" s="163">
        <f t="shared" ca="1" si="73"/>
        <v>-3032.02999389258</v>
      </c>
      <c r="AA87" s="163">
        <f t="shared" ca="1" si="86"/>
        <v>-384.05713255972688</v>
      </c>
      <c r="AB87" s="84">
        <f t="shared" ca="1" si="61"/>
        <v>-2751.1555657060981</v>
      </c>
      <c r="AC87" s="160">
        <f t="shared" si="62"/>
        <v>0</v>
      </c>
      <c r="AD87" s="31">
        <f t="shared" ca="1" si="63"/>
        <v>399725.51357576798</v>
      </c>
      <c r="AE87" s="5"/>
      <c r="AF87" s="151">
        <f t="shared" ca="1" si="64"/>
        <v>-6234.722009561001</v>
      </c>
      <c r="AG87" s="151">
        <f t="shared" ca="1" si="65"/>
        <v>905865.69815956056</v>
      </c>
      <c r="AH87" s="5"/>
      <c r="AI87" s="5"/>
      <c r="AJ87" s="5"/>
      <c r="AK87" s="44">
        <v>101</v>
      </c>
      <c r="AL87" s="2">
        <v>0.46966000000000002</v>
      </c>
      <c r="AM87" s="2">
        <v>0.47348000000000001</v>
      </c>
      <c r="AN87" s="2">
        <f t="shared" si="74"/>
        <v>162</v>
      </c>
      <c r="AO87" s="2">
        <f t="shared" si="75"/>
        <v>0</v>
      </c>
      <c r="AP87" s="45">
        <f t="shared" si="87"/>
        <v>1.7713133024043772E-4</v>
      </c>
      <c r="AQ87" s="46">
        <f t="shared" ca="1" si="76"/>
        <v>1.4057515375019829E-6</v>
      </c>
      <c r="AS87" s="55">
        <f t="shared" si="77"/>
        <v>7</v>
      </c>
      <c r="AT87" s="56">
        <f t="shared" si="88"/>
        <v>84</v>
      </c>
      <c r="AU87" s="57">
        <f t="shared" si="89"/>
        <v>0.66373480687407593</v>
      </c>
      <c r="AV87" s="58">
        <f t="shared" si="78"/>
        <v>4.8675505653430484E-3</v>
      </c>
      <c r="AW87" s="59">
        <f t="shared" si="79"/>
        <v>1.004867550565343</v>
      </c>
      <c r="AX87" s="60">
        <f>PRODUCT(AW$4:AW87)</f>
        <v>1.5036302589913624</v>
      </c>
      <c r="AZ87" s="71">
        <f t="shared" si="90"/>
        <v>84</v>
      </c>
      <c r="BA87" s="72">
        <f t="shared" ca="1" si="94"/>
        <v>1.004867550565343</v>
      </c>
      <c r="BB87" s="72">
        <f t="shared" ca="1" si="94"/>
        <v>1.004867550565343</v>
      </c>
      <c r="BC87" s="72">
        <f t="shared" ca="1" si="94"/>
        <v>1.004867550565343</v>
      </c>
      <c r="BD87" s="72">
        <f t="shared" ca="1" si="94"/>
        <v>1.004867550565343</v>
      </c>
      <c r="BE87" s="72">
        <f t="shared" ca="1" si="94"/>
        <v>1.004867550565343</v>
      </c>
      <c r="BF87" s="72">
        <f t="shared" ca="1" si="94"/>
        <v>1.004867550565343</v>
      </c>
      <c r="BG87" s="72">
        <f t="shared" ca="1" si="94"/>
        <v>1.004867550565343</v>
      </c>
      <c r="BH87" s="72">
        <f t="shared" ca="1" si="94"/>
        <v>1.004867550565343</v>
      </c>
      <c r="BI87" s="72">
        <f t="shared" ca="1" si="94"/>
        <v>1.004867550565343</v>
      </c>
      <c r="BJ87" s="72">
        <f t="shared" ca="1" si="94"/>
        <v>1.004867550565343</v>
      </c>
      <c r="BK87" s="72">
        <f t="shared" ca="1" si="94"/>
        <v>1.004867550565343</v>
      </c>
      <c r="BL87" s="72">
        <f t="shared" ca="1" si="94"/>
        <v>1.004867550565343</v>
      </c>
      <c r="BM87" s="72">
        <f t="shared" ca="1" si="66"/>
        <v>6.0000000000000275E-2</v>
      </c>
      <c r="BN87" s="73">
        <f t="shared" ca="1" si="80"/>
        <v>133.56500423148157</v>
      </c>
    </row>
    <row r="88" spans="5:66">
      <c r="E88">
        <f t="shared" si="81"/>
        <v>85</v>
      </c>
      <c r="F88" s="9">
        <f t="shared" si="82"/>
        <v>75.999999999999602</v>
      </c>
      <c r="G88" s="132">
        <f t="shared" si="54"/>
        <v>0</v>
      </c>
      <c r="H88" s="133">
        <f t="shared" si="91"/>
        <v>1</v>
      </c>
      <c r="I88" s="31">
        <f t="shared" si="67"/>
        <v>1733037.9655817887</v>
      </c>
      <c r="J88" s="31">
        <f t="shared" si="55"/>
        <v>8435.6499291286018</v>
      </c>
      <c r="K88" s="163">
        <f t="shared" si="56"/>
        <v>-20</v>
      </c>
      <c r="L88" s="163">
        <f t="shared" si="68"/>
        <v>-1444.1983046514906</v>
      </c>
      <c r="M88" s="163">
        <f t="shared" si="93"/>
        <v>-12997.784741863414</v>
      </c>
      <c r="N88" s="163">
        <f t="shared" si="69"/>
        <v>-1646.3860673026995</v>
      </c>
      <c r="O88" s="84">
        <f t="shared" si="57"/>
        <v>-17488.599999999999</v>
      </c>
      <c r="P88" s="31">
        <f t="shared" si="58"/>
        <v>1707876.6463970996</v>
      </c>
      <c r="Q88" s="5"/>
      <c r="R88">
        <f t="shared" ca="1" si="70"/>
        <v>205</v>
      </c>
      <c r="S88" s="133">
        <f t="shared" ca="1" si="71"/>
        <v>85.72</v>
      </c>
      <c r="T88" s="132">
        <f t="shared" ca="1" si="59"/>
        <v>1.342873711998438E-2</v>
      </c>
      <c r="U88" s="133">
        <f t="shared" ca="1" si="83"/>
        <v>0.43533793754970668</v>
      </c>
      <c r="V88" s="31">
        <f t="shared" ca="1" si="72"/>
        <v>394357.70473380823</v>
      </c>
      <c r="W88" s="31">
        <f t="shared" ca="1" si="60"/>
        <v>1919.5560686244353</v>
      </c>
      <c r="X88" s="163">
        <f t="shared" ca="1" si="84"/>
        <v>-8.7067587509941333</v>
      </c>
      <c r="Y88" s="163">
        <f t="shared" ca="1" si="85"/>
        <v>-328.63142061150688</v>
      </c>
      <c r="Z88" s="163">
        <f t="shared" ca="1" si="73"/>
        <v>0</v>
      </c>
      <c r="AA88" s="163">
        <f t="shared" ca="1" si="86"/>
        <v>-374.63981949711791</v>
      </c>
      <c r="AB88" s="84">
        <f t="shared" ca="1" si="61"/>
        <v>-2714.2110208380491</v>
      </c>
      <c r="AC88" s="160">
        <f t="shared" si="62"/>
        <v>0</v>
      </c>
      <c r="AD88" s="31">
        <f t="shared" ca="1" si="63"/>
        <v>392851.07178273494</v>
      </c>
      <c r="AE88" s="5"/>
      <c r="AF88" s="151">
        <f t="shared" ca="1" si="64"/>
        <v>-6234.7220095610019</v>
      </c>
      <c r="AG88" s="151">
        <f t="shared" ca="1" si="65"/>
        <v>902404.86274614965</v>
      </c>
      <c r="AH88" s="5"/>
      <c r="AI88" s="5"/>
      <c r="AJ88" s="5"/>
      <c r="AK88" s="44">
        <v>102</v>
      </c>
      <c r="AL88" s="2">
        <v>0.50066999999999995</v>
      </c>
      <c r="AM88" s="2">
        <v>0.50475999999999999</v>
      </c>
      <c r="AN88" s="2">
        <f t="shared" si="74"/>
        <v>163</v>
      </c>
      <c r="AO88" s="2">
        <f t="shared" si="75"/>
        <v>0</v>
      </c>
      <c r="AP88" s="45">
        <f t="shared" si="87"/>
        <v>1.7713133024043772E-4</v>
      </c>
      <c r="AQ88" s="46">
        <f t="shared" ca="1" si="76"/>
        <v>1.326180695756587E-6</v>
      </c>
      <c r="AS88" s="55">
        <f t="shared" si="77"/>
        <v>8</v>
      </c>
      <c r="AT88" s="56">
        <f t="shared" si="88"/>
        <v>85</v>
      </c>
      <c r="AU88" s="57">
        <f t="shared" si="89"/>
        <v>0.66050404413963815</v>
      </c>
      <c r="AV88" s="58">
        <f t="shared" si="78"/>
        <v>4.8675505653430484E-3</v>
      </c>
      <c r="AW88" s="59">
        <f t="shared" si="79"/>
        <v>1.004867550565343</v>
      </c>
      <c r="AX88" s="60">
        <f>PRODUCT(AW$4:AW88)</f>
        <v>1.5109492553085826</v>
      </c>
      <c r="AZ88" s="71">
        <f t="shared" si="90"/>
        <v>85</v>
      </c>
      <c r="BA88" s="72">
        <f t="shared" ca="1" si="94"/>
        <v>1.004867550565343</v>
      </c>
      <c r="BB88" s="72">
        <f t="shared" ca="1" si="94"/>
        <v>1.004867550565343</v>
      </c>
      <c r="BC88" s="72">
        <f t="shared" ca="1" si="94"/>
        <v>1.004867550565343</v>
      </c>
      <c r="BD88" s="72">
        <f t="shared" ca="1" si="94"/>
        <v>1.004867550565343</v>
      </c>
      <c r="BE88" s="72">
        <f t="shared" ca="1" si="94"/>
        <v>1.004867550565343</v>
      </c>
      <c r="BF88" s="72">
        <f t="shared" ca="1" si="94"/>
        <v>1.004867550565343</v>
      </c>
      <c r="BG88" s="72">
        <f t="shared" ca="1" si="94"/>
        <v>1.004867550565343</v>
      </c>
      <c r="BH88" s="72">
        <f t="shared" ca="1" si="94"/>
        <v>1.004867550565343</v>
      </c>
      <c r="BI88" s="72">
        <f t="shared" ca="1" si="94"/>
        <v>1.004867550565343</v>
      </c>
      <c r="BJ88" s="72">
        <f t="shared" ca="1" si="94"/>
        <v>1.004867550565343</v>
      </c>
      <c r="BK88" s="72">
        <f t="shared" ca="1" si="94"/>
        <v>1.004867550565343</v>
      </c>
      <c r="BL88" s="72">
        <f t="shared" ca="1" si="94"/>
        <v>1.004867550565343</v>
      </c>
      <c r="BM88" s="72">
        <f t="shared" ca="1" si="66"/>
        <v>6.0000000000000275E-2</v>
      </c>
      <c r="BN88" s="73">
        <f t="shared" ca="1" si="80"/>
        <v>141.57890448537049</v>
      </c>
    </row>
    <row r="89" spans="5:66">
      <c r="E89">
        <f t="shared" si="81"/>
        <v>86</v>
      </c>
      <c r="F89" s="9">
        <f t="shared" si="82"/>
        <v>76.083333333332931</v>
      </c>
      <c r="G89" s="132">
        <f t="shared" si="54"/>
        <v>0</v>
      </c>
      <c r="H89" s="133">
        <f t="shared" si="91"/>
        <v>1</v>
      </c>
      <c r="I89" s="31">
        <f t="shared" si="67"/>
        <v>1707876.6463970996</v>
      </c>
      <c r="J89" s="31">
        <f t="shared" si="55"/>
        <v>8313.1759357063911</v>
      </c>
      <c r="K89" s="163">
        <f t="shared" si="56"/>
        <v>-20</v>
      </c>
      <c r="L89" s="163">
        <f t="shared" si="68"/>
        <v>-1423.2305386642497</v>
      </c>
      <c r="M89" s="163">
        <f t="shared" si="93"/>
        <v>0</v>
      </c>
      <c r="N89" s="163">
        <f t="shared" si="69"/>
        <v>-1622.4828140772449</v>
      </c>
      <c r="O89" s="84">
        <f t="shared" si="57"/>
        <v>-17488.599999999999</v>
      </c>
      <c r="P89" s="31">
        <f t="shared" si="58"/>
        <v>1695635.5089800644</v>
      </c>
      <c r="Q89" s="5"/>
      <c r="R89">
        <f t="shared" ca="1" si="70"/>
        <v>206</v>
      </c>
      <c r="S89" s="133">
        <f t="shared" ca="1" si="71"/>
        <v>85.8</v>
      </c>
      <c r="T89" s="132">
        <f t="shared" ca="1" si="59"/>
        <v>1.342873711998438E-2</v>
      </c>
      <c r="U89" s="133">
        <f t="shared" ca="1" si="83"/>
        <v>0.42949189882799549</v>
      </c>
      <c r="V89" s="31">
        <f t="shared" ca="1" si="72"/>
        <v>387575.57801246049</v>
      </c>
      <c r="W89" s="31">
        <f t="shared" ca="1" si="60"/>
        <v>1886.5437238677109</v>
      </c>
      <c r="X89" s="163">
        <f t="shared" ca="1" si="84"/>
        <v>-8.5898379765599095</v>
      </c>
      <c r="Y89" s="163">
        <f t="shared" ca="1" si="85"/>
        <v>-322.97964834371709</v>
      </c>
      <c r="Z89" s="163">
        <f t="shared" ca="1" si="73"/>
        <v>0</v>
      </c>
      <c r="AA89" s="163">
        <f t="shared" ca="1" si="86"/>
        <v>-368.19679911183749</v>
      </c>
      <c r="AB89" s="84">
        <f t="shared" ca="1" si="61"/>
        <v>-2677.7625945510504</v>
      </c>
      <c r="AC89" s="160">
        <f t="shared" si="62"/>
        <v>0</v>
      </c>
      <c r="AD89" s="31">
        <f t="shared" ca="1" si="63"/>
        <v>386084.59285634506</v>
      </c>
      <c r="AE89" s="5"/>
      <c r="AF89" s="151">
        <f t="shared" ca="1" si="64"/>
        <v>-6234.7220095610019</v>
      </c>
      <c r="AG89" s="151">
        <f t="shared" ca="1" si="65"/>
        <v>898933.35336451977</v>
      </c>
      <c r="AH89" s="5"/>
      <c r="AI89" s="5"/>
      <c r="AJ89" s="5"/>
      <c r="AK89" s="44">
        <v>103</v>
      </c>
      <c r="AL89" s="2">
        <v>0.53254999999999997</v>
      </c>
      <c r="AM89" s="2">
        <v>0.53691</v>
      </c>
      <c r="AN89" s="2">
        <f t="shared" si="74"/>
        <v>164</v>
      </c>
      <c r="AO89" s="2">
        <f t="shared" si="75"/>
        <v>0</v>
      </c>
      <c r="AP89" s="45">
        <f t="shared" si="87"/>
        <v>1.7713133024043772E-4</v>
      </c>
      <c r="AQ89" s="46">
        <f t="shared" ca="1" si="76"/>
        <v>1.2511138639213084E-6</v>
      </c>
      <c r="AS89" s="55">
        <f t="shared" si="77"/>
        <v>8</v>
      </c>
      <c r="AT89" s="56">
        <f t="shared" si="88"/>
        <v>86</v>
      </c>
      <c r="AU89" s="57">
        <f t="shared" si="89"/>
        <v>0.6572890073061749</v>
      </c>
      <c r="AV89" s="58">
        <f t="shared" si="78"/>
        <v>4.8675505653430484E-3</v>
      </c>
      <c r="AW89" s="59">
        <f t="shared" si="79"/>
        <v>1.004867550565343</v>
      </c>
      <c r="AX89" s="60">
        <f>PRODUCT(AW$4:AW89)</f>
        <v>1.5183038772104644</v>
      </c>
      <c r="AZ89" s="71">
        <f t="shared" si="90"/>
        <v>86</v>
      </c>
      <c r="BA89" s="72">
        <f t="shared" ca="1" si="94"/>
        <v>1.004867550565343</v>
      </c>
      <c r="BB89" s="72">
        <f t="shared" ca="1" si="94"/>
        <v>1.004867550565343</v>
      </c>
      <c r="BC89" s="72">
        <f t="shared" ca="1" si="94"/>
        <v>1.004867550565343</v>
      </c>
      <c r="BD89" s="72">
        <f t="shared" ca="1" si="94"/>
        <v>1.004867550565343</v>
      </c>
      <c r="BE89" s="72">
        <f t="shared" ca="1" si="94"/>
        <v>1.004867550565343</v>
      </c>
      <c r="BF89" s="72">
        <f t="shared" ca="1" si="94"/>
        <v>1.004867550565343</v>
      </c>
      <c r="BG89" s="72">
        <f t="shared" ca="1" si="94"/>
        <v>1.004867550565343</v>
      </c>
      <c r="BH89" s="72">
        <f t="shared" ca="1" si="94"/>
        <v>1.004867550565343</v>
      </c>
      <c r="BI89" s="72">
        <f t="shared" ca="1" si="94"/>
        <v>1.004867550565343</v>
      </c>
      <c r="BJ89" s="72">
        <f t="shared" ca="1" si="94"/>
        <v>1.004867550565343</v>
      </c>
      <c r="BK89" s="72">
        <f t="shared" ca="1" si="94"/>
        <v>1.004867550565343</v>
      </c>
      <c r="BL89" s="72">
        <f t="shared" ca="1" si="94"/>
        <v>1.004867550565343</v>
      </c>
      <c r="BM89" s="72">
        <f t="shared" ca="1" si="66"/>
        <v>6.0000000000000275E-2</v>
      </c>
      <c r="BN89" s="73">
        <f t="shared" ca="1" si="80"/>
        <v>150.07363875449275</v>
      </c>
    </row>
    <row r="90" spans="5:66">
      <c r="E90">
        <f t="shared" si="81"/>
        <v>87</v>
      </c>
      <c r="F90" s="9">
        <f t="shared" si="82"/>
        <v>76.166666666666259</v>
      </c>
      <c r="G90" s="132">
        <f t="shared" si="54"/>
        <v>0</v>
      </c>
      <c r="H90" s="133">
        <f t="shared" si="91"/>
        <v>1</v>
      </c>
      <c r="I90" s="31">
        <f t="shared" si="67"/>
        <v>1695635.5089800644</v>
      </c>
      <c r="J90" s="31">
        <f t="shared" si="55"/>
        <v>8253.59158035166</v>
      </c>
      <c r="K90" s="163">
        <f t="shared" si="56"/>
        <v>-20</v>
      </c>
      <c r="L90" s="163">
        <f t="shared" si="68"/>
        <v>-1413.0295908167204</v>
      </c>
      <c r="M90" s="163">
        <f t="shared" si="93"/>
        <v>0</v>
      </c>
      <c r="N90" s="163">
        <f t="shared" si="69"/>
        <v>-1610.8537335310614</v>
      </c>
      <c r="O90" s="84">
        <f t="shared" si="57"/>
        <v>-17488.599999999999</v>
      </c>
      <c r="P90" s="31">
        <f t="shared" si="58"/>
        <v>1683356.6172360682</v>
      </c>
      <c r="Q90" s="5"/>
      <c r="R90">
        <f t="shared" ca="1" si="70"/>
        <v>207</v>
      </c>
      <c r="S90" s="133">
        <f t="shared" ca="1" si="71"/>
        <v>85.88</v>
      </c>
      <c r="T90" s="132">
        <f t="shared" ca="1" si="59"/>
        <v>1.342873711998438E-2</v>
      </c>
      <c r="U90" s="133">
        <f t="shared" ca="1" si="83"/>
        <v>0.42372436502347138</v>
      </c>
      <c r="V90" s="31">
        <f t="shared" ca="1" si="72"/>
        <v>380899.96435280098</v>
      </c>
      <c r="W90" s="31">
        <f t="shared" ca="1" si="60"/>
        <v>1854.0498368246233</v>
      </c>
      <c r="X90" s="163">
        <f t="shared" ca="1" si="84"/>
        <v>-8.474487300469427</v>
      </c>
      <c r="Y90" s="163">
        <f t="shared" ca="1" si="85"/>
        <v>-317.41663696066752</v>
      </c>
      <c r="Z90" s="163">
        <f t="shared" ca="1" si="73"/>
        <v>0</v>
      </c>
      <c r="AA90" s="163">
        <f t="shared" ca="1" si="86"/>
        <v>-361.85496613516102</v>
      </c>
      <c r="AB90" s="84">
        <f t="shared" ca="1" si="61"/>
        <v>-2641.8036245990966</v>
      </c>
      <c r="AC90" s="160">
        <f t="shared" si="62"/>
        <v>0</v>
      </c>
      <c r="AD90" s="31">
        <f t="shared" ca="1" si="63"/>
        <v>379424.46447463019</v>
      </c>
      <c r="AE90" s="5"/>
      <c r="AF90" s="151">
        <f t="shared" ca="1" si="64"/>
        <v>-6234.722009561001</v>
      </c>
      <c r="AG90" s="151">
        <f t="shared" ca="1" si="65"/>
        <v>895451.13709383388</v>
      </c>
      <c r="AH90" s="5"/>
      <c r="AI90" s="5"/>
      <c r="AJ90" s="5"/>
      <c r="AK90" s="47">
        <v>104</v>
      </c>
      <c r="AL90" s="48">
        <v>0.56513000000000002</v>
      </c>
      <c r="AM90" s="48">
        <v>0.56972999999999996</v>
      </c>
      <c r="AN90" s="2">
        <f t="shared" si="74"/>
        <v>165</v>
      </c>
      <c r="AO90" s="2">
        <f t="shared" si="75"/>
        <v>0</v>
      </c>
      <c r="AP90" s="49">
        <f t="shared" si="87"/>
        <v>1.7713133024043772E-4</v>
      </c>
      <c r="AQ90" s="50">
        <f t="shared" ca="1" si="76"/>
        <v>1.1802960980389698E-6</v>
      </c>
      <c r="AS90" s="55">
        <f t="shared" si="77"/>
        <v>8</v>
      </c>
      <c r="AT90" s="56">
        <f t="shared" si="88"/>
        <v>87</v>
      </c>
      <c r="AU90" s="57">
        <f t="shared" si="89"/>
        <v>0.65408961982706793</v>
      </c>
      <c r="AV90" s="58">
        <f t="shared" si="78"/>
        <v>4.8675505653430484E-3</v>
      </c>
      <c r="AW90" s="59">
        <f t="shared" si="79"/>
        <v>1.004867550565343</v>
      </c>
      <c r="AX90" s="60">
        <f>PRODUCT(AW$4:AW90)</f>
        <v>1.5256942981063428</v>
      </c>
      <c r="AZ90" s="71">
        <f t="shared" si="90"/>
        <v>87</v>
      </c>
      <c r="BA90" s="72">
        <f t="shared" ca="1" si="94"/>
        <v>1.004867550565343</v>
      </c>
      <c r="BB90" s="72">
        <f t="shared" ca="1" si="94"/>
        <v>1.004867550565343</v>
      </c>
      <c r="BC90" s="72">
        <f t="shared" ca="1" si="94"/>
        <v>1.004867550565343</v>
      </c>
      <c r="BD90" s="72">
        <f t="shared" ca="1" si="94"/>
        <v>1.004867550565343</v>
      </c>
      <c r="BE90" s="72">
        <f t="shared" ca="1" si="94"/>
        <v>1.004867550565343</v>
      </c>
      <c r="BF90" s="72">
        <f t="shared" ca="1" si="94"/>
        <v>1.004867550565343</v>
      </c>
      <c r="BG90" s="72">
        <f t="shared" ca="1" si="94"/>
        <v>1.004867550565343</v>
      </c>
      <c r="BH90" s="72">
        <f t="shared" ca="1" si="94"/>
        <v>1.004867550565343</v>
      </c>
      <c r="BI90" s="72">
        <f t="shared" ca="1" si="94"/>
        <v>1.004867550565343</v>
      </c>
      <c r="BJ90" s="72">
        <f t="shared" ca="1" si="94"/>
        <v>1.004867550565343</v>
      </c>
      <c r="BK90" s="72">
        <f t="shared" ca="1" si="94"/>
        <v>1.004867550565343</v>
      </c>
      <c r="BL90" s="72">
        <f t="shared" ca="1" si="94"/>
        <v>1.004867550565343</v>
      </c>
      <c r="BM90" s="72">
        <f t="shared" ca="1" si="66"/>
        <v>6.0000000000000275E-2</v>
      </c>
      <c r="BN90" s="73">
        <f t="shared" ca="1" si="80"/>
        <v>159.07805707976235</v>
      </c>
    </row>
    <row r="91" spans="5:66">
      <c r="E91">
        <f t="shared" ref="E91:E154" si="95">E90+1</f>
        <v>88</v>
      </c>
      <c r="F91" s="9">
        <f t="shared" si="82"/>
        <v>76.249999999999588</v>
      </c>
      <c r="G91" s="132">
        <f t="shared" si="54"/>
        <v>0</v>
      </c>
      <c r="H91" s="133">
        <f t="shared" si="91"/>
        <v>1</v>
      </c>
      <c r="I91" s="31">
        <f t="shared" si="67"/>
        <v>1683356.6172360682</v>
      </c>
      <c r="J91" s="31">
        <f t="shared" si="55"/>
        <v>8193.8234539013847</v>
      </c>
      <c r="K91" s="163">
        <f t="shared" si="56"/>
        <v>-20</v>
      </c>
      <c r="L91" s="163">
        <f t="shared" si="68"/>
        <v>-1402.7971810300569</v>
      </c>
      <c r="M91" s="163">
        <f t="shared" si="93"/>
        <v>0</v>
      </c>
      <c r="N91" s="163">
        <f t="shared" si="69"/>
        <v>-1599.1887863742652</v>
      </c>
      <c r="O91" s="84">
        <f t="shared" si="57"/>
        <v>-17488.599999999999</v>
      </c>
      <c r="P91" s="31">
        <f t="shared" si="58"/>
        <v>1671039.8547225653</v>
      </c>
      <c r="Q91" s="5"/>
      <c r="R91">
        <f t="shared" ca="1" si="70"/>
        <v>208</v>
      </c>
      <c r="S91" s="133">
        <f t="shared" ca="1" si="71"/>
        <v>85.96</v>
      </c>
      <c r="T91" s="132">
        <f t="shared" ca="1" si="59"/>
        <v>1.342873711998438E-2</v>
      </c>
      <c r="U91" s="133">
        <f t="shared" ca="1" si="83"/>
        <v>0.41803428191423886</v>
      </c>
      <c r="V91" s="31">
        <f t="shared" ca="1" si="72"/>
        <v>374329.27308430953</v>
      </c>
      <c r="W91" s="31">
        <f t="shared" ca="1" si="60"/>
        <v>1822.0666648259833</v>
      </c>
      <c r="X91" s="163">
        <f t="shared" ca="1" si="84"/>
        <v>-8.3606856382847781</v>
      </c>
      <c r="Y91" s="163">
        <f t="shared" ca="1" si="85"/>
        <v>-311.94106090359128</v>
      </c>
      <c r="Z91" s="163">
        <f t="shared" ca="1" si="73"/>
        <v>0</v>
      </c>
      <c r="AA91" s="163">
        <f t="shared" ca="1" si="86"/>
        <v>-355.6128094300941</v>
      </c>
      <c r="AB91" s="84">
        <f t="shared" ca="1" si="61"/>
        <v>-2606.3275382017337</v>
      </c>
      <c r="AC91" s="160">
        <f t="shared" si="62"/>
        <v>0</v>
      </c>
      <c r="AD91" s="31">
        <f t="shared" ca="1" si="63"/>
        <v>372869.09765496181</v>
      </c>
      <c r="AE91" s="5"/>
      <c r="AF91" s="151">
        <f t="shared" ca="1" si="64"/>
        <v>-6234.7220095610019</v>
      </c>
      <c r="AG91" s="151">
        <f t="shared" ca="1" si="65"/>
        <v>891958.18091172038</v>
      </c>
      <c r="AH91" s="5"/>
      <c r="AI91" s="5"/>
      <c r="AL91" s="2"/>
      <c r="AM91" s="2"/>
      <c r="AN91" s="2"/>
      <c r="AO91" s="2"/>
      <c r="AS91" s="55">
        <f t="shared" si="77"/>
        <v>8</v>
      </c>
      <c r="AT91" s="56">
        <f t="shared" si="88"/>
        <v>88</v>
      </c>
      <c r="AU91" s="57">
        <f t="shared" si="89"/>
        <v>0.65090580552829369</v>
      </c>
      <c r="AV91" s="58">
        <f t="shared" si="78"/>
        <v>4.8675505653430484E-3</v>
      </c>
      <c r="AW91" s="59">
        <f t="shared" si="79"/>
        <v>1.004867550565343</v>
      </c>
      <c r="AX91" s="60">
        <f>PRODUCT(AW$4:AW91)</f>
        <v>1.533120692249631</v>
      </c>
      <c r="AZ91" s="71">
        <f t="shared" si="90"/>
        <v>88</v>
      </c>
      <c r="BA91" s="72">
        <f t="shared" ca="1" si="94"/>
        <v>1.004867550565343</v>
      </c>
      <c r="BB91" s="72">
        <f t="shared" ca="1" si="94"/>
        <v>1.004867550565343</v>
      </c>
      <c r="BC91" s="72">
        <f t="shared" ca="1" si="94"/>
        <v>1.004867550565343</v>
      </c>
      <c r="BD91" s="72">
        <f t="shared" ca="1" si="94"/>
        <v>1.004867550565343</v>
      </c>
      <c r="BE91" s="72">
        <f t="shared" ca="1" si="94"/>
        <v>1.004867550565343</v>
      </c>
      <c r="BF91" s="72">
        <f t="shared" ca="1" si="94"/>
        <v>1.004867550565343</v>
      </c>
      <c r="BG91" s="72">
        <f t="shared" ca="1" si="94"/>
        <v>1.004867550565343</v>
      </c>
      <c r="BH91" s="72">
        <f t="shared" ca="1" si="94"/>
        <v>1.004867550565343</v>
      </c>
      <c r="BI91" s="72">
        <f t="shared" ca="1" si="94"/>
        <v>1.004867550565343</v>
      </c>
      <c r="BJ91" s="72">
        <f t="shared" ca="1" si="94"/>
        <v>1.004867550565343</v>
      </c>
      <c r="BK91" s="72">
        <f t="shared" ca="1" si="94"/>
        <v>1.004867550565343</v>
      </c>
      <c r="BL91" s="72">
        <f t="shared" ca="1" si="94"/>
        <v>1.004867550565343</v>
      </c>
      <c r="BM91" s="72">
        <f t="shared" ca="1" si="66"/>
        <v>6.0000000000000275E-2</v>
      </c>
      <c r="BN91" s="73">
        <f t="shared" ca="1" si="80"/>
        <v>168.62274050454812</v>
      </c>
    </row>
    <row r="92" spans="5:66">
      <c r="E92">
        <f t="shared" si="95"/>
        <v>89</v>
      </c>
      <c r="F92" s="9">
        <f t="shared" si="82"/>
        <v>76.333333333332916</v>
      </c>
      <c r="G92" s="132">
        <f t="shared" si="54"/>
        <v>0</v>
      </c>
      <c r="H92" s="133">
        <f t="shared" si="91"/>
        <v>1</v>
      </c>
      <c r="I92" s="31">
        <f t="shared" si="67"/>
        <v>1671039.8547225653</v>
      </c>
      <c r="J92" s="31">
        <f t="shared" si="55"/>
        <v>8133.8709895655884</v>
      </c>
      <c r="K92" s="163">
        <f t="shared" si="56"/>
        <v>-20</v>
      </c>
      <c r="L92" s="163">
        <f t="shared" si="68"/>
        <v>-1392.5332122688044</v>
      </c>
      <c r="M92" s="163">
        <f t="shared" si="93"/>
        <v>0</v>
      </c>
      <c r="N92" s="163">
        <f t="shared" si="69"/>
        <v>-1587.4878619864373</v>
      </c>
      <c r="O92" s="84">
        <f t="shared" si="57"/>
        <v>-17488.599999999999</v>
      </c>
      <c r="P92" s="31">
        <f t="shared" si="58"/>
        <v>1658685.1046378755</v>
      </c>
      <c r="Q92" s="5"/>
      <c r="R92">
        <f t="shared" ca="1" si="70"/>
        <v>209</v>
      </c>
      <c r="S92" s="133">
        <f t="shared" ca="1" si="71"/>
        <v>86.04</v>
      </c>
      <c r="T92" s="132">
        <f t="shared" ca="1" si="59"/>
        <v>1.342873711998438E-2</v>
      </c>
      <c r="U92" s="133">
        <f t="shared" ca="1" si="83"/>
        <v>0.41242060943527109</v>
      </c>
      <c r="V92" s="31">
        <f t="shared" ca="1" si="72"/>
        <v>367861.93656238756</v>
      </c>
      <c r="W92" s="31">
        <f t="shared" ca="1" si="60"/>
        <v>1790.5865772824382</v>
      </c>
      <c r="X92" s="163">
        <f t="shared" ca="1" si="84"/>
        <v>-8.2484121887054211</v>
      </c>
      <c r="Y92" s="163">
        <f t="shared" ca="1" si="85"/>
        <v>-306.55161380198967</v>
      </c>
      <c r="Z92" s="163">
        <f t="shared" ca="1" si="73"/>
        <v>0</v>
      </c>
      <c r="AA92" s="163">
        <f t="shared" ca="1" si="86"/>
        <v>-349.46883973426822</v>
      </c>
      <c r="AB92" s="84">
        <f t="shared" ca="1" si="61"/>
        <v>-2571.3278508426461</v>
      </c>
      <c r="AC92" s="160">
        <f t="shared" si="62"/>
        <v>0</v>
      </c>
      <c r="AD92" s="31">
        <f t="shared" ca="1" si="63"/>
        <v>366416.92642310238</v>
      </c>
      <c r="AE92" s="5"/>
      <c r="AF92" s="151">
        <f t="shared" ca="1" si="64"/>
        <v>-6234.722009561001</v>
      </c>
      <c r="AG92" s="151">
        <f t="shared" ca="1" si="65"/>
        <v>888454.45169395942</v>
      </c>
      <c r="AH92" s="5"/>
      <c r="AI92" s="5"/>
      <c r="AL92" s="2"/>
      <c r="AM92" s="2"/>
      <c r="AN92" s="2"/>
      <c r="AO92" s="2"/>
      <c r="AS92" s="55">
        <f t="shared" si="77"/>
        <v>8</v>
      </c>
      <c r="AT92" s="56">
        <f t="shared" si="88"/>
        <v>89</v>
      </c>
      <c r="AU92" s="57">
        <f t="shared" si="89"/>
        <v>0.6477374886066094</v>
      </c>
      <c r="AV92" s="58">
        <f t="shared" si="78"/>
        <v>4.8675505653430484E-3</v>
      </c>
      <c r="AW92" s="59">
        <f t="shared" si="79"/>
        <v>1.004867550565343</v>
      </c>
      <c r="AX92" s="60">
        <f>PRODUCT(AW$4:AW92)</f>
        <v>1.5405832347419297</v>
      </c>
      <c r="AZ92" s="71">
        <f t="shared" si="90"/>
        <v>89</v>
      </c>
      <c r="BA92" s="72">
        <f t="shared" ca="1" si="94"/>
        <v>1.004867550565343</v>
      </c>
      <c r="BB92" s="72">
        <f t="shared" ca="1" si="94"/>
        <v>1.004867550565343</v>
      </c>
      <c r="BC92" s="72">
        <f t="shared" ca="1" si="94"/>
        <v>1.004867550565343</v>
      </c>
      <c r="BD92" s="72">
        <f t="shared" ca="1" si="94"/>
        <v>1.004867550565343</v>
      </c>
      <c r="BE92" s="72">
        <f t="shared" ca="1" si="94"/>
        <v>1.004867550565343</v>
      </c>
      <c r="BF92" s="72">
        <f t="shared" ca="1" si="94"/>
        <v>1.004867550565343</v>
      </c>
      <c r="BG92" s="72">
        <f t="shared" ca="1" si="94"/>
        <v>1.004867550565343</v>
      </c>
      <c r="BH92" s="72">
        <f t="shared" ca="1" si="94"/>
        <v>1.004867550565343</v>
      </c>
      <c r="BI92" s="72">
        <f t="shared" ca="1" si="94"/>
        <v>1.004867550565343</v>
      </c>
      <c r="BJ92" s="72">
        <f t="shared" ca="1" si="94"/>
        <v>1.004867550565343</v>
      </c>
      <c r="BK92" s="72">
        <f t="shared" ca="1" si="94"/>
        <v>1.004867550565343</v>
      </c>
      <c r="BL92" s="72">
        <f t="shared" ca="1" si="94"/>
        <v>1.004867550565343</v>
      </c>
      <c r="BM92" s="72">
        <f t="shared" ca="1" si="66"/>
        <v>6.0000000000000275E-2</v>
      </c>
      <c r="BN92" s="73">
        <f t="shared" ca="1" si="80"/>
        <v>178.74010493482106</v>
      </c>
    </row>
    <row r="93" spans="5:66">
      <c r="E93">
        <f t="shared" si="95"/>
        <v>90</v>
      </c>
      <c r="F93" s="9">
        <f t="shared" si="82"/>
        <v>76.416666666666245</v>
      </c>
      <c r="G93" s="132">
        <f t="shared" si="54"/>
        <v>0</v>
      </c>
      <c r="H93" s="133">
        <f t="shared" si="91"/>
        <v>1</v>
      </c>
      <c r="I93" s="31">
        <f t="shared" si="67"/>
        <v>1658685.1046378755</v>
      </c>
      <c r="J93" s="31">
        <f t="shared" si="55"/>
        <v>8073.7336188061845</v>
      </c>
      <c r="K93" s="163">
        <f t="shared" si="56"/>
        <v>-20</v>
      </c>
      <c r="L93" s="163">
        <f t="shared" si="68"/>
        <v>-1382.2375871982297</v>
      </c>
      <c r="M93" s="163">
        <f t="shared" si="93"/>
        <v>0</v>
      </c>
      <c r="N93" s="163">
        <f t="shared" si="69"/>
        <v>-1575.7508494059821</v>
      </c>
      <c r="O93" s="84">
        <f t="shared" si="57"/>
        <v>-17488.599999999999</v>
      </c>
      <c r="P93" s="31">
        <f t="shared" si="58"/>
        <v>1646292.2498200773</v>
      </c>
      <c r="Q93" s="5"/>
      <c r="R93">
        <f t="shared" ca="1" si="70"/>
        <v>210</v>
      </c>
      <c r="S93" s="133">
        <f t="shared" ca="1" si="71"/>
        <v>86.12</v>
      </c>
      <c r="T93" s="132">
        <f t="shared" ca="1" si="59"/>
        <v>1.342873711998438E-2</v>
      </c>
      <c r="U93" s="133">
        <f t="shared" ca="1" si="83"/>
        <v>0.40688232148830111</v>
      </c>
      <c r="V93" s="31">
        <f t="shared" ca="1" si="72"/>
        <v>361496.40984185389</v>
      </c>
      <c r="W93" s="31">
        <f t="shared" ca="1" si="60"/>
        <v>1759.6020540951984</v>
      </c>
      <c r="X93" s="163">
        <f t="shared" ca="1" si="84"/>
        <v>-8.137646429766022</v>
      </c>
      <c r="Y93" s="163">
        <f t="shared" ca="1" si="85"/>
        <v>-301.24700820154493</v>
      </c>
      <c r="Z93" s="163">
        <f t="shared" ca="1" si="73"/>
        <v>0</v>
      </c>
      <c r="AA93" s="163">
        <f t="shared" ca="1" si="86"/>
        <v>-343.42158934976123</v>
      </c>
      <c r="AB93" s="84">
        <f t="shared" ca="1" si="61"/>
        <v>-2536.7981650843863</v>
      </c>
      <c r="AC93" s="160">
        <f t="shared" si="62"/>
        <v>0</v>
      </c>
      <c r="AD93" s="31">
        <f t="shared" ca="1" si="63"/>
        <v>360066.40748688363</v>
      </c>
      <c r="AE93" s="5"/>
      <c r="AF93" s="151">
        <f t="shared" ca="1" si="64"/>
        <v>-6234.7220095610019</v>
      </c>
      <c r="AG93" s="151">
        <f t="shared" ca="1" si="65"/>
        <v>884939.91621416865</v>
      </c>
      <c r="AH93" s="5"/>
      <c r="AI93" s="5"/>
      <c r="AL93" s="2"/>
      <c r="AM93" s="2"/>
      <c r="AN93" s="2"/>
      <c r="AO93" s="2"/>
      <c r="AS93" s="55">
        <f t="shared" si="77"/>
        <v>8</v>
      </c>
      <c r="AT93" s="56">
        <f t="shared" si="88"/>
        <v>90</v>
      </c>
      <c r="AU93" s="57">
        <f t="shared" si="89"/>
        <v>0.64458459362774845</v>
      </c>
      <c r="AV93" s="58">
        <f t="shared" si="78"/>
        <v>4.8675505653430484E-3</v>
      </c>
      <c r="AW93" s="59">
        <f t="shared" si="79"/>
        <v>1.004867550565343</v>
      </c>
      <c r="AX93" s="60">
        <f>PRODUCT(AW$4:AW93)</f>
        <v>1.5480821015371558</v>
      </c>
      <c r="AZ93" s="71">
        <f t="shared" si="90"/>
        <v>90</v>
      </c>
      <c r="BA93" s="72">
        <f t="shared" ca="1" si="94"/>
        <v>1.004867550565343</v>
      </c>
      <c r="BB93" s="72">
        <f t="shared" ca="1" si="94"/>
        <v>1.004867550565343</v>
      </c>
      <c r="BC93" s="72">
        <f t="shared" ca="1" si="94"/>
        <v>1.004867550565343</v>
      </c>
      <c r="BD93" s="72">
        <f t="shared" ca="1" si="94"/>
        <v>1.004867550565343</v>
      </c>
      <c r="BE93" s="72">
        <f t="shared" ca="1" si="94"/>
        <v>1.004867550565343</v>
      </c>
      <c r="BF93" s="72">
        <f t="shared" ca="1" si="94"/>
        <v>1.004867550565343</v>
      </c>
      <c r="BG93" s="72">
        <f t="shared" ca="1" si="94"/>
        <v>1.004867550565343</v>
      </c>
      <c r="BH93" s="72">
        <f t="shared" ca="1" si="94"/>
        <v>1.004867550565343</v>
      </c>
      <c r="BI93" s="72">
        <f t="shared" ca="1" si="94"/>
        <v>1.004867550565343</v>
      </c>
      <c r="BJ93" s="72">
        <f t="shared" ca="1" si="94"/>
        <v>1.004867550565343</v>
      </c>
      <c r="BK93" s="72">
        <f t="shared" ca="1" si="94"/>
        <v>1.004867550565343</v>
      </c>
      <c r="BL93" s="72">
        <f t="shared" ca="1" si="94"/>
        <v>1.004867550565343</v>
      </c>
      <c r="BM93" s="72">
        <f t="shared" ca="1" si="66"/>
        <v>6.0000000000000275E-2</v>
      </c>
      <c r="BN93" s="73">
        <f t="shared" ca="1" si="80"/>
        <v>189.46451123091038</v>
      </c>
    </row>
    <row r="94" spans="5:66">
      <c r="E94">
        <f t="shared" si="95"/>
        <v>91</v>
      </c>
      <c r="F94" s="9">
        <f t="shared" si="82"/>
        <v>76.499999999999574</v>
      </c>
      <c r="G94" s="132">
        <f t="shared" si="54"/>
        <v>0</v>
      </c>
      <c r="H94" s="133">
        <f t="shared" si="91"/>
        <v>1</v>
      </c>
      <c r="I94" s="31">
        <f t="shared" si="67"/>
        <v>1646292.2498200773</v>
      </c>
      <c r="J94" s="31">
        <f t="shared" si="55"/>
        <v>8013.4107713315962</v>
      </c>
      <c r="K94" s="163">
        <f t="shared" si="56"/>
        <v>-20</v>
      </c>
      <c r="L94" s="163">
        <f t="shared" si="68"/>
        <v>-1371.9102081833978</v>
      </c>
      <c r="M94" s="163">
        <f t="shared" si="93"/>
        <v>0</v>
      </c>
      <c r="N94" s="163">
        <f t="shared" si="69"/>
        <v>-1563.9776373290736</v>
      </c>
      <c r="O94" s="84">
        <f t="shared" si="57"/>
        <v>-17488.599999999999</v>
      </c>
      <c r="P94" s="31">
        <f t="shared" si="58"/>
        <v>1633861.1727458963</v>
      </c>
      <c r="Q94" s="5"/>
      <c r="R94">
        <f t="shared" ca="1" si="70"/>
        <v>211</v>
      </c>
      <c r="S94" s="133">
        <f t="shared" ca="1" si="71"/>
        <v>86.2</v>
      </c>
      <c r="T94" s="132">
        <f t="shared" ca="1" si="59"/>
        <v>1.342873711998438E-2</v>
      </c>
      <c r="U94" s="133">
        <f t="shared" ca="1" si="83"/>
        <v>0.40141840575426574</v>
      </c>
      <c r="V94" s="31">
        <f t="shared" ca="1" si="72"/>
        <v>355231.17035500507</v>
      </c>
      <c r="W94" s="31">
        <f t="shared" ca="1" si="60"/>
        <v>1729.1056840889778</v>
      </c>
      <c r="X94" s="163">
        <f t="shared" ca="1" si="84"/>
        <v>-8.0283681150853141</v>
      </c>
      <c r="Y94" s="163">
        <f t="shared" ca="1" si="85"/>
        <v>-296.02597529583755</v>
      </c>
      <c r="Z94" s="163">
        <f t="shared" ca="1" si="73"/>
        <v>0</v>
      </c>
      <c r="AA94" s="163">
        <f t="shared" ca="1" si="86"/>
        <v>-337.46961183725489</v>
      </c>
      <c r="AB94" s="84">
        <f t="shared" ca="1" si="61"/>
        <v>-2502.7321693990093</v>
      </c>
      <c r="AC94" s="160">
        <f t="shared" si="62"/>
        <v>0</v>
      </c>
      <c r="AD94" s="31">
        <f t="shared" ca="1" si="63"/>
        <v>353816.01991444681</v>
      </c>
      <c r="AE94" s="5"/>
      <c r="AF94" s="151">
        <f t="shared" ca="1" si="64"/>
        <v>-6234.7220095610019</v>
      </c>
      <c r="AG94" s="151">
        <f t="shared" ca="1" si="65"/>
        <v>881414.54114348849</v>
      </c>
      <c r="AH94" s="5"/>
      <c r="AI94" s="5"/>
      <c r="AL94" s="2"/>
      <c r="AM94" s="2"/>
      <c r="AN94" s="2"/>
      <c r="AO94" s="2"/>
      <c r="AS94" s="55">
        <f t="shared" si="77"/>
        <v>8</v>
      </c>
      <c r="AT94" s="56">
        <f t="shared" si="88"/>
        <v>91</v>
      </c>
      <c r="AU94" s="57">
        <f t="shared" si="89"/>
        <v>0.64144704552462428</v>
      </c>
      <c r="AV94" s="58">
        <f t="shared" si="78"/>
        <v>4.8675505653430484E-3</v>
      </c>
      <c r="AW94" s="59">
        <f t="shared" si="79"/>
        <v>1.004867550565343</v>
      </c>
      <c r="AX94" s="60">
        <f>PRODUCT(AW$4:AW94)</f>
        <v>1.5556174694456903</v>
      </c>
      <c r="AZ94" s="71">
        <f t="shared" si="90"/>
        <v>91</v>
      </c>
      <c r="BA94" s="72">
        <f t="shared" ca="1" si="94"/>
        <v>1.004867550565343</v>
      </c>
      <c r="BB94" s="72">
        <f t="shared" ca="1" si="94"/>
        <v>1.004867550565343</v>
      </c>
      <c r="BC94" s="72">
        <f t="shared" ca="1" si="94"/>
        <v>1.004867550565343</v>
      </c>
      <c r="BD94" s="72">
        <f t="shared" ca="1" si="94"/>
        <v>1.004867550565343</v>
      </c>
      <c r="BE94" s="72">
        <f t="shared" ca="1" si="94"/>
        <v>1.004867550565343</v>
      </c>
      <c r="BF94" s="72">
        <f t="shared" ca="1" si="94"/>
        <v>1.004867550565343</v>
      </c>
      <c r="BG94" s="72">
        <f t="shared" ca="1" si="94"/>
        <v>1.004867550565343</v>
      </c>
      <c r="BH94" s="72">
        <f t="shared" ca="1" si="94"/>
        <v>1.004867550565343</v>
      </c>
      <c r="BI94" s="72">
        <f t="shared" ca="1" si="94"/>
        <v>1.004867550565343</v>
      </c>
      <c r="BJ94" s="72">
        <f t="shared" ca="1" si="94"/>
        <v>1.004867550565343</v>
      </c>
      <c r="BK94" s="72">
        <f t="shared" ca="1" si="94"/>
        <v>1.004867550565343</v>
      </c>
      <c r="BL94" s="72">
        <f t="shared" ca="1" si="94"/>
        <v>1.004867550565343</v>
      </c>
      <c r="BM94" s="72">
        <f t="shared" ca="1" si="66"/>
        <v>6.0000000000000275E-2</v>
      </c>
      <c r="BN94" s="73">
        <f t="shared" ca="1" si="80"/>
        <v>200.83238190476504</v>
      </c>
    </row>
    <row r="95" spans="5:66">
      <c r="E95">
        <f t="shared" si="95"/>
        <v>92</v>
      </c>
      <c r="F95" s="9">
        <f t="shared" si="82"/>
        <v>76.583333333332902</v>
      </c>
      <c r="G95" s="132">
        <f t="shared" si="54"/>
        <v>0</v>
      </c>
      <c r="H95" s="133">
        <f t="shared" si="91"/>
        <v>1</v>
      </c>
      <c r="I95" s="31">
        <f t="shared" si="67"/>
        <v>1633861.1727458963</v>
      </c>
      <c r="J95" s="31">
        <f t="shared" si="55"/>
        <v>7952.9018750913438</v>
      </c>
      <c r="K95" s="163">
        <f t="shared" si="56"/>
        <v>-20</v>
      </c>
      <c r="L95" s="163">
        <f t="shared" si="68"/>
        <v>-1361.5509772882469</v>
      </c>
      <c r="M95" s="163">
        <f t="shared" si="93"/>
        <v>0</v>
      </c>
      <c r="N95" s="163">
        <f t="shared" si="69"/>
        <v>-1552.1681141086017</v>
      </c>
      <c r="O95" s="84">
        <f t="shared" si="57"/>
        <v>-17488.599999999999</v>
      </c>
      <c r="P95" s="31">
        <f t="shared" si="58"/>
        <v>1621391.7555295906</v>
      </c>
      <c r="Q95" s="5"/>
      <c r="R95">
        <f t="shared" ca="1" si="70"/>
        <v>212</v>
      </c>
      <c r="S95" s="133">
        <f t="shared" ca="1" si="71"/>
        <v>86.28</v>
      </c>
      <c r="T95" s="132">
        <f t="shared" ca="1" si="59"/>
        <v>1.342873711998438E-2</v>
      </c>
      <c r="U95" s="133">
        <f t="shared" ca="1" si="83"/>
        <v>0.39602786350826846</v>
      </c>
      <c r="V95" s="31">
        <f t="shared" ca="1" si="72"/>
        <v>349064.71759417653</v>
      </c>
      <c r="W95" s="31">
        <f t="shared" ca="1" si="60"/>
        <v>1699.0901634668455</v>
      </c>
      <c r="X95" s="163">
        <f t="shared" ca="1" si="84"/>
        <v>-7.9205572701653697</v>
      </c>
      <c r="Y95" s="163">
        <f t="shared" ca="1" si="85"/>
        <v>-290.88726466181379</v>
      </c>
      <c r="Z95" s="163">
        <f t="shared" ca="1" si="73"/>
        <v>0</v>
      </c>
      <c r="AA95" s="163">
        <f t="shared" ca="1" si="86"/>
        <v>-331.61148171446774</v>
      </c>
      <c r="AB95" s="84">
        <f t="shared" ca="1" si="61"/>
        <v>-2469.1236370144215</v>
      </c>
      <c r="AC95" s="160">
        <f t="shared" si="62"/>
        <v>0</v>
      </c>
      <c r="AD95" s="31">
        <f t="shared" ca="1" si="63"/>
        <v>347664.2648169825</v>
      </c>
      <c r="AE95" s="5"/>
      <c r="AF95" s="151">
        <f t="shared" ca="1" si="64"/>
        <v>-6234.7220095610019</v>
      </c>
      <c r="AG95" s="151">
        <f t="shared" ca="1" si="65"/>
        <v>877878.2930502661</v>
      </c>
      <c r="AH95" s="5"/>
      <c r="AI95" s="5"/>
      <c r="AL95" s="2"/>
      <c r="AM95" s="2"/>
      <c r="AN95" s="2"/>
      <c r="AO95" s="2"/>
      <c r="AS95" s="55">
        <f t="shared" si="77"/>
        <v>8</v>
      </c>
      <c r="AT95" s="56">
        <f t="shared" si="88"/>
        <v>92</v>
      </c>
      <c r="AU95" s="57">
        <f t="shared" si="89"/>
        <v>0.6383247695955433</v>
      </c>
      <c r="AV95" s="58">
        <f t="shared" si="78"/>
        <v>4.8675505653430484E-3</v>
      </c>
      <c r="AW95" s="59">
        <f t="shared" si="79"/>
        <v>1.004867550565343</v>
      </c>
      <c r="AX95" s="60">
        <f>PRODUCT(AW$4:AW95)</f>
        <v>1.5631895161385483</v>
      </c>
      <c r="AZ95" s="71">
        <f t="shared" si="90"/>
        <v>92</v>
      </c>
      <c r="BA95" s="72">
        <f t="shared" ref="BA95:BL104" ca="1" si="96">OFFSET($AW$3,($AZ95*12-12)+BA$3,0)</f>
        <v>1.004867550565343</v>
      </c>
      <c r="BB95" s="72">
        <f t="shared" ca="1" si="96"/>
        <v>1.004867550565343</v>
      </c>
      <c r="BC95" s="72">
        <f t="shared" ca="1" si="96"/>
        <v>1.004867550565343</v>
      </c>
      <c r="BD95" s="72">
        <f t="shared" ca="1" si="96"/>
        <v>1.004867550565343</v>
      </c>
      <c r="BE95" s="72">
        <f t="shared" ca="1" si="96"/>
        <v>1.004867550565343</v>
      </c>
      <c r="BF95" s="72">
        <f t="shared" ca="1" si="96"/>
        <v>1.004867550565343</v>
      </c>
      <c r="BG95" s="72">
        <f t="shared" ca="1" si="96"/>
        <v>1.004867550565343</v>
      </c>
      <c r="BH95" s="72">
        <f t="shared" ca="1" si="96"/>
        <v>1.004867550565343</v>
      </c>
      <c r="BI95" s="72">
        <f t="shared" ca="1" si="96"/>
        <v>1.004867550565343</v>
      </c>
      <c r="BJ95" s="72">
        <f t="shared" ca="1" si="96"/>
        <v>1.004867550565343</v>
      </c>
      <c r="BK95" s="72">
        <f t="shared" ca="1" si="96"/>
        <v>1.004867550565343</v>
      </c>
      <c r="BL95" s="72">
        <f t="shared" ca="1" si="96"/>
        <v>1.004867550565343</v>
      </c>
      <c r="BM95" s="72">
        <f t="shared" ca="1" si="66"/>
        <v>6.0000000000000275E-2</v>
      </c>
      <c r="BN95" s="73">
        <f t="shared" ca="1" si="80"/>
        <v>212.88232481905101</v>
      </c>
    </row>
    <row r="96" spans="5:66">
      <c r="E96">
        <f t="shared" si="95"/>
        <v>93</v>
      </c>
      <c r="F96" s="9">
        <f t="shared" si="82"/>
        <v>76.666666666666231</v>
      </c>
      <c r="G96" s="132">
        <f t="shared" si="54"/>
        <v>0</v>
      </c>
      <c r="H96" s="133">
        <f t="shared" si="91"/>
        <v>1</v>
      </c>
      <c r="I96" s="31">
        <f t="shared" si="67"/>
        <v>1621391.7555295906</v>
      </c>
      <c r="J96" s="31">
        <f t="shared" si="55"/>
        <v>7892.2063562706171</v>
      </c>
      <c r="K96" s="163">
        <f t="shared" si="56"/>
        <v>-20</v>
      </c>
      <c r="L96" s="163">
        <f t="shared" si="68"/>
        <v>-1351.1597962746589</v>
      </c>
      <c r="M96" s="163">
        <f t="shared" si="93"/>
        <v>0</v>
      </c>
      <c r="N96" s="163">
        <f t="shared" si="69"/>
        <v>-1540.3221677531112</v>
      </c>
      <c r="O96" s="84">
        <f t="shared" si="57"/>
        <v>-17488.599999999999</v>
      </c>
      <c r="P96" s="31">
        <f t="shared" si="58"/>
        <v>1608883.8799218335</v>
      </c>
      <c r="Q96" s="5"/>
      <c r="R96">
        <f t="shared" ca="1" si="70"/>
        <v>213</v>
      </c>
      <c r="S96" s="133">
        <f t="shared" ca="1" si="71"/>
        <v>86.36</v>
      </c>
      <c r="T96" s="132">
        <f t="shared" ca="1" si="59"/>
        <v>1.342873711998438E-2</v>
      </c>
      <c r="U96" s="133">
        <f t="shared" ca="1" si="83"/>
        <v>0.39070970943702688</v>
      </c>
      <c r="V96" s="31">
        <f t="shared" ca="1" si="72"/>
        <v>342995.57279874262</v>
      </c>
      <c r="W96" s="31">
        <f t="shared" ca="1" si="60"/>
        <v>1669.5482942866824</v>
      </c>
      <c r="X96" s="163">
        <f t="shared" ca="1" si="84"/>
        <v>-7.8141941887405375</v>
      </c>
      <c r="Y96" s="163">
        <f t="shared" ca="1" si="85"/>
        <v>-285.82964399895218</v>
      </c>
      <c r="Z96" s="163">
        <f t="shared" ca="1" si="73"/>
        <v>0</v>
      </c>
      <c r="AA96" s="163">
        <f t="shared" ca="1" si="86"/>
        <v>-325.84579415880552</v>
      </c>
      <c r="AB96" s="84">
        <f t="shared" ca="1" si="61"/>
        <v>-2435.9664247762153</v>
      </c>
      <c r="AC96" s="160">
        <f t="shared" si="62"/>
        <v>0</v>
      </c>
      <c r="AD96" s="31">
        <f t="shared" ca="1" si="63"/>
        <v>341609.6650359066</v>
      </c>
      <c r="AE96" s="5"/>
      <c r="AF96" s="151">
        <f t="shared" ca="1" si="64"/>
        <v>-6234.7220095610019</v>
      </c>
      <c r="AG96" s="151">
        <f t="shared" ca="1" si="65"/>
        <v>874331.13839973812</v>
      </c>
      <c r="AH96" s="5"/>
      <c r="AI96" s="5"/>
      <c r="AL96" s="2"/>
      <c r="AM96" s="2"/>
      <c r="AN96" s="2"/>
      <c r="AO96" s="2"/>
      <c r="AS96" s="55">
        <f t="shared" si="77"/>
        <v>8</v>
      </c>
      <c r="AT96" s="56">
        <f t="shared" si="88"/>
        <v>93</v>
      </c>
      <c r="AU96" s="57">
        <f t="shared" si="89"/>
        <v>0.63521769150242602</v>
      </c>
      <c r="AV96" s="58">
        <f t="shared" si="78"/>
        <v>4.8675505653430484E-3</v>
      </c>
      <c r="AW96" s="59">
        <f t="shared" si="79"/>
        <v>1.004867550565343</v>
      </c>
      <c r="AX96" s="60">
        <f>PRODUCT(AW$4:AW96)</f>
        <v>1.5707984201515668</v>
      </c>
      <c r="AZ96" s="71">
        <f t="shared" si="90"/>
        <v>93</v>
      </c>
      <c r="BA96" s="72">
        <f t="shared" ca="1" si="96"/>
        <v>1.004867550565343</v>
      </c>
      <c r="BB96" s="72">
        <f t="shared" ca="1" si="96"/>
        <v>1.004867550565343</v>
      </c>
      <c r="BC96" s="72">
        <f t="shared" ca="1" si="96"/>
        <v>1.004867550565343</v>
      </c>
      <c r="BD96" s="72">
        <f t="shared" ca="1" si="96"/>
        <v>1.004867550565343</v>
      </c>
      <c r="BE96" s="72">
        <f t="shared" ca="1" si="96"/>
        <v>1.004867550565343</v>
      </c>
      <c r="BF96" s="72">
        <f t="shared" ca="1" si="96"/>
        <v>1.004867550565343</v>
      </c>
      <c r="BG96" s="72">
        <f t="shared" ca="1" si="96"/>
        <v>1.004867550565343</v>
      </c>
      <c r="BH96" s="72">
        <f t="shared" ca="1" si="96"/>
        <v>1.004867550565343</v>
      </c>
      <c r="BI96" s="72">
        <f t="shared" ca="1" si="96"/>
        <v>1.004867550565343</v>
      </c>
      <c r="BJ96" s="72">
        <f t="shared" ca="1" si="96"/>
        <v>1.004867550565343</v>
      </c>
      <c r="BK96" s="72">
        <f t="shared" ca="1" si="96"/>
        <v>1.004867550565343</v>
      </c>
      <c r="BL96" s="72">
        <f t="shared" ca="1" si="96"/>
        <v>1.004867550565343</v>
      </c>
      <c r="BM96" s="72">
        <f t="shared" ca="1" si="66"/>
        <v>6.0000000000000275E-2</v>
      </c>
      <c r="BN96" s="73">
        <f t="shared" ca="1" si="80"/>
        <v>225.65526430819412</v>
      </c>
    </row>
    <row r="97" spans="5:66">
      <c r="E97">
        <f t="shared" si="95"/>
        <v>94</v>
      </c>
      <c r="F97" s="9">
        <f t="shared" si="82"/>
        <v>76.749999999999559</v>
      </c>
      <c r="G97" s="132">
        <f t="shared" si="54"/>
        <v>0</v>
      </c>
      <c r="H97" s="133">
        <f t="shared" si="91"/>
        <v>1</v>
      </c>
      <c r="I97" s="31">
        <f t="shared" si="67"/>
        <v>1608883.8799218335</v>
      </c>
      <c r="J97" s="31">
        <f t="shared" si="55"/>
        <v>7831.3236392848376</v>
      </c>
      <c r="K97" s="163">
        <f t="shared" si="56"/>
        <v>-20</v>
      </c>
      <c r="L97" s="163">
        <f t="shared" si="68"/>
        <v>-1340.736566601528</v>
      </c>
      <c r="M97" s="163">
        <f t="shared" si="93"/>
        <v>0</v>
      </c>
      <c r="N97" s="163">
        <f t="shared" si="69"/>
        <v>-1528.4396859257422</v>
      </c>
      <c r="O97" s="84">
        <f t="shared" si="57"/>
        <v>-17488.599999999999</v>
      </c>
      <c r="P97" s="31">
        <f t="shared" si="58"/>
        <v>1596337.4273085908</v>
      </c>
      <c r="Q97" s="5"/>
      <c r="R97">
        <f t="shared" ca="1" si="70"/>
        <v>214</v>
      </c>
      <c r="S97" s="133">
        <f t="shared" ca="1" si="71"/>
        <v>86.44</v>
      </c>
      <c r="T97" s="132">
        <f t="shared" ca="1" si="59"/>
        <v>1.342873711998438E-2</v>
      </c>
      <c r="U97" s="133">
        <f t="shared" ca="1" si="83"/>
        <v>0.38546297145877156</v>
      </c>
      <c r="V97" s="31">
        <f t="shared" ca="1" si="72"/>
        <v>337022.27864649351</v>
      </c>
      <c r="W97" s="31">
        <f t="shared" ca="1" si="60"/>
        <v>1640.4729829589419</v>
      </c>
      <c r="X97" s="163">
        <f t="shared" ca="1" si="84"/>
        <v>-7.7092594291754315</v>
      </c>
      <c r="Y97" s="163">
        <f t="shared" ca="1" si="85"/>
        <v>-280.85189887207792</v>
      </c>
      <c r="Z97" s="163">
        <f t="shared" ca="1" si="73"/>
        <v>0</v>
      </c>
      <c r="AA97" s="163">
        <f t="shared" ca="1" si="86"/>
        <v>-320.17116471416892</v>
      </c>
      <c r="AB97" s="84">
        <f t="shared" ca="1" si="61"/>
        <v>-2403.2544720247874</v>
      </c>
      <c r="AC97" s="160">
        <f t="shared" si="62"/>
        <v>0</v>
      </c>
      <c r="AD97" s="31">
        <f t="shared" ca="1" si="63"/>
        <v>335650.76483441226</v>
      </c>
      <c r="AE97" s="5"/>
      <c r="AF97" s="151">
        <f t="shared" ca="1" si="64"/>
        <v>-6234.7220095610019</v>
      </c>
      <c r="AG97" s="151">
        <f t="shared" ca="1" si="65"/>
        <v>870773.04355371231</v>
      </c>
      <c r="AH97" s="5"/>
      <c r="AI97" s="5"/>
      <c r="AL97" s="2"/>
      <c r="AM97" s="2"/>
      <c r="AN97" s="2"/>
      <c r="AO97" s="2"/>
      <c r="AS97" s="55">
        <f t="shared" si="77"/>
        <v>8</v>
      </c>
      <c r="AT97" s="56">
        <f t="shared" si="88"/>
        <v>94</v>
      </c>
      <c r="AU97" s="57">
        <f t="shared" si="89"/>
        <v>0.63212573726903742</v>
      </c>
      <c r="AV97" s="58">
        <f t="shared" si="78"/>
        <v>4.8675505653430484E-3</v>
      </c>
      <c r="AW97" s="59">
        <f t="shared" si="79"/>
        <v>1.004867550565343</v>
      </c>
      <c r="AX97" s="60">
        <f>PRODUCT(AW$4:AW97)</f>
        <v>1.5784443608896155</v>
      </c>
      <c r="AZ97" s="71">
        <f t="shared" si="90"/>
        <v>94</v>
      </c>
      <c r="BA97" s="72">
        <f t="shared" ca="1" si="96"/>
        <v>1.004867550565343</v>
      </c>
      <c r="BB97" s="72">
        <f t="shared" ca="1" si="96"/>
        <v>1.004867550565343</v>
      </c>
      <c r="BC97" s="72">
        <f t="shared" ca="1" si="96"/>
        <v>1.004867550565343</v>
      </c>
      <c r="BD97" s="72">
        <f t="shared" ca="1" si="96"/>
        <v>1.004867550565343</v>
      </c>
      <c r="BE97" s="72">
        <f t="shared" ca="1" si="96"/>
        <v>1.004867550565343</v>
      </c>
      <c r="BF97" s="72">
        <f t="shared" ca="1" si="96"/>
        <v>1.004867550565343</v>
      </c>
      <c r="BG97" s="72">
        <f t="shared" ca="1" si="96"/>
        <v>1.004867550565343</v>
      </c>
      <c r="BH97" s="72">
        <f t="shared" ca="1" si="96"/>
        <v>1.004867550565343</v>
      </c>
      <c r="BI97" s="72">
        <f t="shared" ca="1" si="96"/>
        <v>1.004867550565343</v>
      </c>
      <c r="BJ97" s="72">
        <f t="shared" ca="1" si="96"/>
        <v>1.004867550565343</v>
      </c>
      <c r="BK97" s="72">
        <f t="shared" ca="1" si="96"/>
        <v>1.004867550565343</v>
      </c>
      <c r="BL97" s="72">
        <f t="shared" ca="1" si="96"/>
        <v>1.004867550565343</v>
      </c>
      <c r="BM97" s="72">
        <f t="shared" ca="1" si="66"/>
        <v>6.0000000000000275E-2</v>
      </c>
      <c r="BN97" s="73">
        <f t="shared" ca="1" si="80"/>
        <v>239.19458016668582</v>
      </c>
    </row>
    <row r="98" spans="5:66">
      <c r="E98">
        <f t="shared" si="95"/>
        <v>95</v>
      </c>
      <c r="F98" s="9">
        <f t="shared" si="82"/>
        <v>76.833333333332888</v>
      </c>
      <c r="G98" s="132">
        <f t="shared" si="54"/>
        <v>0</v>
      </c>
      <c r="H98" s="133">
        <f t="shared" si="91"/>
        <v>1</v>
      </c>
      <c r="I98" s="31">
        <f t="shared" si="67"/>
        <v>1596337.4273085908</v>
      </c>
      <c r="J98" s="31">
        <f t="shared" si="55"/>
        <v>7770.2531467741992</v>
      </c>
      <c r="K98" s="163">
        <f t="shared" si="56"/>
        <v>-20</v>
      </c>
      <c r="L98" s="163">
        <f t="shared" si="68"/>
        <v>-1330.2811894238257</v>
      </c>
      <c r="M98" s="163">
        <f t="shared" si="93"/>
        <v>0</v>
      </c>
      <c r="N98" s="163">
        <f t="shared" si="69"/>
        <v>-1516.5205559431615</v>
      </c>
      <c r="O98" s="84">
        <f t="shared" si="57"/>
        <v>-17488.599999999999</v>
      </c>
      <c r="P98" s="31">
        <f t="shared" si="58"/>
        <v>1583752.2787099979</v>
      </c>
      <c r="Q98" s="5"/>
      <c r="R98">
        <f t="shared" ca="1" si="70"/>
        <v>215</v>
      </c>
      <c r="S98" s="133">
        <f t="shared" ca="1" si="71"/>
        <v>86.52</v>
      </c>
      <c r="T98" s="132">
        <f t="shared" ca="1" si="59"/>
        <v>1.4704480690580723E-2</v>
      </c>
      <c r="U98" s="133">
        <f t="shared" ca="1" si="83"/>
        <v>0.37979493863802216</v>
      </c>
      <c r="V98" s="31">
        <f t="shared" ca="1" si="72"/>
        <v>330715.19464412599</v>
      </c>
      <c r="W98" s="31">
        <f t="shared" ca="1" si="60"/>
        <v>1609.7729326575518</v>
      </c>
      <c r="X98" s="163">
        <f t="shared" ca="1" si="84"/>
        <v>-7.5958987727604432</v>
      </c>
      <c r="Y98" s="163">
        <f t="shared" ca="1" si="85"/>
        <v>-275.59599553677168</v>
      </c>
      <c r="Z98" s="163">
        <f t="shared" ca="1" si="73"/>
        <v>0</v>
      </c>
      <c r="AA98" s="163">
        <f t="shared" ca="1" si="86"/>
        <v>-314.17943491191977</v>
      </c>
      <c r="AB98" s="84">
        <f t="shared" ca="1" si="61"/>
        <v>-2367.9158630463467</v>
      </c>
      <c r="AC98" s="160">
        <f t="shared" si="62"/>
        <v>0</v>
      </c>
      <c r="AD98" s="31">
        <f t="shared" ca="1" si="63"/>
        <v>329359.68038451573</v>
      </c>
      <c r="AE98" s="5"/>
      <c r="AF98" s="151">
        <f t="shared" ca="1" si="64"/>
        <v>-6234.722009561001</v>
      </c>
      <c r="AG98" s="151">
        <f t="shared" ca="1" si="65"/>
        <v>867203.97477024922</v>
      </c>
      <c r="AH98" s="5"/>
      <c r="AI98" s="5"/>
      <c r="AL98" s="2"/>
      <c r="AM98" s="2"/>
      <c r="AN98" s="2"/>
      <c r="AO98" s="2"/>
      <c r="AS98" s="55">
        <f t="shared" si="77"/>
        <v>8</v>
      </c>
      <c r="AT98" s="56">
        <f t="shared" si="88"/>
        <v>95</v>
      </c>
      <c r="AU98" s="57">
        <f t="shared" si="89"/>
        <v>0.62904883327922567</v>
      </c>
      <c r="AV98" s="58">
        <f t="shared" si="78"/>
        <v>4.8675505653430484E-3</v>
      </c>
      <c r="AW98" s="59">
        <f t="shared" si="79"/>
        <v>1.004867550565343</v>
      </c>
      <c r="AX98" s="60">
        <f>PRODUCT(AW$4:AW98)</f>
        <v>1.5861275186308263</v>
      </c>
      <c r="AZ98" s="71">
        <f t="shared" si="90"/>
        <v>95</v>
      </c>
      <c r="BA98" s="72">
        <f t="shared" ca="1" si="96"/>
        <v>1.004867550565343</v>
      </c>
      <c r="BB98" s="72">
        <f t="shared" ca="1" si="96"/>
        <v>1.004867550565343</v>
      </c>
      <c r="BC98" s="72">
        <f t="shared" ca="1" si="96"/>
        <v>1.004867550565343</v>
      </c>
      <c r="BD98" s="72">
        <f t="shared" ca="1" si="96"/>
        <v>1.004867550565343</v>
      </c>
      <c r="BE98" s="72">
        <f t="shared" ca="1" si="96"/>
        <v>1.004867550565343</v>
      </c>
      <c r="BF98" s="72">
        <f t="shared" ca="1" si="96"/>
        <v>1.004867550565343</v>
      </c>
      <c r="BG98" s="72">
        <f t="shared" ca="1" si="96"/>
        <v>1.004867550565343</v>
      </c>
      <c r="BH98" s="72">
        <f t="shared" ca="1" si="96"/>
        <v>1.004867550565343</v>
      </c>
      <c r="BI98" s="72">
        <f t="shared" ca="1" si="96"/>
        <v>1.004867550565343</v>
      </c>
      <c r="BJ98" s="72">
        <f t="shared" ca="1" si="96"/>
        <v>1.004867550565343</v>
      </c>
      <c r="BK98" s="72">
        <f t="shared" ca="1" si="96"/>
        <v>1.004867550565343</v>
      </c>
      <c r="BL98" s="72">
        <f t="shared" ca="1" si="96"/>
        <v>1.004867550565343</v>
      </c>
      <c r="BM98" s="72">
        <f t="shared" ca="1" si="66"/>
        <v>6.0000000000000275E-2</v>
      </c>
      <c r="BN98" s="73">
        <f t="shared" ca="1" si="80"/>
        <v>253.54625497668704</v>
      </c>
    </row>
    <row r="99" spans="5:66">
      <c r="E99">
        <f t="shared" si="95"/>
        <v>96</v>
      </c>
      <c r="F99" s="9">
        <f t="shared" si="82"/>
        <v>76.916666666666217</v>
      </c>
      <c r="G99" s="132">
        <f t="shared" si="54"/>
        <v>0</v>
      </c>
      <c r="H99" s="133">
        <f t="shared" si="91"/>
        <v>1</v>
      </c>
      <c r="I99" s="31">
        <f t="shared" si="67"/>
        <v>1583752.2787099979</v>
      </c>
      <c r="J99" s="31">
        <f t="shared" si="55"/>
        <v>7708.994299598191</v>
      </c>
      <c r="K99" s="163">
        <f t="shared" si="56"/>
        <v>-20</v>
      </c>
      <c r="L99" s="163">
        <f t="shared" si="68"/>
        <v>-1319.7935655916649</v>
      </c>
      <c r="M99" s="163">
        <f t="shared" si="93"/>
        <v>0</v>
      </c>
      <c r="N99" s="163">
        <f t="shared" si="69"/>
        <v>-1504.5646647744982</v>
      </c>
      <c r="O99" s="84">
        <f t="shared" si="57"/>
        <v>-17488.599999999999</v>
      </c>
      <c r="P99" s="31">
        <f t="shared" si="58"/>
        <v>1571128.3147792299</v>
      </c>
      <c r="Q99" s="5"/>
      <c r="R99">
        <f t="shared" ca="1" si="70"/>
        <v>216</v>
      </c>
      <c r="S99" s="133">
        <f t="shared" ca="1" si="71"/>
        <v>86.6</v>
      </c>
      <c r="T99" s="132">
        <f t="shared" ca="1" si="59"/>
        <v>1.4704480690580723E-2</v>
      </c>
      <c r="U99" s="133">
        <f t="shared" ca="1" si="83"/>
        <v>0.37421025129643909</v>
      </c>
      <c r="V99" s="31">
        <f t="shared" ca="1" si="72"/>
        <v>324516.6173240458</v>
      </c>
      <c r="W99" s="31">
        <f t="shared" ca="1" si="60"/>
        <v>1579.6010441188728</v>
      </c>
      <c r="X99" s="163">
        <f t="shared" ca="1" si="84"/>
        <v>-7.484205025928782</v>
      </c>
      <c r="Y99" s="163">
        <f t="shared" ca="1" si="85"/>
        <v>-270.43051443670487</v>
      </c>
      <c r="Z99" s="163">
        <f t="shared" ca="1" si="73"/>
        <v>-2433.8746299303434</v>
      </c>
      <c r="AA99" s="163">
        <f t="shared" ca="1" si="86"/>
        <v>-308.29078645784358</v>
      </c>
      <c r="AB99" s="84">
        <f t="shared" ca="1" si="61"/>
        <v>-2333.0968899612621</v>
      </c>
      <c r="AC99" s="160">
        <f t="shared" si="62"/>
        <v>0</v>
      </c>
      <c r="AD99" s="31">
        <f t="shared" ca="1" si="63"/>
        <v>320743.04134235258</v>
      </c>
      <c r="AE99" s="5"/>
      <c r="AF99" s="151">
        <f t="shared" ca="1" si="64"/>
        <v>-6234.7220095610019</v>
      </c>
      <c r="AG99" s="151">
        <f t="shared" ca="1" si="65"/>
        <v>857119.86839256505</v>
      </c>
      <c r="AH99" s="5"/>
      <c r="AI99" s="5"/>
      <c r="AL99" s="2"/>
      <c r="AM99" s="2"/>
      <c r="AN99" s="2"/>
      <c r="AO99" s="2"/>
      <c r="AS99" s="55">
        <f t="shared" si="77"/>
        <v>8</v>
      </c>
      <c r="AT99" s="56">
        <f t="shared" si="88"/>
        <v>96</v>
      </c>
      <c r="AU99" s="57">
        <f t="shared" si="89"/>
        <v>0.62598690627516895</v>
      </c>
      <c r="AV99" s="58">
        <f t="shared" si="78"/>
        <v>4.8675505653430484E-3</v>
      </c>
      <c r="AW99" s="59">
        <f t="shared" si="79"/>
        <v>1.004867550565343</v>
      </c>
      <c r="AX99" s="60">
        <f>PRODUCT(AW$4:AW99)</f>
        <v>1.5938480745308441</v>
      </c>
      <c r="AZ99" s="71">
        <f t="shared" si="90"/>
        <v>96</v>
      </c>
      <c r="BA99" s="72">
        <f t="shared" ca="1" si="96"/>
        <v>1.004867550565343</v>
      </c>
      <c r="BB99" s="72">
        <f t="shared" ca="1" si="96"/>
        <v>1.004867550565343</v>
      </c>
      <c r="BC99" s="72">
        <f t="shared" ca="1" si="96"/>
        <v>1.004867550565343</v>
      </c>
      <c r="BD99" s="72">
        <f t="shared" ca="1" si="96"/>
        <v>1.004867550565343</v>
      </c>
      <c r="BE99" s="72">
        <f t="shared" ca="1" si="96"/>
        <v>1.004867550565343</v>
      </c>
      <c r="BF99" s="72">
        <f t="shared" ca="1" si="96"/>
        <v>1.004867550565343</v>
      </c>
      <c r="BG99" s="72">
        <f t="shared" ca="1" si="96"/>
        <v>1.004867550565343</v>
      </c>
      <c r="BH99" s="72">
        <f t="shared" ca="1" si="96"/>
        <v>1.004867550565343</v>
      </c>
      <c r="BI99" s="72">
        <f t="shared" ca="1" si="96"/>
        <v>1.004867550565343</v>
      </c>
      <c r="BJ99" s="72">
        <f t="shared" ca="1" si="96"/>
        <v>1.004867550565343</v>
      </c>
      <c r="BK99" s="72">
        <f t="shared" ca="1" si="96"/>
        <v>1.004867550565343</v>
      </c>
      <c r="BL99" s="72">
        <f t="shared" ca="1" si="96"/>
        <v>1.004867550565343</v>
      </c>
      <c r="BM99" s="72">
        <f t="shared" ca="1" si="66"/>
        <v>6.0000000000000275E-2</v>
      </c>
      <c r="BN99" s="73">
        <f t="shared" ca="1" si="80"/>
        <v>268.75903027528835</v>
      </c>
    </row>
    <row r="100" spans="5:66">
      <c r="E100">
        <f t="shared" si="95"/>
        <v>97</v>
      </c>
      <c r="F100" s="9">
        <f t="shared" si="82"/>
        <v>76.999999999999545</v>
      </c>
      <c r="G100" s="132">
        <f t="shared" si="54"/>
        <v>0</v>
      </c>
      <c r="H100" s="133">
        <f t="shared" si="91"/>
        <v>1</v>
      </c>
      <c r="I100" s="31">
        <f t="shared" si="67"/>
        <v>1571128.3147792299</v>
      </c>
      <c r="J100" s="31">
        <f t="shared" si="55"/>
        <v>7647.5465168301116</v>
      </c>
      <c r="K100" s="163">
        <f t="shared" si="56"/>
        <v>-20</v>
      </c>
      <c r="L100" s="163">
        <f t="shared" si="68"/>
        <v>-1309.2735956493584</v>
      </c>
      <c r="M100" s="163">
        <f t="shared" si="93"/>
        <v>-11783.462360844223</v>
      </c>
      <c r="N100" s="163">
        <f t="shared" si="69"/>
        <v>-1492.5718990402686</v>
      </c>
      <c r="O100" s="84">
        <f t="shared" si="57"/>
        <v>-17488.599999999999</v>
      </c>
      <c r="P100" s="31">
        <f t="shared" si="58"/>
        <v>1546681.953440526</v>
      </c>
      <c r="Q100" s="5"/>
      <c r="R100">
        <f t="shared" ca="1" si="70"/>
        <v>217</v>
      </c>
      <c r="S100" s="133">
        <f t="shared" ca="1" si="71"/>
        <v>86.68</v>
      </c>
      <c r="T100" s="132">
        <f t="shared" ca="1" si="59"/>
        <v>1.4704480690580723E-2</v>
      </c>
      <c r="U100" s="133">
        <f t="shared" ca="1" si="83"/>
        <v>0.36870768388203323</v>
      </c>
      <c r="V100" s="31">
        <f t="shared" ca="1" si="72"/>
        <v>316026.68148429581</v>
      </c>
      <c r="W100" s="31">
        <f t="shared" ca="1" si="60"/>
        <v>1538.2758521223716</v>
      </c>
      <c r="X100" s="163">
        <f t="shared" ca="1" si="84"/>
        <v>-7.3741536776406651</v>
      </c>
      <c r="Y100" s="163">
        <f t="shared" ca="1" si="85"/>
        <v>-263.35556790357987</v>
      </c>
      <c r="Z100" s="163">
        <f t="shared" ca="1" si="73"/>
        <v>0</v>
      </c>
      <c r="AA100" s="163">
        <f t="shared" ca="1" si="86"/>
        <v>-300.22534741008104</v>
      </c>
      <c r="AB100" s="84">
        <f t="shared" ca="1" si="61"/>
        <v>-2298.7899117935726</v>
      </c>
      <c r="AC100" s="160">
        <f t="shared" si="62"/>
        <v>0</v>
      </c>
      <c r="AD100" s="31">
        <f t="shared" ca="1" si="63"/>
        <v>314695.21235563327</v>
      </c>
      <c r="AE100" s="5"/>
      <c r="AF100" s="151">
        <f t="shared" ca="1" si="64"/>
        <v>-6234.722009561001</v>
      </c>
      <c r="AG100" s="151">
        <f t="shared" ca="1" si="65"/>
        <v>853508.69025099825</v>
      </c>
      <c r="AH100" s="5"/>
      <c r="AI100" s="5"/>
      <c r="AL100" s="2"/>
      <c r="AM100" s="2"/>
      <c r="AN100" s="2"/>
      <c r="AO100" s="2"/>
      <c r="AS100" s="55">
        <f t="shared" si="77"/>
        <v>9</v>
      </c>
      <c r="AT100" s="56">
        <f t="shared" si="88"/>
        <v>97</v>
      </c>
      <c r="AU100" s="57">
        <f t="shared" si="89"/>
        <v>0.62293988335563188</v>
      </c>
      <c r="AV100" s="58">
        <f t="shared" si="78"/>
        <v>4.8675505653430484E-3</v>
      </c>
      <c r="AW100" s="59">
        <f t="shared" si="79"/>
        <v>1.004867550565343</v>
      </c>
      <c r="AX100" s="60">
        <f>PRODUCT(AW$4:AW100)</f>
        <v>1.6016062106270976</v>
      </c>
      <c r="AZ100" s="71">
        <f t="shared" si="90"/>
        <v>97</v>
      </c>
      <c r="BA100" s="72">
        <f t="shared" ca="1" si="96"/>
        <v>1.004867550565343</v>
      </c>
      <c r="BB100" s="72">
        <f t="shared" ca="1" si="96"/>
        <v>1.004867550565343</v>
      </c>
      <c r="BC100" s="72">
        <f t="shared" ca="1" si="96"/>
        <v>1.004867550565343</v>
      </c>
      <c r="BD100" s="72">
        <f t="shared" ca="1" si="96"/>
        <v>1.004867550565343</v>
      </c>
      <c r="BE100" s="72">
        <f t="shared" ca="1" si="96"/>
        <v>1.004867550565343</v>
      </c>
      <c r="BF100" s="72">
        <f t="shared" ca="1" si="96"/>
        <v>1.004867550565343</v>
      </c>
      <c r="BG100" s="72">
        <f t="shared" ca="1" si="96"/>
        <v>1.004867550565343</v>
      </c>
      <c r="BH100" s="72">
        <f t="shared" ca="1" si="96"/>
        <v>1.004867550565343</v>
      </c>
      <c r="BI100" s="72">
        <f t="shared" ca="1" si="96"/>
        <v>1.004867550565343</v>
      </c>
      <c r="BJ100" s="72">
        <f t="shared" ca="1" si="96"/>
        <v>1.004867550565343</v>
      </c>
      <c r="BK100" s="72">
        <f t="shared" ca="1" si="96"/>
        <v>1.004867550565343</v>
      </c>
      <c r="BL100" s="72">
        <f t="shared" ca="1" si="96"/>
        <v>1.004867550565343</v>
      </c>
      <c r="BM100" s="72">
        <f t="shared" ref="BM100:BM131" ca="1" si="97">PRODUCT(BA100:BL100)-1</f>
        <v>6.0000000000000275E-2</v>
      </c>
      <c r="BN100" s="73">
        <f t="shared" ca="1" si="80"/>
        <v>284.88457209180575</v>
      </c>
    </row>
    <row r="101" spans="5:66">
      <c r="E101">
        <f t="shared" si="95"/>
        <v>98</v>
      </c>
      <c r="F101" s="9">
        <f t="shared" si="82"/>
        <v>77.083333333332874</v>
      </c>
      <c r="G101" s="132">
        <f t="shared" si="54"/>
        <v>0</v>
      </c>
      <c r="H101" s="133">
        <f t="shared" si="91"/>
        <v>1</v>
      </c>
      <c r="I101" s="31">
        <f t="shared" si="67"/>
        <v>1546681.953440526</v>
      </c>
      <c r="J101" s="31">
        <f t="shared" si="55"/>
        <v>7528.5526168753231</v>
      </c>
      <c r="K101" s="163">
        <f t="shared" si="56"/>
        <v>-20</v>
      </c>
      <c r="L101" s="163">
        <f t="shared" si="68"/>
        <v>-1288.9016278671052</v>
      </c>
      <c r="M101" s="163">
        <f t="shared" si="93"/>
        <v>0</v>
      </c>
      <c r="N101" s="163">
        <f t="shared" si="69"/>
        <v>-1469.3478557685</v>
      </c>
      <c r="O101" s="84">
        <f t="shared" si="57"/>
        <v>-17488.599999999999</v>
      </c>
      <c r="P101" s="31">
        <f t="shared" si="58"/>
        <v>1533943.6565737659</v>
      </c>
      <c r="Q101" s="5"/>
      <c r="R101">
        <f t="shared" ca="1" si="70"/>
        <v>218</v>
      </c>
      <c r="S101" s="133">
        <f t="shared" ca="1" si="71"/>
        <v>86.76</v>
      </c>
      <c r="T101" s="132">
        <f t="shared" ca="1" si="59"/>
        <v>1.4704480690580723E-2</v>
      </c>
      <c r="U101" s="133">
        <f t="shared" ca="1" si="83"/>
        <v>0.36328602886392114</v>
      </c>
      <c r="V101" s="31">
        <f t="shared" ca="1" si="72"/>
        <v>310067.78268213168</v>
      </c>
      <c r="W101" s="31">
        <f t="shared" ca="1" si="60"/>
        <v>1509.2706108890757</v>
      </c>
      <c r="X101" s="163">
        <f t="shared" ca="1" si="84"/>
        <v>-7.2657205772784224</v>
      </c>
      <c r="Y101" s="163">
        <f t="shared" ca="1" si="85"/>
        <v>-258.38981890177644</v>
      </c>
      <c r="Z101" s="163">
        <f t="shared" ca="1" si="73"/>
        <v>0</v>
      </c>
      <c r="AA101" s="163">
        <f t="shared" ca="1" si="86"/>
        <v>-294.56439354802518</v>
      </c>
      <c r="AB101" s="84">
        <f t="shared" ca="1" si="61"/>
        <v>-2264.9873999239026</v>
      </c>
      <c r="AC101" s="160">
        <f t="shared" si="62"/>
        <v>0</v>
      </c>
      <c r="AD101" s="31">
        <f t="shared" ca="1" si="63"/>
        <v>308751.8459600698</v>
      </c>
      <c r="AE101" s="5"/>
      <c r="AF101" s="151">
        <f t="shared" ca="1" si="64"/>
        <v>-6234.7220095610019</v>
      </c>
      <c r="AG101" s="151">
        <f t="shared" ca="1" si="65"/>
        <v>849886.37445157953</v>
      </c>
      <c r="AH101" s="5"/>
      <c r="AI101" s="5"/>
      <c r="AL101" s="2"/>
      <c r="AM101" s="2"/>
      <c r="AN101" s="2"/>
      <c r="AO101" s="2"/>
      <c r="AS101" s="55">
        <f t="shared" si="77"/>
        <v>9</v>
      </c>
      <c r="AT101" s="56">
        <f t="shared" si="88"/>
        <v>98</v>
      </c>
      <c r="AU101" s="57">
        <f t="shared" si="89"/>
        <v>0.61990769197422946</v>
      </c>
      <c r="AV101" s="58">
        <f t="shared" si="78"/>
        <v>4.8675505653430484E-3</v>
      </c>
      <c r="AW101" s="59">
        <f t="shared" si="79"/>
        <v>1.004867550565343</v>
      </c>
      <c r="AX101" s="60">
        <f>PRODUCT(AW$4:AW101)</f>
        <v>1.6094021098430924</v>
      </c>
      <c r="AZ101" s="71">
        <f t="shared" si="90"/>
        <v>98</v>
      </c>
      <c r="BA101" s="72">
        <f t="shared" ca="1" si="96"/>
        <v>1.004867550565343</v>
      </c>
      <c r="BB101" s="72">
        <f t="shared" ca="1" si="96"/>
        <v>1.004867550565343</v>
      </c>
      <c r="BC101" s="72">
        <f t="shared" ca="1" si="96"/>
        <v>1.004867550565343</v>
      </c>
      <c r="BD101" s="72">
        <f t="shared" ca="1" si="96"/>
        <v>1.004867550565343</v>
      </c>
      <c r="BE101" s="72">
        <f t="shared" ca="1" si="96"/>
        <v>1.004867550565343</v>
      </c>
      <c r="BF101" s="72">
        <f t="shared" ca="1" si="96"/>
        <v>1.004867550565343</v>
      </c>
      <c r="BG101" s="72">
        <f t="shared" ca="1" si="96"/>
        <v>1.004867550565343</v>
      </c>
      <c r="BH101" s="72">
        <f t="shared" ca="1" si="96"/>
        <v>1.004867550565343</v>
      </c>
      <c r="BI101" s="72">
        <f t="shared" ca="1" si="96"/>
        <v>1.004867550565343</v>
      </c>
      <c r="BJ101" s="72">
        <f t="shared" ca="1" si="96"/>
        <v>1.004867550565343</v>
      </c>
      <c r="BK101" s="72">
        <f t="shared" ca="1" si="96"/>
        <v>1.004867550565343</v>
      </c>
      <c r="BL101" s="72">
        <f t="shared" ca="1" si="96"/>
        <v>1.004867550565343</v>
      </c>
      <c r="BM101" s="72">
        <f t="shared" ca="1" si="97"/>
        <v>6.0000000000000275E-2</v>
      </c>
      <c r="BN101" s="73">
        <f t="shared" ref="BN101:BN132" ca="1" si="98">PRODUCT(BA101:BL101)*BN100</f>
        <v>301.97764641731419</v>
      </c>
    </row>
    <row r="102" spans="5:66">
      <c r="E102">
        <f t="shared" si="95"/>
        <v>99</v>
      </c>
      <c r="F102" s="9">
        <f t="shared" si="82"/>
        <v>77.166666666666202</v>
      </c>
      <c r="G102" s="132">
        <f t="shared" si="54"/>
        <v>0</v>
      </c>
      <c r="H102" s="133">
        <f t="shared" si="91"/>
        <v>1</v>
      </c>
      <c r="I102" s="31">
        <f t="shared" si="67"/>
        <v>1533943.6565737659</v>
      </c>
      <c r="J102" s="31">
        <f t="shared" si="55"/>
        <v>7466.5483127600173</v>
      </c>
      <c r="K102" s="163">
        <f t="shared" si="56"/>
        <v>-20</v>
      </c>
      <c r="L102" s="163">
        <f t="shared" si="68"/>
        <v>-1278.2863804781384</v>
      </c>
      <c r="M102" s="163">
        <f t="shared" si="93"/>
        <v>0</v>
      </c>
      <c r="N102" s="163">
        <f t="shared" si="69"/>
        <v>-1457.246473745078</v>
      </c>
      <c r="O102" s="84">
        <f t="shared" si="57"/>
        <v>-17488.599999999999</v>
      </c>
      <c r="P102" s="31">
        <f t="shared" si="58"/>
        <v>1521166.0720323026</v>
      </c>
      <c r="Q102" s="5"/>
      <c r="R102">
        <f t="shared" ca="1" si="70"/>
        <v>219</v>
      </c>
      <c r="S102" s="133">
        <f t="shared" ca="1" si="71"/>
        <v>86.84</v>
      </c>
      <c r="T102" s="132">
        <f t="shared" ca="1" si="59"/>
        <v>1.4704480690580723E-2</v>
      </c>
      <c r="U102" s="133">
        <f t="shared" ca="1" si="83"/>
        <v>0.35794409646733388</v>
      </c>
      <c r="V102" s="31">
        <f t="shared" ca="1" si="72"/>
        <v>304211.81040296878</v>
      </c>
      <c r="W102" s="31">
        <f t="shared" ca="1" si="60"/>
        <v>1480.7663697110029</v>
      </c>
      <c r="X102" s="163">
        <f t="shared" ca="1" si="84"/>
        <v>-7.1588819293466779</v>
      </c>
      <c r="Y102" s="163">
        <f t="shared" ca="1" si="85"/>
        <v>-253.50984200247399</v>
      </c>
      <c r="Z102" s="163">
        <f t="shared" ca="1" si="73"/>
        <v>0</v>
      </c>
      <c r="AA102" s="163">
        <f t="shared" ca="1" si="86"/>
        <v>-289.00121988282041</v>
      </c>
      <c r="AB102" s="84">
        <f t="shared" ca="1" si="61"/>
        <v>-2231.6819364373127</v>
      </c>
      <c r="AC102" s="160">
        <f t="shared" si="62"/>
        <v>0</v>
      </c>
      <c r="AD102" s="31">
        <f t="shared" ca="1" si="63"/>
        <v>302911.22489242785</v>
      </c>
      <c r="AE102" s="5"/>
      <c r="AF102" s="151">
        <f t="shared" ca="1" si="64"/>
        <v>-6234.722009561001</v>
      </c>
      <c r="AG102" s="151">
        <f t="shared" ca="1" si="65"/>
        <v>846252.88664335234</v>
      </c>
      <c r="AH102" s="5"/>
      <c r="AI102" s="5"/>
      <c r="AL102" s="2"/>
      <c r="AM102" s="2"/>
      <c r="AN102" s="2"/>
      <c r="AO102" s="2"/>
      <c r="AS102" s="55">
        <f t="shared" si="77"/>
        <v>9</v>
      </c>
      <c r="AT102" s="56">
        <f t="shared" si="88"/>
        <v>99</v>
      </c>
      <c r="AU102" s="57">
        <f t="shared" si="89"/>
        <v>0.61689025993769975</v>
      </c>
      <c r="AV102" s="58">
        <f t="shared" si="78"/>
        <v>4.8675505653430484E-3</v>
      </c>
      <c r="AW102" s="59">
        <f t="shared" si="79"/>
        <v>1.004867550565343</v>
      </c>
      <c r="AX102" s="60">
        <f>PRODUCT(AW$4:AW102)</f>
        <v>1.6172359559927234</v>
      </c>
      <c r="AZ102" s="71">
        <f t="shared" si="90"/>
        <v>99</v>
      </c>
      <c r="BA102" s="72">
        <f t="shared" ca="1" si="96"/>
        <v>1.004867550565343</v>
      </c>
      <c r="BB102" s="72">
        <f t="shared" ca="1" si="96"/>
        <v>1.004867550565343</v>
      </c>
      <c r="BC102" s="72">
        <f t="shared" ca="1" si="96"/>
        <v>1.004867550565343</v>
      </c>
      <c r="BD102" s="72">
        <f t="shared" ca="1" si="96"/>
        <v>1.004867550565343</v>
      </c>
      <c r="BE102" s="72">
        <f t="shared" ca="1" si="96"/>
        <v>1.004867550565343</v>
      </c>
      <c r="BF102" s="72">
        <f t="shared" ca="1" si="96"/>
        <v>1.004867550565343</v>
      </c>
      <c r="BG102" s="72">
        <f t="shared" ca="1" si="96"/>
        <v>1.004867550565343</v>
      </c>
      <c r="BH102" s="72">
        <f t="shared" ca="1" si="96"/>
        <v>1.004867550565343</v>
      </c>
      <c r="BI102" s="72">
        <f t="shared" ca="1" si="96"/>
        <v>1.004867550565343</v>
      </c>
      <c r="BJ102" s="72">
        <f t="shared" ca="1" si="96"/>
        <v>1.004867550565343</v>
      </c>
      <c r="BK102" s="72">
        <f t="shared" ca="1" si="96"/>
        <v>1.004867550565343</v>
      </c>
      <c r="BL102" s="72">
        <f t="shared" ca="1" si="96"/>
        <v>1.004867550565343</v>
      </c>
      <c r="BM102" s="72">
        <f t="shared" ca="1" si="97"/>
        <v>6.0000000000000275E-2</v>
      </c>
      <c r="BN102" s="73">
        <f t="shared" ca="1" si="98"/>
        <v>320.09630520235311</v>
      </c>
    </row>
    <row r="103" spans="5:66">
      <c r="E103">
        <f t="shared" si="95"/>
        <v>100</v>
      </c>
      <c r="F103" s="9">
        <f t="shared" si="82"/>
        <v>77.249999999999531</v>
      </c>
      <c r="G103" s="132">
        <f t="shared" si="54"/>
        <v>0</v>
      </c>
      <c r="H103" s="133">
        <f t="shared" si="91"/>
        <v>1</v>
      </c>
      <c r="I103" s="31">
        <f t="shared" si="67"/>
        <v>1521166.0720323026</v>
      </c>
      <c r="J103" s="31">
        <f t="shared" si="55"/>
        <v>7404.3527739014989</v>
      </c>
      <c r="K103" s="163">
        <f t="shared" si="56"/>
        <v>-20</v>
      </c>
      <c r="L103" s="163">
        <f t="shared" si="68"/>
        <v>-1267.6383933602522</v>
      </c>
      <c r="M103" s="163">
        <f t="shared" si="93"/>
        <v>0</v>
      </c>
      <c r="N103" s="163">
        <f t="shared" si="69"/>
        <v>-1445.1077684306877</v>
      </c>
      <c r="O103" s="84">
        <f t="shared" si="57"/>
        <v>-17488.599999999999</v>
      </c>
      <c r="P103" s="31">
        <f t="shared" si="58"/>
        <v>1508349.0786444133</v>
      </c>
      <c r="Q103" s="5"/>
      <c r="R103">
        <f t="shared" ca="1" si="70"/>
        <v>220</v>
      </c>
      <c r="S103" s="133">
        <f t="shared" ca="1" si="71"/>
        <v>86.92</v>
      </c>
      <c r="T103" s="132">
        <f t="shared" ca="1" si="59"/>
        <v>1.4704480690580723E-2</v>
      </c>
      <c r="U103" s="133">
        <f t="shared" ca="1" si="83"/>
        <v>0.35268071441252263</v>
      </c>
      <c r="V103" s="31">
        <f t="shared" ca="1" si="72"/>
        <v>298457.07263503701</v>
      </c>
      <c r="W103" s="31">
        <f t="shared" ca="1" si="60"/>
        <v>1452.7548926353056</v>
      </c>
      <c r="X103" s="163">
        <f t="shared" ca="1" si="84"/>
        <v>-7.0536142882504524</v>
      </c>
      <c r="Y103" s="163">
        <f t="shared" ca="1" si="85"/>
        <v>-248.7142271958642</v>
      </c>
      <c r="Z103" s="163">
        <f t="shared" ca="1" si="73"/>
        <v>0</v>
      </c>
      <c r="AA103" s="163">
        <f t="shared" ca="1" si="86"/>
        <v>-283.53421900328522</v>
      </c>
      <c r="AB103" s="84">
        <f t="shared" ca="1" si="61"/>
        <v>-2198.8662124954531</v>
      </c>
      <c r="AC103" s="160">
        <f t="shared" si="62"/>
        <v>0</v>
      </c>
      <c r="AD103" s="31">
        <f t="shared" ca="1" si="63"/>
        <v>297171.65925468947</v>
      </c>
      <c r="AE103" s="5"/>
      <c r="AF103" s="151">
        <f t="shared" ca="1" si="64"/>
        <v>-6234.7220095610019</v>
      </c>
      <c r="AG103" s="151">
        <f t="shared" ca="1" si="65"/>
        <v>842608.19236941473</v>
      </c>
      <c r="AH103" s="5"/>
      <c r="AI103" s="5"/>
      <c r="AL103" s="2"/>
      <c r="AM103" s="2"/>
      <c r="AN103" s="2"/>
      <c r="AO103" s="2"/>
      <c r="AS103" s="55">
        <f t="shared" si="77"/>
        <v>9</v>
      </c>
      <c r="AT103" s="56">
        <f t="shared" si="88"/>
        <v>100</v>
      </c>
      <c r="AU103" s="57">
        <f t="shared" si="89"/>
        <v>0.6138875154041854</v>
      </c>
      <c r="AV103" s="58">
        <f t="shared" si="78"/>
        <v>4.8675505653430484E-3</v>
      </c>
      <c r="AW103" s="59">
        <f t="shared" si="79"/>
        <v>1.004867550565343</v>
      </c>
      <c r="AX103" s="60">
        <f>PRODUCT(AW$4:AW103)</f>
        <v>1.6251079337846088</v>
      </c>
      <c r="AZ103" s="71">
        <f t="shared" si="90"/>
        <v>100</v>
      </c>
      <c r="BA103" s="72">
        <f t="shared" ca="1" si="96"/>
        <v>1.004867550565343</v>
      </c>
      <c r="BB103" s="72">
        <f t="shared" ca="1" si="96"/>
        <v>1.004867550565343</v>
      </c>
      <c r="BC103" s="72">
        <f t="shared" ca="1" si="96"/>
        <v>1.004867550565343</v>
      </c>
      <c r="BD103" s="72">
        <f t="shared" ca="1" si="96"/>
        <v>1.004867550565343</v>
      </c>
      <c r="BE103" s="72">
        <f t="shared" ca="1" si="96"/>
        <v>1.004867550565343</v>
      </c>
      <c r="BF103" s="72">
        <f t="shared" ca="1" si="96"/>
        <v>1.004867550565343</v>
      </c>
      <c r="BG103" s="72">
        <f t="shared" ca="1" si="96"/>
        <v>1.004867550565343</v>
      </c>
      <c r="BH103" s="72">
        <f t="shared" ca="1" si="96"/>
        <v>1.004867550565343</v>
      </c>
      <c r="BI103" s="72">
        <f t="shared" ca="1" si="96"/>
        <v>1.004867550565343</v>
      </c>
      <c r="BJ103" s="72">
        <f t="shared" ca="1" si="96"/>
        <v>1.004867550565343</v>
      </c>
      <c r="BK103" s="72">
        <f t="shared" ca="1" si="96"/>
        <v>1.004867550565343</v>
      </c>
      <c r="BL103" s="72">
        <f t="shared" ca="1" si="96"/>
        <v>1.004867550565343</v>
      </c>
      <c r="BM103" s="72">
        <f t="shared" ca="1" si="97"/>
        <v>6.0000000000000275E-2</v>
      </c>
      <c r="BN103" s="73">
        <f t="shared" ca="1" si="98"/>
        <v>339.30208351449437</v>
      </c>
    </row>
    <row r="104" spans="5:66">
      <c r="E104">
        <f t="shared" si="95"/>
        <v>101</v>
      </c>
      <c r="F104" s="9">
        <f t="shared" si="82"/>
        <v>77.33333333333286</v>
      </c>
      <c r="G104" s="132">
        <f t="shared" si="54"/>
        <v>0</v>
      </c>
      <c r="H104" s="133">
        <f t="shared" si="91"/>
        <v>1</v>
      </c>
      <c r="I104" s="31">
        <f t="shared" si="67"/>
        <v>1508349.0786444133</v>
      </c>
      <c r="J104" s="31">
        <f t="shared" si="55"/>
        <v>7341.9654104902802</v>
      </c>
      <c r="K104" s="163">
        <f t="shared" si="56"/>
        <v>-20</v>
      </c>
      <c r="L104" s="163">
        <f t="shared" si="68"/>
        <v>-1256.9575655370111</v>
      </c>
      <c r="M104" s="163">
        <f t="shared" si="93"/>
        <v>0</v>
      </c>
      <c r="N104" s="163">
        <f t="shared" si="69"/>
        <v>-1432.9316247121931</v>
      </c>
      <c r="O104" s="84">
        <f t="shared" si="57"/>
        <v>-17488.599999999999</v>
      </c>
      <c r="P104" s="31">
        <f t="shared" si="58"/>
        <v>1495492.5548646543</v>
      </c>
      <c r="Q104" s="5"/>
      <c r="R104">
        <f t="shared" ca="1" si="70"/>
        <v>221</v>
      </c>
      <c r="S104" s="133">
        <f t="shared" ca="1" si="71"/>
        <v>87</v>
      </c>
      <c r="T104" s="132">
        <f t="shared" ca="1" si="59"/>
        <v>1.4704480690580723E-2</v>
      </c>
      <c r="U104" s="133">
        <f t="shared" ca="1" si="83"/>
        <v>0.3474947276575035</v>
      </c>
      <c r="V104" s="31">
        <f t="shared" ca="1" si="72"/>
        <v>292801.90432939108</v>
      </c>
      <c r="W104" s="31">
        <f t="shared" ca="1" si="60"/>
        <v>1425.2280749520487</v>
      </c>
      <c r="X104" s="163">
        <f t="shared" ca="1" si="84"/>
        <v>-6.9498945531500702</v>
      </c>
      <c r="Y104" s="163">
        <f t="shared" ca="1" si="85"/>
        <v>-244.00158694115925</v>
      </c>
      <c r="Z104" s="163">
        <f t="shared" ca="1" si="73"/>
        <v>0</v>
      </c>
      <c r="AA104" s="163">
        <f t="shared" ca="1" si="86"/>
        <v>-278.16180911292156</v>
      </c>
      <c r="AB104" s="84">
        <f t="shared" ca="1" si="61"/>
        <v>-2166.5330267326431</v>
      </c>
      <c r="AC104" s="160">
        <f t="shared" si="62"/>
        <v>0</v>
      </c>
      <c r="AD104" s="31">
        <f t="shared" ca="1" si="63"/>
        <v>291531.4860870032</v>
      </c>
      <c r="AE104" s="5"/>
      <c r="AF104" s="151">
        <f t="shared" ca="1" si="64"/>
        <v>-6234.722009561001</v>
      </c>
      <c r="AG104" s="151">
        <f t="shared" ca="1" si="65"/>
        <v>838952.25706659188</v>
      </c>
      <c r="AH104" s="5"/>
      <c r="AI104" s="5"/>
      <c r="AL104" s="2"/>
      <c r="AM104" s="2"/>
      <c r="AN104" s="2"/>
      <c r="AO104" s="2"/>
      <c r="AS104" s="55">
        <f t="shared" si="77"/>
        <v>9</v>
      </c>
      <c r="AT104" s="56">
        <f t="shared" si="88"/>
        <v>101</v>
      </c>
      <c r="AU104" s="57">
        <f t="shared" si="89"/>
        <v>0.61089938688152268</v>
      </c>
      <c r="AV104" s="58">
        <f t="shared" si="78"/>
        <v>4.8675505653430484E-3</v>
      </c>
      <c r="AW104" s="59">
        <f t="shared" si="79"/>
        <v>1.004867550565343</v>
      </c>
      <c r="AX104" s="60">
        <f>PRODUCT(AW$4:AW104)</f>
        <v>1.6330182288264457</v>
      </c>
      <c r="AZ104" s="71">
        <f t="shared" si="90"/>
        <v>101</v>
      </c>
      <c r="BA104" s="72">
        <f t="shared" ca="1" si="96"/>
        <v>1.004867550565343</v>
      </c>
      <c r="BB104" s="72">
        <f t="shared" ca="1" si="96"/>
        <v>1.004867550565343</v>
      </c>
      <c r="BC104" s="72">
        <f t="shared" ca="1" si="96"/>
        <v>1.004867550565343</v>
      </c>
      <c r="BD104" s="72">
        <f t="shared" ca="1" si="96"/>
        <v>1.004867550565343</v>
      </c>
      <c r="BE104" s="72">
        <f t="shared" ca="1" si="96"/>
        <v>1.004867550565343</v>
      </c>
      <c r="BF104" s="72">
        <f t="shared" ca="1" si="96"/>
        <v>1.004867550565343</v>
      </c>
      <c r="BG104" s="72">
        <f t="shared" ca="1" si="96"/>
        <v>1.004867550565343</v>
      </c>
      <c r="BH104" s="72">
        <f t="shared" ca="1" si="96"/>
        <v>1.004867550565343</v>
      </c>
      <c r="BI104" s="72">
        <f t="shared" ca="1" si="96"/>
        <v>1.004867550565343</v>
      </c>
      <c r="BJ104" s="72">
        <f t="shared" ca="1" si="96"/>
        <v>1.004867550565343</v>
      </c>
      <c r="BK104" s="72">
        <f t="shared" ca="1" si="96"/>
        <v>1.004867550565343</v>
      </c>
      <c r="BL104" s="72">
        <f t="shared" ca="1" si="96"/>
        <v>1.004867550565343</v>
      </c>
      <c r="BM104" s="72">
        <f t="shared" ca="1" si="97"/>
        <v>6.0000000000000275E-2</v>
      </c>
      <c r="BN104" s="73">
        <f t="shared" ca="1" si="98"/>
        <v>359.66020852536411</v>
      </c>
    </row>
    <row r="105" spans="5:66">
      <c r="E105">
        <f t="shared" si="95"/>
        <v>102</v>
      </c>
      <c r="F105" s="9">
        <f t="shared" si="82"/>
        <v>77.416666666666188</v>
      </c>
      <c r="G105" s="132">
        <f t="shared" si="54"/>
        <v>0</v>
      </c>
      <c r="H105" s="133">
        <f t="shared" si="91"/>
        <v>1</v>
      </c>
      <c r="I105" s="31">
        <f t="shared" si="67"/>
        <v>1495492.5548646543</v>
      </c>
      <c r="J105" s="31">
        <f t="shared" si="55"/>
        <v>7279.3856308977684</v>
      </c>
      <c r="K105" s="163">
        <f t="shared" si="56"/>
        <v>-20</v>
      </c>
      <c r="L105" s="163">
        <f t="shared" si="68"/>
        <v>-1246.2437957205454</v>
      </c>
      <c r="M105" s="163">
        <f t="shared" si="93"/>
        <v>0</v>
      </c>
      <c r="N105" s="163">
        <f t="shared" si="69"/>
        <v>-1420.7179271214218</v>
      </c>
      <c r="O105" s="84">
        <f t="shared" si="57"/>
        <v>-17488.599999999999</v>
      </c>
      <c r="P105" s="31">
        <f t="shared" si="58"/>
        <v>1482596.37877271</v>
      </c>
      <c r="Q105" s="5"/>
      <c r="R105">
        <f t="shared" ca="1" si="70"/>
        <v>222</v>
      </c>
      <c r="S105" s="133">
        <f t="shared" ca="1" si="71"/>
        <v>87.08</v>
      </c>
      <c r="T105" s="132">
        <f t="shared" ca="1" si="59"/>
        <v>1.4704480690580723E-2</v>
      </c>
      <c r="U105" s="133">
        <f t="shared" ca="1" si="83"/>
        <v>0.34238499814458512</v>
      </c>
      <c r="V105" s="31">
        <f t="shared" ca="1" si="72"/>
        <v>287244.66697914054</v>
      </c>
      <c r="W105" s="31">
        <f t="shared" ca="1" si="60"/>
        <v>1398.1779411460911</v>
      </c>
      <c r="X105" s="163">
        <f t="shared" ca="1" si="84"/>
        <v>-6.8476999628917028</v>
      </c>
      <c r="Y105" s="163">
        <f t="shared" ca="1" si="85"/>
        <v>-239.37055581595047</v>
      </c>
      <c r="Z105" s="163">
        <f t="shared" ca="1" si="73"/>
        <v>0</v>
      </c>
      <c r="AA105" s="163">
        <f t="shared" ca="1" si="86"/>
        <v>-272.88243363018358</v>
      </c>
      <c r="AB105" s="84">
        <f t="shared" ca="1" si="61"/>
        <v>-2134.6752836755472</v>
      </c>
      <c r="AC105" s="160">
        <f t="shared" si="62"/>
        <v>0</v>
      </c>
      <c r="AD105" s="31">
        <f t="shared" ca="1" si="63"/>
        <v>285989.06894720206</v>
      </c>
      <c r="AE105" s="5"/>
      <c r="AF105" s="151">
        <f t="shared" ca="1" si="64"/>
        <v>-6234.722009561001</v>
      </c>
      <c r="AG105" s="151">
        <f t="shared" ca="1" si="65"/>
        <v>835285.04606510908</v>
      </c>
      <c r="AH105" s="5"/>
      <c r="AI105" s="5"/>
      <c r="AL105" s="2"/>
      <c r="AM105" s="2"/>
      <c r="AN105" s="2"/>
      <c r="AO105" s="2"/>
      <c r="AS105" s="55">
        <f t="shared" si="77"/>
        <v>9</v>
      </c>
      <c r="AT105" s="56">
        <f t="shared" si="88"/>
        <v>102</v>
      </c>
      <c r="AU105" s="57">
        <f t="shared" si="89"/>
        <v>0.6079258032255398</v>
      </c>
      <c r="AV105" s="58">
        <f t="shared" si="78"/>
        <v>4.8675505653430484E-3</v>
      </c>
      <c r="AW105" s="59">
        <f t="shared" si="79"/>
        <v>1.004867550565343</v>
      </c>
      <c r="AX105" s="60">
        <f>PRODUCT(AW$4:AW105)</f>
        <v>1.6409670276293853</v>
      </c>
      <c r="AZ105" s="71">
        <f t="shared" si="90"/>
        <v>102</v>
      </c>
      <c r="BA105" s="72">
        <f t="shared" ref="BA105:BL114" ca="1" si="99">OFFSET($AW$3,($AZ105*12-12)+BA$3,0)</f>
        <v>1.004867550565343</v>
      </c>
      <c r="BB105" s="72">
        <f t="shared" ca="1" si="99"/>
        <v>1.004867550565343</v>
      </c>
      <c r="BC105" s="72">
        <f t="shared" ca="1" si="99"/>
        <v>1.004867550565343</v>
      </c>
      <c r="BD105" s="72">
        <f t="shared" ca="1" si="99"/>
        <v>1.004867550565343</v>
      </c>
      <c r="BE105" s="72">
        <f t="shared" ca="1" si="99"/>
        <v>1.004867550565343</v>
      </c>
      <c r="BF105" s="72">
        <f t="shared" ca="1" si="99"/>
        <v>1.004867550565343</v>
      </c>
      <c r="BG105" s="72">
        <f t="shared" ca="1" si="99"/>
        <v>1.004867550565343</v>
      </c>
      <c r="BH105" s="72">
        <f t="shared" ca="1" si="99"/>
        <v>1.004867550565343</v>
      </c>
      <c r="BI105" s="72">
        <f t="shared" ca="1" si="99"/>
        <v>1.004867550565343</v>
      </c>
      <c r="BJ105" s="72">
        <f t="shared" ca="1" si="99"/>
        <v>1.004867550565343</v>
      </c>
      <c r="BK105" s="72">
        <f t="shared" ca="1" si="99"/>
        <v>1.004867550565343</v>
      </c>
      <c r="BL105" s="72">
        <f t="shared" ca="1" si="99"/>
        <v>1.004867550565343</v>
      </c>
      <c r="BM105" s="72">
        <f t="shared" ca="1" si="97"/>
        <v>6.0000000000000275E-2</v>
      </c>
      <c r="BN105" s="73">
        <f t="shared" ca="1" si="98"/>
        <v>381.23982103688604</v>
      </c>
    </row>
    <row r="106" spans="5:66">
      <c r="E106">
        <f t="shared" si="95"/>
        <v>103</v>
      </c>
      <c r="F106" s="9">
        <f t="shared" si="82"/>
        <v>77.499999999999517</v>
      </c>
      <c r="G106" s="132">
        <f t="shared" si="54"/>
        <v>0</v>
      </c>
      <c r="H106" s="133">
        <f t="shared" si="91"/>
        <v>1</v>
      </c>
      <c r="I106" s="31">
        <f t="shared" si="67"/>
        <v>1482596.37877271</v>
      </c>
      <c r="J106" s="31">
        <f t="shared" si="55"/>
        <v>7216.6128416706606</v>
      </c>
      <c r="K106" s="163">
        <f t="shared" si="56"/>
        <v>-20</v>
      </c>
      <c r="L106" s="163">
        <f t="shared" si="68"/>
        <v>-1235.4969823105916</v>
      </c>
      <c r="M106" s="163">
        <f t="shared" si="93"/>
        <v>0</v>
      </c>
      <c r="N106" s="163">
        <f t="shared" si="69"/>
        <v>-1408.4665598340746</v>
      </c>
      <c r="O106" s="84">
        <f t="shared" si="57"/>
        <v>-17488.599999999999</v>
      </c>
      <c r="P106" s="31">
        <f t="shared" si="58"/>
        <v>1469660.4280722358</v>
      </c>
      <c r="Q106" s="5"/>
      <c r="R106">
        <f t="shared" ca="1" si="70"/>
        <v>223</v>
      </c>
      <c r="S106" s="133">
        <f t="shared" ca="1" si="71"/>
        <v>87.16</v>
      </c>
      <c r="T106" s="132">
        <f t="shared" ca="1" si="59"/>
        <v>1.4704480690580723E-2</v>
      </c>
      <c r="U106" s="133">
        <f t="shared" ca="1" si="83"/>
        <v>0.33735040455062354</v>
      </c>
      <c r="V106" s="31">
        <f t="shared" ca="1" si="72"/>
        <v>281783.74820515077</v>
      </c>
      <c r="W106" s="31">
        <f t="shared" ca="1" si="60"/>
        <v>1371.5966428804647</v>
      </c>
      <c r="X106" s="163">
        <f t="shared" ca="1" si="84"/>
        <v>-6.7470080910124706</v>
      </c>
      <c r="Y106" s="163">
        <f t="shared" ca="1" si="85"/>
        <v>-234.81979017095898</v>
      </c>
      <c r="Z106" s="163">
        <f t="shared" ca="1" si="73"/>
        <v>0</v>
      </c>
      <c r="AA106" s="163">
        <f t="shared" ca="1" si="86"/>
        <v>-267.69456079489328</v>
      </c>
      <c r="AB106" s="84">
        <f t="shared" ca="1" si="61"/>
        <v>-2103.2859921860804</v>
      </c>
      <c r="AC106" s="160">
        <f t="shared" si="62"/>
        <v>0</v>
      </c>
      <c r="AD106" s="31">
        <f t="shared" ca="1" si="63"/>
        <v>280542.79749678826</v>
      </c>
      <c r="AE106" s="5"/>
      <c r="AF106" s="151">
        <f t="shared" ca="1" si="64"/>
        <v>-6234.7220095610019</v>
      </c>
      <c r="AG106" s="151">
        <f t="shared" ca="1" si="65"/>
        <v>831606.52458826208</v>
      </c>
      <c r="AH106" s="5"/>
      <c r="AI106" s="5"/>
      <c r="AL106" s="2"/>
      <c r="AM106" s="2"/>
      <c r="AN106" s="2"/>
      <c r="AO106" s="2"/>
      <c r="AS106" s="55">
        <f t="shared" si="77"/>
        <v>9</v>
      </c>
      <c r="AT106" s="56">
        <f t="shared" si="88"/>
        <v>103</v>
      </c>
      <c r="AU106" s="57">
        <f t="shared" si="89"/>
        <v>0.60496669363836264</v>
      </c>
      <c r="AV106" s="58">
        <f t="shared" si="78"/>
        <v>4.8675505653430484E-3</v>
      </c>
      <c r="AW106" s="59">
        <f t="shared" si="79"/>
        <v>1.004867550565343</v>
      </c>
      <c r="AX106" s="60">
        <f>PRODUCT(AW$4:AW106)</f>
        <v>1.6489545176124321</v>
      </c>
      <c r="AZ106" s="71">
        <f t="shared" si="90"/>
        <v>103</v>
      </c>
      <c r="BA106" s="72">
        <f t="shared" ca="1" si="99"/>
        <v>1.004867550565343</v>
      </c>
      <c r="BB106" s="72">
        <f t="shared" ca="1" si="99"/>
        <v>1.004867550565343</v>
      </c>
      <c r="BC106" s="72">
        <f t="shared" ca="1" si="99"/>
        <v>1.004867550565343</v>
      </c>
      <c r="BD106" s="72">
        <f t="shared" ca="1" si="99"/>
        <v>1.004867550565343</v>
      </c>
      <c r="BE106" s="72">
        <f t="shared" ca="1" si="99"/>
        <v>1.004867550565343</v>
      </c>
      <c r="BF106" s="72">
        <f t="shared" ca="1" si="99"/>
        <v>1.004867550565343</v>
      </c>
      <c r="BG106" s="72">
        <f t="shared" ca="1" si="99"/>
        <v>1.004867550565343</v>
      </c>
      <c r="BH106" s="72">
        <f t="shared" ca="1" si="99"/>
        <v>1.004867550565343</v>
      </c>
      <c r="BI106" s="72">
        <f t="shared" ca="1" si="99"/>
        <v>1.004867550565343</v>
      </c>
      <c r="BJ106" s="72">
        <f t="shared" ca="1" si="99"/>
        <v>1.004867550565343</v>
      </c>
      <c r="BK106" s="72">
        <f t="shared" ca="1" si="99"/>
        <v>1.004867550565343</v>
      </c>
      <c r="BL106" s="72">
        <f t="shared" ca="1" si="99"/>
        <v>1.004867550565343</v>
      </c>
      <c r="BM106" s="72">
        <f t="shared" ca="1" si="97"/>
        <v>6.0000000000000275E-2</v>
      </c>
      <c r="BN106" s="73">
        <f t="shared" ca="1" si="98"/>
        <v>404.11421029909928</v>
      </c>
    </row>
    <row r="107" spans="5:66">
      <c r="E107">
        <f t="shared" si="95"/>
        <v>104</v>
      </c>
      <c r="F107" s="9">
        <f t="shared" si="82"/>
        <v>77.583333333332845</v>
      </c>
      <c r="G107" s="132">
        <f t="shared" si="54"/>
        <v>0</v>
      </c>
      <c r="H107" s="133">
        <f t="shared" si="91"/>
        <v>1</v>
      </c>
      <c r="I107" s="31">
        <f t="shared" si="67"/>
        <v>1469660.4280722358</v>
      </c>
      <c r="J107" s="31">
        <f t="shared" si="55"/>
        <v>7153.6464475253179</v>
      </c>
      <c r="K107" s="163">
        <f t="shared" si="56"/>
        <v>-20</v>
      </c>
      <c r="L107" s="163">
        <f t="shared" si="68"/>
        <v>-1224.7170233935299</v>
      </c>
      <c r="M107" s="163">
        <f t="shared" si="93"/>
        <v>0</v>
      </c>
      <c r="N107" s="163">
        <f t="shared" si="69"/>
        <v>-1396.1774066686241</v>
      </c>
      <c r="O107" s="84">
        <f t="shared" si="57"/>
        <v>-17488.599999999999</v>
      </c>
      <c r="P107" s="31">
        <f t="shared" si="58"/>
        <v>1456684.5800896988</v>
      </c>
      <c r="Q107" s="5"/>
      <c r="R107">
        <f t="shared" ca="1" si="70"/>
        <v>224</v>
      </c>
      <c r="S107" s="133">
        <f t="shared" ca="1" si="71"/>
        <v>87.24</v>
      </c>
      <c r="T107" s="132">
        <f t="shared" ca="1" si="59"/>
        <v>1.4704480690580723E-2</v>
      </c>
      <c r="U107" s="133">
        <f t="shared" ca="1" si="83"/>
        <v>0.33238984204094929</v>
      </c>
      <c r="V107" s="31">
        <f t="shared" ca="1" si="72"/>
        <v>276417.56134811527</v>
      </c>
      <c r="W107" s="31">
        <f t="shared" ca="1" si="60"/>
        <v>1345.4764570107652</v>
      </c>
      <c r="X107" s="163">
        <f t="shared" ca="1" si="84"/>
        <v>-6.6477968408189856</v>
      </c>
      <c r="Y107" s="163">
        <f t="shared" ca="1" si="85"/>
        <v>-230.34796779009608</v>
      </c>
      <c r="Z107" s="163">
        <f t="shared" ca="1" si="73"/>
        <v>0</v>
      </c>
      <c r="AA107" s="163">
        <f t="shared" ca="1" si="86"/>
        <v>-262.59668328070956</v>
      </c>
      <c r="AB107" s="84">
        <f t="shared" ca="1" si="61"/>
        <v>-2072.3582639272113</v>
      </c>
      <c r="AC107" s="160">
        <f t="shared" si="62"/>
        <v>0</v>
      </c>
      <c r="AD107" s="31">
        <f t="shared" ca="1" si="63"/>
        <v>275191.08709328721</v>
      </c>
      <c r="AE107" s="5"/>
      <c r="AF107" s="151">
        <f t="shared" ca="1" si="64"/>
        <v>-6234.7220095610019</v>
      </c>
      <c r="AG107" s="151">
        <f t="shared" ca="1" si="65"/>
        <v>827916.65775208804</v>
      </c>
      <c r="AH107" s="5"/>
      <c r="AI107" s="5"/>
      <c r="AL107" s="2"/>
      <c r="AM107" s="2"/>
      <c r="AN107" s="2"/>
      <c r="AO107" s="2"/>
      <c r="AS107" s="55">
        <f t="shared" si="77"/>
        <v>9</v>
      </c>
      <c r="AT107" s="56">
        <f t="shared" si="88"/>
        <v>104</v>
      </c>
      <c r="AU107" s="57">
        <f t="shared" si="89"/>
        <v>0.60202198766672954</v>
      </c>
      <c r="AV107" s="58">
        <f t="shared" si="78"/>
        <v>4.8675505653430484E-3</v>
      </c>
      <c r="AW107" s="59">
        <f t="shared" si="79"/>
        <v>1.004867550565343</v>
      </c>
      <c r="AX107" s="60">
        <f>PRODUCT(AW$4:AW107)</f>
        <v>1.6569808871068614</v>
      </c>
      <c r="AZ107" s="71">
        <f t="shared" si="90"/>
        <v>104</v>
      </c>
      <c r="BA107" s="72">
        <f t="shared" ca="1" si="99"/>
        <v>1.004867550565343</v>
      </c>
      <c r="BB107" s="72">
        <f t="shared" ca="1" si="99"/>
        <v>1.004867550565343</v>
      </c>
      <c r="BC107" s="72">
        <f t="shared" ca="1" si="99"/>
        <v>1.004867550565343</v>
      </c>
      <c r="BD107" s="72">
        <f t="shared" ca="1" si="99"/>
        <v>1.004867550565343</v>
      </c>
      <c r="BE107" s="72">
        <f t="shared" ca="1" si="99"/>
        <v>1.004867550565343</v>
      </c>
      <c r="BF107" s="72">
        <f t="shared" ca="1" si="99"/>
        <v>1.004867550565343</v>
      </c>
      <c r="BG107" s="72">
        <f t="shared" ca="1" si="99"/>
        <v>1.004867550565343</v>
      </c>
      <c r="BH107" s="72">
        <f t="shared" ca="1" si="99"/>
        <v>1.004867550565343</v>
      </c>
      <c r="BI107" s="72">
        <f t="shared" ca="1" si="99"/>
        <v>1.004867550565343</v>
      </c>
      <c r="BJ107" s="72">
        <f t="shared" ca="1" si="99"/>
        <v>1.004867550565343</v>
      </c>
      <c r="BK107" s="72">
        <f t="shared" ca="1" si="99"/>
        <v>1.004867550565343</v>
      </c>
      <c r="BL107" s="72">
        <f t="shared" ca="1" si="99"/>
        <v>1.004867550565343</v>
      </c>
      <c r="BM107" s="72">
        <f t="shared" ca="1" si="97"/>
        <v>6.0000000000000275E-2</v>
      </c>
      <c r="BN107" s="73">
        <f t="shared" ca="1" si="98"/>
        <v>428.36106291704533</v>
      </c>
    </row>
    <row r="108" spans="5:66">
      <c r="E108">
        <f t="shared" si="95"/>
        <v>105</v>
      </c>
      <c r="F108" s="9">
        <f t="shared" si="82"/>
        <v>77.666666666666174</v>
      </c>
      <c r="G108" s="132">
        <f t="shared" si="54"/>
        <v>0</v>
      </c>
      <c r="H108" s="133">
        <f t="shared" si="91"/>
        <v>1</v>
      </c>
      <c r="I108" s="31">
        <f t="shared" si="67"/>
        <v>1456684.5800896988</v>
      </c>
      <c r="J108" s="31">
        <f t="shared" si="55"/>
        <v>7090.4858513421141</v>
      </c>
      <c r="K108" s="163">
        <f t="shared" si="56"/>
        <v>-20</v>
      </c>
      <c r="L108" s="163">
        <f t="shared" si="68"/>
        <v>-1213.9038167414158</v>
      </c>
      <c r="M108" s="163">
        <f t="shared" si="93"/>
        <v>0</v>
      </c>
      <c r="N108" s="163">
        <f t="shared" si="69"/>
        <v>-1383.8503510852142</v>
      </c>
      <c r="O108" s="84">
        <f t="shared" si="57"/>
        <v>-17488.599999999999</v>
      </c>
      <c r="P108" s="31">
        <f t="shared" si="58"/>
        <v>1443668.7117732142</v>
      </c>
      <c r="Q108" s="5"/>
      <c r="R108">
        <f t="shared" ca="1" si="70"/>
        <v>225</v>
      </c>
      <c r="S108" s="133">
        <f t="shared" ca="1" si="71"/>
        <v>87.32</v>
      </c>
      <c r="T108" s="132">
        <f t="shared" ca="1" si="59"/>
        <v>1.4704480690580723E-2</v>
      </c>
      <c r="U108" s="133">
        <f t="shared" ca="1" si="83"/>
        <v>0.32750222202691298</v>
      </c>
      <c r="V108" s="31">
        <f t="shared" ca="1" si="72"/>
        <v>271144.54506690404</v>
      </c>
      <c r="W108" s="31">
        <f t="shared" ca="1" si="60"/>
        <v>1319.8097836300924</v>
      </c>
      <c r="X108" s="163">
        <f t="shared" ca="1" si="84"/>
        <v>-6.5500444405382598</v>
      </c>
      <c r="Y108" s="163">
        <f t="shared" ca="1" si="85"/>
        <v>-225.95378755575339</v>
      </c>
      <c r="Z108" s="163">
        <f t="shared" ca="1" si="73"/>
        <v>0</v>
      </c>
      <c r="AA108" s="163">
        <f t="shared" ca="1" si="86"/>
        <v>-257.58731781355885</v>
      </c>
      <c r="AB108" s="84">
        <f t="shared" ca="1" si="61"/>
        <v>-2041.8853118513282</v>
      </c>
      <c r="AC108" s="160">
        <f t="shared" si="62"/>
        <v>0</v>
      </c>
      <c r="AD108" s="31">
        <f t="shared" ca="1" si="63"/>
        <v>269932.37838887295</v>
      </c>
      <c r="AE108" s="5"/>
      <c r="AF108" s="151">
        <f t="shared" ca="1" si="64"/>
        <v>-6234.7220095610019</v>
      </c>
      <c r="AG108" s="151">
        <f t="shared" ca="1" si="65"/>
        <v>824215.41056503379</v>
      </c>
      <c r="AH108" s="5"/>
      <c r="AI108" s="5"/>
      <c r="AL108" s="2"/>
      <c r="AM108" s="2"/>
      <c r="AN108" s="2"/>
      <c r="AO108" s="2"/>
      <c r="AS108" s="55">
        <f t="shared" si="77"/>
        <v>9</v>
      </c>
      <c r="AT108" s="56">
        <f t="shared" si="88"/>
        <v>105</v>
      </c>
      <c r="AU108" s="57">
        <f t="shared" si="89"/>
        <v>0.5990916152003134</v>
      </c>
      <c r="AV108" s="58">
        <f t="shared" si="78"/>
        <v>4.8675505653430484E-3</v>
      </c>
      <c r="AW108" s="59">
        <f t="shared" si="79"/>
        <v>1.004867550565343</v>
      </c>
      <c r="AX108" s="60">
        <f>PRODUCT(AW$4:AW108)</f>
        <v>1.6650463253606611</v>
      </c>
      <c r="AZ108" s="71">
        <f t="shared" si="90"/>
        <v>105</v>
      </c>
      <c r="BA108" s="72">
        <f t="shared" ca="1" si="99"/>
        <v>1.004867550565343</v>
      </c>
      <c r="BB108" s="72">
        <f t="shared" ca="1" si="99"/>
        <v>1.004867550565343</v>
      </c>
      <c r="BC108" s="72">
        <f t="shared" ca="1" si="99"/>
        <v>1.004867550565343</v>
      </c>
      <c r="BD108" s="72">
        <f t="shared" ca="1" si="99"/>
        <v>1.004867550565343</v>
      </c>
      <c r="BE108" s="72">
        <f t="shared" ca="1" si="99"/>
        <v>1.004867550565343</v>
      </c>
      <c r="BF108" s="72">
        <f t="shared" ca="1" si="99"/>
        <v>1.004867550565343</v>
      </c>
      <c r="BG108" s="72">
        <f t="shared" ca="1" si="99"/>
        <v>1.004867550565343</v>
      </c>
      <c r="BH108" s="72">
        <f t="shared" ca="1" si="99"/>
        <v>1.004867550565343</v>
      </c>
      <c r="BI108" s="72">
        <f t="shared" ca="1" si="99"/>
        <v>1.004867550565343</v>
      </c>
      <c r="BJ108" s="72">
        <f t="shared" ca="1" si="99"/>
        <v>1.004867550565343</v>
      </c>
      <c r="BK108" s="72">
        <f t="shared" ca="1" si="99"/>
        <v>1.004867550565343</v>
      </c>
      <c r="BL108" s="72">
        <f t="shared" ca="1" si="99"/>
        <v>1.004867550565343</v>
      </c>
      <c r="BM108" s="72">
        <f t="shared" ca="1" si="97"/>
        <v>6.0000000000000275E-2</v>
      </c>
      <c r="BN108" s="73">
        <f t="shared" ca="1" si="98"/>
        <v>454.06272669206817</v>
      </c>
    </row>
    <row r="109" spans="5:66">
      <c r="E109">
        <f t="shared" si="95"/>
        <v>106</v>
      </c>
      <c r="F109" s="9">
        <f t="shared" si="82"/>
        <v>77.749999999999503</v>
      </c>
      <c r="G109" s="132">
        <f t="shared" si="54"/>
        <v>0</v>
      </c>
      <c r="H109" s="133">
        <f t="shared" si="91"/>
        <v>1</v>
      </c>
      <c r="I109" s="31">
        <f t="shared" si="67"/>
        <v>1443668.7117732142</v>
      </c>
      <c r="J109" s="31">
        <f t="shared" si="55"/>
        <v>7027.1304541597792</v>
      </c>
      <c r="K109" s="163">
        <f t="shared" si="56"/>
        <v>-20</v>
      </c>
      <c r="L109" s="163">
        <f t="shared" si="68"/>
        <v>-1203.0572598110118</v>
      </c>
      <c r="M109" s="163">
        <f t="shared" si="93"/>
        <v>0</v>
      </c>
      <c r="N109" s="163">
        <f t="shared" si="69"/>
        <v>-1371.4852761845539</v>
      </c>
      <c r="O109" s="84">
        <f t="shared" si="57"/>
        <v>-17488.599999999999</v>
      </c>
      <c r="P109" s="31">
        <f t="shared" si="58"/>
        <v>1430612.6996913783</v>
      </c>
      <c r="Q109" s="5"/>
      <c r="R109">
        <f t="shared" ca="1" si="70"/>
        <v>226</v>
      </c>
      <c r="S109" s="133">
        <f t="shared" ca="1" si="71"/>
        <v>87.4</v>
      </c>
      <c r="T109" s="132">
        <f t="shared" ca="1" si="59"/>
        <v>1.4704480690580723E-2</v>
      </c>
      <c r="U109" s="133">
        <f t="shared" ca="1" si="83"/>
        <v>0.32268647192699595</v>
      </c>
      <c r="V109" s="31">
        <f t="shared" ca="1" si="72"/>
        <v>265963.16294309124</v>
      </c>
      <c r="W109" s="31">
        <f t="shared" ca="1" si="60"/>
        <v>1294.589144144069</v>
      </c>
      <c r="X109" s="163">
        <f t="shared" ca="1" si="84"/>
        <v>-6.4537294385399191</v>
      </c>
      <c r="Y109" s="163">
        <f t="shared" ca="1" si="85"/>
        <v>-221.63596911924273</v>
      </c>
      <c r="Z109" s="163">
        <f t="shared" ca="1" si="73"/>
        <v>0</v>
      </c>
      <c r="AA109" s="163">
        <f t="shared" ca="1" si="86"/>
        <v>-252.66500479593674</v>
      </c>
      <c r="AB109" s="84">
        <f t="shared" ca="1" si="61"/>
        <v>-2011.8604487108298</v>
      </c>
      <c r="AC109" s="160">
        <f t="shared" si="62"/>
        <v>0</v>
      </c>
      <c r="AD109" s="31">
        <f t="shared" ca="1" si="63"/>
        <v>264765.13693517074</v>
      </c>
      <c r="AE109" s="5"/>
      <c r="AF109" s="151">
        <f t="shared" ca="1" si="64"/>
        <v>-6234.722009561001</v>
      </c>
      <c r="AG109" s="151">
        <f t="shared" ca="1" si="65"/>
        <v>820502.74792762543</v>
      </c>
      <c r="AH109" s="5"/>
      <c r="AI109" s="5"/>
      <c r="AL109" s="2"/>
      <c r="AM109" s="2"/>
      <c r="AN109" s="2"/>
      <c r="AO109" s="2"/>
      <c r="AS109" s="55">
        <f t="shared" si="77"/>
        <v>9</v>
      </c>
      <c r="AT109" s="56">
        <f t="shared" si="88"/>
        <v>106</v>
      </c>
      <c r="AU109" s="57">
        <f t="shared" si="89"/>
        <v>0.5961755064700528</v>
      </c>
      <c r="AV109" s="58">
        <f t="shared" si="78"/>
        <v>4.8675505653430484E-3</v>
      </c>
      <c r="AW109" s="59">
        <f t="shared" si="79"/>
        <v>1.004867550565343</v>
      </c>
      <c r="AX109" s="60">
        <f>PRODUCT(AW$4:AW109)</f>
        <v>1.6731510225429929</v>
      </c>
      <c r="AZ109" s="71">
        <f t="shared" si="90"/>
        <v>106</v>
      </c>
      <c r="BA109" s="72">
        <f t="shared" ca="1" si="99"/>
        <v>1.004867550565343</v>
      </c>
      <c r="BB109" s="72">
        <f t="shared" ca="1" si="99"/>
        <v>1.004867550565343</v>
      </c>
      <c r="BC109" s="72">
        <f t="shared" ca="1" si="99"/>
        <v>1.004867550565343</v>
      </c>
      <c r="BD109" s="72">
        <f t="shared" ca="1" si="99"/>
        <v>1.004867550565343</v>
      </c>
      <c r="BE109" s="72">
        <f t="shared" ca="1" si="99"/>
        <v>1.004867550565343</v>
      </c>
      <c r="BF109" s="72">
        <f t="shared" ca="1" si="99"/>
        <v>1.004867550565343</v>
      </c>
      <c r="BG109" s="72">
        <f t="shared" ca="1" si="99"/>
        <v>1.004867550565343</v>
      </c>
      <c r="BH109" s="72">
        <f t="shared" ca="1" si="99"/>
        <v>1.004867550565343</v>
      </c>
      <c r="BI109" s="72">
        <f t="shared" ca="1" si="99"/>
        <v>1.004867550565343</v>
      </c>
      <c r="BJ109" s="72">
        <f t="shared" ca="1" si="99"/>
        <v>1.004867550565343</v>
      </c>
      <c r="BK109" s="72">
        <f t="shared" ca="1" si="99"/>
        <v>1.004867550565343</v>
      </c>
      <c r="BL109" s="72">
        <f t="shared" ca="1" si="99"/>
        <v>1.004867550565343</v>
      </c>
      <c r="BM109" s="72">
        <f t="shared" ca="1" si="97"/>
        <v>6.0000000000000275E-2</v>
      </c>
      <c r="BN109" s="73">
        <f t="shared" ca="1" si="98"/>
        <v>481.30649029359239</v>
      </c>
    </row>
    <row r="110" spans="5:66">
      <c r="E110">
        <f t="shared" si="95"/>
        <v>107</v>
      </c>
      <c r="F110" s="9">
        <f t="shared" si="82"/>
        <v>77.833333333332831</v>
      </c>
      <c r="G110" s="132">
        <f t="shared" si="54"/>
        <v>0</v>
      </c>
      <c r="H110" s="133">
        <f t="shared" si="91"/>
        <v>1</v>
      </c>
      <c r="I110" s="31">
        <f t="shared" si="67"/>
        <v>1430612.6996913783</v>
      </c>
      <c r="J110" s="31">
        <f t="shared" si="55"/>
        <v>6963.5796551697131</v>
      </c>
      <c r="K110" s="163">
        <f t="shared" si="56"/>
        <v>-20</v>
      </c>
      <c r="L110" s="163">
        <f t="shared" si="68"/>
        <v>-1192.1772497428153</v>
      </c>
      <c r="M110" s="163">
        <f t="shared" si="93"/>
        <v>0</v>
      </c>
      <c r="N110" s="163">
        <f t="shared" si="69"/>
        <v>-1359.0820647068097</v>
      </c>
      <c r="O110" s="84">
        <f t="shared" si="57"/>
        <v>-17488.599999999999</v>
      </c>
      <c r="P110" s="31">
        <f t="shared" si="58"/>
        <v>1417516.4200320982</v>
      </c>
      <c r="Q110" s="5"/>
      <c r="R110">
        <f t="shared" ca="1" si="70"/>
        <v>227</v>
      </c>
      <c r="S110" s="133">
        <f t="shared" ca="1" si="71"/>
        <v>87.48</v>
      </c>
      <c r="T110" s="132">
        <f t="shared" ca="1" si="59"/>
        <v>1.4704480690580723E-2</v>
      </c>
      <c r="U110" s="133">
        <f t="shared" ca="1" si="83"/>
        <v>0.31794153493143384</v>
      </c>
      <c r="V110" s="31">
        <f t="shared" ca="1" si="72"/>
        <v>260871.90309156856</v>
      </c>
      <c r="W110" s="31">
        <f t="shared" ca="1" si="60"/>
        <v>1269.8071793754814</v>
      </c>
      <c r="X110" s="163">
        <f t="shared" ca="1" si="84"/>
        <v>-6.3588306986286769</v>
      </c>
      <c r="Y110" s="163">
        <f t="shared" ca="1" si="85"/>
        <v>-217.39325257630713</v>
      </c>
      <c r="Z110" s="163">
        <f t="shared" ca="1" si="73"/>
        <v>0</v>
      </c>
      <c r="AA110" s="163">
        <f t="shared" ca="1" si="86"/>
        <v>-247.82830793699017</v>
      </c>
      <c r="AB110" s="84">
        <f t="shared" ca="1" si="61"/>
        <v>-1982.2770855906185</v>
      </c>
      <c r="AC110" s="160">
        <f t="shared" si="62"/>
        <v>0</v>
      </c>
      <c r="AD110" s="31">
        <f t="shared" ca="1" si="63"/>
        <v>259687.85279414154</v>
      </c>
      <c r="AE110" s="5"/>
      <c r="AF110" s="151">
        <f t="shared" ca="1" si="64"/>
        <v>-6234.722009561001</v>
      </c>
      <c r="AG110" s="151">
        <f t="shared" ca="1" si="65"/>
        <v>816778.63463213423</v>
      </c>
      <c r="AH110" s="5"/>
      <c r="AI110" s="5"/>
      <c r="AL110" s="2"/>
      <c r="AM110" s="2"/>
      <c r="AN110" s="2"/>
      <c r="AO110" s="2"/>
      <c r="AS110" s="55">
        <f t="shared" si="77"/>
        <v>9</v>
      </c>
      <c r="AT110" s="56">
        <f t="shared" si="88"/>
        <v>107</v>
      </c>
      <c r="AU110" s="57">
        <f t="shared" si="89"/>
        <v>0.59327359204649077</v>
      </c>
      <c r="AV110" s="58">
        <f t="shared" si="78"/>
        <v>4.8675505653430484E-3</v>
      </c>
      <c r="AW110" s="59">
        <f t="shared" si="79"/>
        <v>1.004867550565343</v>
      </c>
      <c r="AX110" s="60">
        <f>PRODUCT(AW$4:AW110)</f>
        <v>1.6812951697486762</v>
      </c>
      <c r="AZ110" s="71">
        <f t="shared" si="90"/>
        <v>107</v>
      </c>
      <c r="BA110" s="72">
        <f t="shared" ca="1" si="99"/>
        <v>1.004867550565343</v>
      </c>
      <c r="BB110" s="72">
        <f t="shared" ca="1" si="99"/>
        <v>1.004867550565343</v>
      </c>
      <c r="BC110" s="72">
        <f t="shared" ca="1" si="99"/>
        <v>1.004867550565343</v>
      </c>
      <c r="BD110" s="72">
        <f t="shared" ca="1" si="99"/>
        <v>1.004867550565343</v>
      </c>
      <c r="BE110" s="72">
        <f t="shared" ca="1" si="99"/>
        <v>1.004867550565343</v>
      </c>
      <c r="BF110" s="72">
        <f t="shared" ca="1" si="99"/>
        <v>1.004867550565343</v>
      </c>
      <c r="BG110" s="72">
        <f t="shared" ca="1" si="99"/>
        <v>1.004867550565343</v>
      </c>
      <c r="BH110" s="72">
        <f t="shared" ca="1" si="99"/>
        <v>1.004867550565343</v>
      </c>
      <c r="BI110" s="72">
        <f t="shared" ca="1" si="99"/>
        <v>1.004867550565343</v>
      </c>
      <c r="BJ110" s="72">
        <f t="shared" ca="1" si="99"/>
        <v>1.004867550565343</v>
      </c>
      <c r="BK110" s="72">
        <f t="shared" ca="1" si="99"/>
        <v>1.004867550565343</v>
      </c>
      <c r="BL110" s="72">
        <f t="shared" ca="1" si="99"/>
        <v>1.004867550565343</v>
      </c>
      <c r="BM110" s="72">
        <f t="shared" ca="1" si="97"/>
        <v>6.0000000000000275E-2</v>
      </c>
      <c r="BN110" s="73">
        <f t="shared" ca="1" si="98"/>
        <v>510.18487971120805</v>
      </c>
    </row>
    <row r="111" spans="5:66">
      <c r="E111">
        <f t="shared" si="95"/>
        <v>108</v>
      </c>
      <c r="F111" s="9">
        <f t="shared" si="82"/>
        <v>77.91666666666616</v>
      </c>
      <c r="G111" s="132">
        <f t="shared" si="54"/>
        <v>0</v>
      </c>
      <c r="H111" s="133">
        <f t="shared" si="91"/>
        <v>1</v>
      </c>
      <c r="I111" s="31">
        <f t="shared" si="67"/>
        <v>1417516.4200320982</v>
      </c>
      <c r="J111" s="31">
        <f t="shared" si="55"/>
        <v>6899.8328517102937</v>
      </c>
      <c r="K111" s="163">
        <f t="shared" si="56"/>
        <v>-20</v>
      </c>
      <c r="L111" s="163">
        <f t="shared" si="68"/>
        <v>-1181.2636833600818</v>
      </c>
      <c r="M111" s="163">
        <f t="shared" si="93"/>
        <v>0</v>
      </c>
      <c r="N111" s="163">
        <f t="shared" si="69"/>
        <v>-1346.6405990304936</v>
      </c>
      <c r="O111" s="84">
        <f t="shared" si="57"/>
        <v>-17488.599999999999</v>
      </c>
      <c r="P111" s="31">
        <f t="shared" si="58"/>
        <v>1404379.7486014178</v>
      </c>
      <c r="Q111" s="5"/>
      <c r="R111">
        <f t="shared" ca="1" si="70"/>
        <v>228</v>
      </c>
      <c r="S111" s="133">
        <f t="shared" ca="1" si="71"/>
        <v>87.56</v>
      </c>
      <c r="T111" s="132">
        <f t="shared" ca="1" si="59"/>
        <v>1.6101211047786723E-2</v>
      </c>
      <c r="U111" s="133">
        <f t="shared" ca="1" si="83"/>
        <v>0.31282229117664556</v>
      </c>
      <c r="V111" s="31">
        <f t="shared" ca="1" si="72"/>
        <v>255506.5638697565</v>
      </c>
      <c r="W111" s="31">
        <f t="shared" ca="1" si="60"/>
        <v>1243.691119413093</v>
      </c>
      <c r="X111" s="163">
        <f t="shared" ca="1" si="84"/>
        <v>-6.2564458235329115</v>
      </c>
      <c r="Y111" s="163">
        <f t="shared" ca="1" si="85"/>
        <v>-212.92213655813043</v>
      </c>
      <c r="Z111" s="163">
        <f t="shared" ca="1" si="73"/>
        <v>-1916.2992290231737</v>
      </c>
      <c r="AA111" s="163">
        <f t="shared" ca="1" si="86"/>
        <v>-242.73123567626874</v>
      </c>
      <c r="AB111" s="84">
        <f t="shared" ca="1" si="61"/>
        <v>-1950.3600238803322</v>
      </c>
      <c r="AC111" s="160">
        <f t="shared" si="62"/>
        <v>0</v>
      </c>
      <c r="AD111" s="31">
        <f t="shared" ca="1" si="63"/>
        <v>252421.68591820818</v>
      </c>
      <c r="AE111" s="5"/>
      <c r="AF111" s="151">
        <f t="shared" ca="1" si="64"/>
        <v>-6234.722009561001</v>
      </c>
      <c r="AG111" s="151">
        <f t="shared" ca="1" si="65"/>
        <v>806917.19560250209</v>
      </c>
      <c r="AH111" s="5"/>
      <c r="AI111" s="5"/>
      <c r="AL111" s="2"/>
      <c r="AM111" s="2"/>
      <c r="AN111" s="2"/>
      <c r="AO111" s="2"/>
      <c r="AS111" s="55">
        <f t="shared" si="77"/>
        <v>9</v>
      </c>
      <c r="AT111" s="56">
        <f t="shared" si="88"/>
        <v>108</v>
      </c>
      <c r="AU111" s="57">
        <f t="shared" si="89"/>
        <v>0.59038580283812181</v>
      </c>
      <c r="AV111" s="58">
        <f t="shared" si="78"/>
        <v>4.8675505653430484E-3</v>
      </c>
      <c r="AW111" s="59">
        <f t="shared" si="79"/>
        <v>1.004867550565343</v>
      </c>
      <c r="AX111" s="60">
        <f>PRODUCT(AW$4:AW111)</f>
        <v>1.6894789590026948</v>
      </c>
      <c r="AZ111" s="71">
        <f t="shared" si="90"/>
        <v>108</v>
      </c>
      <c r="BA111" s="72">
        <f t="shared" ca="1" si="99"/>
        <v>1.004867550565343</v>
      </c>
      <c r="BB111" s="72">
        <f t="shared" ca="1" si="99"/>
        <v>1.004867550565343</v>
      </c>
      <c r="BC111" s="72">
        <f t="shared" ca="1" si="99"/>
        <v>1.004867550565343</v>
      </c>
      <c r="BD111" s="72">
        <f t="shared" ca="1" si="99"/>
        <v>1.004867550565343</v>
      </c>
      <c r="BE111" s="72">
        <f t="shared" ca="1" si="99"/>
        <v>1.004867550565343</v>
      </c>
      <c r="BF111" s="72">
        <f t="shared" ca="1" si="99"/>
        <v>1.004867550565343</v>
      </c>
      <c r="BG111" s="72">
        <f t="shared" ca="1" si="99"/>
        <v>1.004867550565343</v>
      </c>
      <c r="BH111" s="72">
        <f t="shared" ca="1" si="99"/>
        <v>1.004867550565343</v>
      </c>
      <c r="BI111" s="72">
        <f t="shared" ca="1" si="99"/>
        <v>1.004867550565343</v>
      </c>
      <c r="BJ111" s="72">
        <f t="shared" ca="1" si="99"/>
        <v>1.004867550565343</v>
      </c>
      <c r="BK111" s="72">
        <f t="shared" ca="1" si="99"/>
        <v>1.004867550565343</v>
      </c>
      <c r="BL111" s="72">
        <f t="shared" ca="1" si="99"/>
        <v>1.004867550565343</v>
      </c>
      <c r="BM111" s="72">
        <f t="shared" ca="1" si="97"/>
        <v>6.0000000000000275E-2</v>
      </c>
      <c r="BN111" s="73">
        <f t="shared" ca="1" si="98"/>
        <v>540.79597249388064</v>
      </c>
    </row>
    <row r="112" spans="5:66">
      <c r="E112">
        <f t="shared" si="95"/>
        <v>109</v>
      </c>
      <c r="F112" s="9">
        <f t="shared" si="82"/>
        <v>77.999999999999488</v>
      </c>
      <c r="G112" s="132">
        <f t="shared" si="54"/>
        <v>0</v>
      </c>
      <c r="H112" s="133">
        <f t="shared" si="91"/>
        <v>1</v>
      </c>
      <c r="I112" s="31">
        <f t="shared" si="67"/>
        <v>1404379.7486014178</v>
      </c>
      <c r="J112" s="31">
        <f t="shared" si="55"/>
        <v>6835.8894392611592</v>
      </c>
      <c r="K112" s="163">
        <f t="shared" si="56"/>
        <v>-20</v>
      </c>
      <c r="L112" s="163">
        <f t="shared" si="68"/>
        <v>-1170.3164571678483</v>
      </c>
      <c r="M112" s="163">
        <f t="shared" si="93"/>
        <v>-10532.848114510633</v>
      </c>
      <c r="N112" s="163">
        <f t="shared" si="69"/>
        <v>-1334.1607611713471</v>
      </c>
      <c r="O112" s="84">
        <f t="shared" si="57"/>
        <v>-17488.599999999999</v>
      </c>
      <c r="P112" s="31">
        <f t="shared" si="58"/>
        <v>1380669.7127078292</v>
      </c>
      <c r="Q112" s="5"/>
      <c r="R112">
        <f t="shared" ca="1" si="70"/>
        <v>229</v>
      </c>
      <c r="S112" s="133">
        <f t="shared" ca="1" si="71"/>
        <v>87.64</v>
      </c>
      <c r="T112" s="132">
        <f t="shared" ca="1" si="59"/>
        <v>1.6101211047786723E-2</v>
      </c>
      <c r="U112" s="133">
        <f t="shared" ca="1" si="83"/>
        <v>0.30778547344595819</v>
      </c>
      <c r="V112" s="31">
        <f t="shared" ca="1" si="72"/>
        <v>248357.39108020099</v>
      </c>
      <c r="W112" s="31">
        <f t="shared" ca="1" si="60"/>
        <v>1208.8921593595569</v>
      </c>
      <c r="X112" s="163">
        <f t="shared" ca="1" si="84"/>
        <v>-6.1557094689191638</v>
      </c>
      <c r="Y112" s="163">
        <f t="shared" ca="1" si="85"/>
        <v>-206.96449256683417</v>
      </c>
      <c r="Z112" s="163">
        <f t="shared" ca="1" si="73"/>
        <v>0</v>
      </c>
      <c r="AA112" s="163">
        <f t="shared" ca="1" si="86"/>
        <v>-235.93952152619099</v>
      </c>
      <c r="AB112" s="84">
        <f t="shared" ca="1" si="61"/>
        <v>-1918.9568655166688</v>
      </c>
      <c r="AC112" s="160">
        <f t="shared" si="62"/>
        <v>0</v>
      </c>
      <c r="AD112" s="31">
        <f t="shared" ca="1" si="63"/>
        <v>247198.26665048196</v>
      </c>
      <c r="AE112" s="5"/>
      <c r="AF112" s="151">
        <f t="shared" ca="1" si="64"/>
        <v>-6234.7220095610019</v>
      </c>
      <c r="AG112" s="151">
        <f t="shared" ca="1" si="65"/>
        <v>803151.18151242344</v>
      </c>
      <c r="AH112" s="5"/>
      <c r="AI112" s="5"/>
      <c r="AL112" s="2"/>
      <c r="AM112" s="2"/>
      <c r="AN112" s="2"/>
      <c r="AO112" s="2"/>
      <c r="AS112" s="55">
        <f t="shared" si="77"/>
        <v>10</v>
      </c>
      <c r="AT112" s="56">
        <f t="shared" si="88"/>
        <v>109</v>
      </c>
      <c r="AU112" s="57">
        <f t="shared" si="89"/>
        <v>0.5875120700897466</v>
      </c>
      <c r="AV112" s="58">
        <f t="shared" si="78"/>
        <v>4.8675505653430484E-3</v>
      </c>
      <c r="AW112" s="59">
        <f t="shared" si="79"/>
        <v>1.004867550565343</v>
      </c>
      <c r="AX112" s="60">
        <f>PRODUCT(AW$4:AW112)</f>
        <v>1.6977025832647237</v>
      </c>
      <c r="AZ112" s="71">
        <f t="shared" si="90"/>
        <v>109</v>
      </c>
      <c r="BA112" s="72">
        <f t="shared" ca="1" si="99"/>
        <v>1.004867550565343</v>
      </c>
      <c r="BB112" s="72">
        <f t="shared" ca="1" si="99"/>
        <v>1.004867550565343</v>
      </c>
      <c r="BC112" s="72">
        <f t="shared" ca="1" si="99"/>
        <v>1.004867550565343</v>
      </c>
      <c r="BD112" s="72">
        <f t="shared" ca="1" si="99"/>
        <v>1.004867550565343</v>
      </c>
      <c r="BE112" s="72">
        <f t="shared" ca="1" si="99"/>
        <v>1.004867550565343</v>
      </c>
      <c r="BF112" s="72">
        <f t="shared" ca="1" si="99"/>
        <v>1.004867550565343</v>
      </c>
      <c r="BG112" s="72">
        <f t="shared" ca="1" si="99"/>
        <v>1.004867550565343</v>
      </c>
      <c r="BH112" s="72">
        <f t="shared" ca="1" si="99"/>
        <v>1.004867550565343</v>
      </c>
      <c r="BI112" s="72">
        <f t="shared" ca="1" si="99"/>
        <v>1.004867550565343</v>
      </c>
      <c r="BJ112" s="72">
        <f t="shared" ca="1" si="99"/>
        <v>1.004867550565343</v>
      </c>
      <c r="BK112" s="72">
        <f t="shared" ca="1" si="99"/>
        <v>1.004867550565343</v>
      </c>
      <c r="BL112" s="72">
        <f t="shared" ca="1" si="99"/>
        <v>1.004867550565343</v>
      </c>
      <c r="BM112" s="72">
        <f t="shared" ca="1" si="97"/>
        <v>6.0000000000000275E-2</v>
      </c>
      <c r="BN112" s="73">
        <f t="shared" ca="1" si="98"/>
        <v>573.24373084351362</v>
      </c>
    </row>
    <row r="113" spans="5:66">
      <c r="E113">
        <f t="shared" si="95"/>
        <v>110</v>
      </c>
      <c r="F113" s="9">
        <f t="shared" si="82"/>
        <v>78.083333333332817</v>
      </c>
      <c r="G113" s="132">
        <f t="shared" si="54"/>
        <v>0</v>
      </c>
      <c r="H113" s="133">
        <f t="shared" si="91"/>
        <v>1</v>
      </c>
      <c r="I113" s="31">
        <f t="shared" si="67"/>
        <v>1380669.7127078292</v>
      </c>
      <c r="J113" s="31">
        <f t="shared" si="55"/>
        <v>6720.4796406430187</v>
      </c>
      <c r="K113" s="163">
        <f t="shared" si="56"/>
        <v>-20</v>
      </c>
      <c r="L113" s="163">
        <f t="shared" si="68"/>
        <v>-1150.5580939231911</v>
      </c>
      <c r="M113" s="163">
        <f t="shared" si="93"/>
        <v>0</v>
      </c>
      <c r="N113" s="163">
        <f t="shared" si="69"/>
        <v>-1311.636227072438</v>
      </c>
      <c r="O113" s="84">
        <f t="shared" si="57"/>
        <v>-17488.599999999999</v>
      </c>
      <c r="P113" s="31">
        <f t="shared" si="58"/>
        <v>1367419.3980274766</v>
      </c>
      <c r="Q113" s="5"/>
      <c r="R113">
        <f t="shared" ca="1" si="70"/>
        <v>230</v>
      </c>
      <c r="S113" s="133">
        <f t="shared" ca="1" si="71"/>
        <v>87.72</v>
      </c>
      <c r="T113" s="132">
        <f t="shared" ca="1" si="59"/>
        <v>1.6101211047786723E-2</v>
      </c>
      <c r="U113" s="133">
        <f t="shared" ca="1" si="83"/>
        <v>0.30282975458056188</v>
      </c>
      <c r="V113" s="31">
        <f t="shared" ca="1" si="72"/>
        <v>243218.07518849551</v>
      </c>
      <c r="W113" s="31">
        <f t="shared" ca="1" si="60"/>
        <v>1183.8762793854094</v>
      </c>
      <c r="X113" s="163">
        <f t="shared" ca="1" si="84"/>
        <v>-6.0565950916112374</v>
      </c>
      <c r="Y113" s="163">
        <f t="shared" ca="1" si="85"/>
        <v>-202.68172932374628</v>
      </c>
      <c r="Z113" s="163">
        <f t="shared" ca="1" si="73"/>
        <v>0</v>
      </c>
      <c r="AA113" s="163">
        <f t="shared" ca="1" si="86"/>
        <v>-231.05717142907076</v>
      </c>
      <c r="AB113" s="84">
        <f t="shared" ca="1" si="61"/>
        <v>-1888.0593360333858</v>
      </c>
      <c r="AC113" s="160">
        <f t="shared" si="62"/>
        <v>0</v>
      </c>
      <c r="AD113" s="31">
        <f t="shared" ca="1" si="63"/>
        <v>242074.09663600309</v>
      </c>
      <c r="AE113" s="5"/>
      <c r="AF113" s="151">
        <f t="shared" ca="1" si="64"/>
        <v>-6234.7220095610019</v>
      </c>
      <c r="AG113" s="151">
        <f t="shared" ca="1" si="65"/>
        <v>799373.55221679201</v>
      </c>
      <c r="AH113" s="5"/>
      <c r="AI113" s="5"/>
      <c r="AL113" s="2"/>
      <c r="AM113" s="2"/>
      <c r="AN113" s="2"/>
      <c r="AO113" s="2"/>
      <c r="AS113" s="55">
        <f t="shared" si="77"/>
        <v>10</v>
      </c>
      <c r="AT113" s="56">
        <f t="shared" si="88"/>
        <v>110</v>
      </c>
      <c r="AU113" s="57">
        <f t="shared" si="89"/>
        <v>0.58465232538083534</v>
      </c>
      <c r="AV113" s="58">
        <f t="shared" si="78"/>
        <v>4.8675505653430484E-3</v>
      </c>
      <c r="AW113" s="59">
        <f t="shared" si="79"/>
        <v>1.004867550565343</v>
      </c>
      <c r="AX113" s="60">
        <f>PRODUCT(AW$4:AW113)</f>
        <v>1.7059662364336783</v>
      </c>
      <c r="AZ113" s="71">
        <f t="shared" si="90"/>
        <v>110</v>
      </c>
      <c r="BA113" s="72">
        <f t="shared" ca="1" si="99"/>
        <v>1.004867550565343</v>
      </c>
      <c r="BB113" s="72">
        <f t="shared" ca="1" si="99"/>
        <v>1.004867550565343</v>
      </c>
      <c r="BC113" s="72">
        <f t="shared" ca="1" si="99"/>
        <v>1.004867550565343</v>
      </c>
      <c r="BD113" s="72">
        <f t="shared" ca="1" si="99"/>
        <v>1.004867550565343</v>
      </c>
      <c r="BE113" s="72">
        <f t="shared" ca="1" si="99"/>
        <v>1.004867550565343</v>
      </c>
      <c r="BF113" s="72">
        <f t="shared" ca="1" si="99"/>
        <v>1.004867550565343</v>
      </c>
      <c r="BG113" s="72">
        <f t="shared" ca="1" si="99"/>
        <v>1.004867550565343</v>
      </c>
      <c r="BH113" s="72">
        <f t="shared" ca="1" si="99"/>
        <v>1.004867550565343</v>
      </c>
      <c r="BI113" s="72">
        <f t="shared" ca="1" si="99"/>
        <v>1.004867550565343</v>
      </c>
      <c r="BJ113" s="72">
        <f t="shared" ca="1" si="99"/>
        <v>1.004867550565343</v>
      </c>
      <c r="BK113" s="72">
        <f t="shared" ca="1" si="99"/>
        <v>1.004867550565343</v>
      </c>
      <c r="BL113" s="72">
        <f t="shared" ca="1" si="99"/>
        <v>1.004867550565343</v>
      </c>
      <c r="BM113" s="72">
        <f t="shared" ca="1" si="97"/>
        <v>6.0000000000000275E-2</v>
      </c>
      <c r="BN113" s="73">
        <f t="shared" ca="1" si="98"/>
        <v>607.63835469412459</v>
      </c>
    </row>
    <row r="114" spans="5:66">
      <c r="E114">
        <f t="shared" si="95"/>
        <v>111</v>
      </c>
      <c r="F114" s="9">
        <f t="shared" si="82"/>
        <v>78.166666666666146</v>
      </c>
      <c r="G114" s="132">
        <f t="shared" si="54"/>
        <v>0</v>
      </c>
      <c r="H114" s="133">
        <f t="shared" si="91"/>
        <v>1</v>
      </c>
      <c r="I114" s="31">
        <f t="shared" si="67"/>
        <v>1367419.3980274766</v>
      </c>
      <c r="J114" s="31">
        <f t="shared" si="55"/>
        <v>6655.9830639296952</v>
      </c>
      <c r="K114" s="163">
        <f t="shared" si="56"/>
        <v>-20</v>
      </c>
      <c r="L114" s="163">
        <f t="shared" si="68"/>
        <v>-1139.5161650228972</v>
      </c>
      <c r="M114" s="163">
        <f t="shared" si="93"/>
        <v>0</v>
      </c>
      <c r="N114" s="163">
        <f t="shared" si="69"/>
        <v>-1299.0484281261031</v>
      </c>
      <c r="O114" s="84">
        <f t="shared" si="57"/>
        <v>-17488.599999999999</v>
      </c>
      <c r="P114" s="31">
        <f t="shared" si="58"/>
        <v>1354128.2164982571</v>
      </c>
      <c r="Q114" s="5"/>
      <c r="R114">
        <f t="shared" ca="1" si="70"/>
        <v>231</v>
      </c>
      <c r="S114" s="133">
        <f t="shared" ca="1" si="71"/>
        <v>87.8</v>
      </c>
      <c r="T114" s="132">
        <f t="shared" ca="1" si="59"/>
        <v>1.6101211047786723E-2</v>
      </c>
      <c r="U114" s="133">
        <f t="shared" ca="1" si="83"/>
        <v>0.2979538287905108</v>
      </c>
      <c r="V114" s="31">
        <f t="shared" ca="1" si="72"/>
        <v>238176.41051686447</v>
      </c>
      <c r="W114" s="31">
        <f t="shared" ca="1" si="60"/>
        <v>1159.3357216627417</v>
      </c>
      <c r="X114" s="163">
        <f t="shared" ca="1" si="84"/>
        <v>-5.959076575810216</v>
      </c>
      <c r="Y114" s="163">
        <f t="shared" ca="1" si="85"/>
        <v>-198.48034209738708</v>
      </c>
      <c r="Z114" s="163">
        <f t="shared" ca="1" si="73"/>
        <v>0</v>
      </c>
      <c r="AA114" s="163">
        <f t="shared" ca="1" si="86"/>
        <v>-226.26758999102128</v>
      </c>
      <c r="AB114" s="84">
        <f t="shared" ca="1" si="61"/>
        <v>-1857.6592941931683</v>
      </c>
      <c r="AC114" s="160">
        <f t="shared" si="62"/>
        <v>0</v>
      </c>
      <c r="AD114" s="31">
        <f t="shared" ca="1" si="63"/>
        <v>237047.37993566983</v>
      </c>
      <c r="AE114" s="5"/>
      <c r="AF114" s="151">
        <f t="shared" ca="1" si="64"/>
        <v>-6234.7220095610019</v>
      </c>
      <c r="AG114" s="151">
        <f t="shared" ca="1" si="65"/>
        <v>795584.27189179079</v>
      </c>
      <c r="AH114" s="5"/>
      <c r="AI114" s="5"/>
      <c r="AL114" s="2"/>
      <c r="AM114" s="2"/>
      <c r="AN114" s="2"/>
      <c r="AO114" s="2"/>
      <c r="AS114" s="55">
        <f t="shared" si="77"/>
        <v>10</v>
      </c>
      <c r="AT114" s="56">
        <f t="shared" si="88"/>
        <v>111</v>
      </c>
      <c r="AU114" s="57">
        <f t="shared" si="89"/>
        <v>0.58180650062389871</v>
      </c>
      <c r="AV114" s="58">
        <f t="shared" si="78"/>
        <v>4.8675505653430484E-3</v>
      </c>
      <c r="AW114" s="59">
        <f t="shared" si="79"/>
        <v>1.004867550565343</v>
      </c>
      <c r="AX114" s="60">
        <f>PRODUCT(AW$4:AW114)</f>
        <v>1.7142701133522873</v>
      </c>
      <c r="AZ114" s="71">
        <f t="shared" si="90"/>
        <v>111</v>
      </c>
      <c r="BA114" s="72">
        <f t="shared" ca="1" si="99"/>
        <v>1.004867550565343</v>
      </c>
      <c r="BB114" s="72">
        <f t="shared" ca="1" si="99"/>
        <v>1.004867550565343</v>
      </c>
      <c r="BC114" s="72">
        <f t="shared" ca="1" si="99"/>
        <v>1.004867550565343</v>
      </c>
      <c r="BD114" s="72">
        <f t="shared" ca="1" si="99"/>
        <v>1.004867550565343</v>
      </c>
      <c r="BE114" s="72">
        <f t="shared" ca="1" si="99"/>
        <v>1.004867550565343</v>
      </c>
      <c r="BF114" s="72">
        <f t="shared" ca="1" si="99"/>
        <v>1.004867550565343</v>
      </c>
      <c r="BG114" s="72">
        <f t="shared" ca="1" si="99"/>
        <v>1.004867550565343</v>
      </c>
      <c r="BH114" s="72">
        <f t="shared" ca="1" si="99"/>
        <v>1.004867550565343</v>
      </c>
      <c r="BI114" s="72">
        <f t="shared" ca="1" si="99"/>
        <v>1.004867550565343</v>
      </c>
      <c r="BJ114" s="72">
        <f t="shared" ca="1" si="99"/>
        <v>1.004867550565343</v>
      </c>
      <c r="BK114" s="72">
        <f t="shared" ca="1" si="99"/>
        <v>1.004867550565343</v>
      </c>
      <c r="BL114" s="72">
        <f t="shared" ca="1" si="99"/>
        <v>1.004867550565343</v>
      </c>
      <c r="BM114" s="72">
        <f t="shared" ca="1" si="97"/>
        <v>6.0000000000000275E-2</v>
      </c>
      <c r="BN114" s="73">
        <f t="shared" ca="1" si="98"/>
        <v>644.09665597577225</v>
      </c>
    </row>
    <row r="115" spans="5:66">
      <c r="E115">
        <f t="shared" si="95"/>
        <v>112</v>
      </c>
      <c r="F115" s="9">
        <f t="shared" si="82"/>
        <v>78.249999999999474</v>
      </c>
      <c r="G115" s="132">
        <f t="shared" si="54"/>
        <v>0</v>
      </c>
      <c r="H115" s="133">
        <f t="shared" si="91"/>
        <v>1</v>
      </c>
      <c r="I115" s="31">
        <f t="shared" si="67"/>
        <v>1354128.2164982571</v>
      </c>
      <c r="J115" s="31">
        <f t="shared" si="55"/>
        <v>6591.2875657630657</v>
      </c>
      <c r="K115" s="163">
        <f t="shared" si="56"/>
        <v>-20</v>
      </c>
      <c r="L115" s="163">
        <f t="shared" si="68"/>
        <v>-1128.4401804152144</v>
      </c>
      <c r="M115" s="163">
        <f t="shared" si="93"/>
        <v>0</v>
      </c>
      <c r="N115" s="163">
        <f t="shared" si="69"/>
        <v>-1286.4218056733446</v>
      </c>
      <c r="O115" s="84">
        <f t="shared" si="57"/>
        <v>-17488.599999999999</v>
      </c>
      <c r="P115" s="31">
        <f t="shared" si="58"/>
        <v>1340796.0420779316</v>
      </c>
      <c r="Q115" s="5"/>
      <c r="R115">
        <f t="shared" ca="1" si="70"/>
        <v>232</v>
      </c>
      <c r="S115" s="133">
        <f t="shared" ca="1" si="71"/>
        <v>87.88</v>
      </c>
      <c r="T115" s="132">
        <f t="shared" ca="1" si="59"/>
        <v>1.6101211047786723E-2</v>
      </c>
      <c r="U115" s="133">
        <f t="shared" ca="1" si="83"/>
        <v>0.29315641131065867</v>
      </c>
      <c r="V115" s="31">
        <f t="shared" ca="1" si="72"/>
        <v>233230.63004300074</v>
      </c>
      <c r="W115" s="31">
        <f t="shared" ca="1" si="60"/>
        <v>1135.2618851211237</v>
      </c>
      <c r="X115" s="163">
        <f t="shared" ca="1" si="84"/>
        <v>-5.8631282262131732</v>
      </c>
      <c r="Y115" s="163">
        <f t="shared" ca="1" si="85"/>
        <v>-194.35885836916731</v>
      </c>
      <c r="Z115" s="163">
        <f t="shared" ca="1" si="73"/>
        <v>0</v>
      </c>
      <c r="AA115" s="163">
        <f t="shared" ca="1" si="86"/>
        <v>-221.56909854085075</v>
      </c>
      <c r="AB115" s="84">
        <f t="shared" ca="1" si="61"/>
        <v>-1827.7487298424812</v>
      </c>
      <c r="AC115" s="160">
        <f t="shared" si="62"/>
        <v>0</v>
      </c>
      <c r="AD115" s="31">
        <f t="shared" ca="1" si="63"/>
        <v>232116.35211314313</v>
      </c>
      <c r="AE115" s="5"/>
      <c r="AF115" s="151">
        <f t="shared" ca="1" si="64"/>
        <v>-6234.722009561001</v>
      </c>
      <c r="AG115" s="151">
        <f t="shared" ca="1" si="65"/>
        <v>791783.30460311437</v>
      </c>
      <c r="AH115" s="5"/>
      <c r="AI115" s="5"/>
      <c r="AL115" s="2"/>
      <c r="AM115" s="2"/>
      <c r="AN115" s="2"/>
      <c r="AO115" s="2"/>
      <c r="AS115" s="55">
        <f t="shared" si="77"/>
        <v>10</v>
      </c>
      <c r="AT115" s="56">
        <f t="shared" si="88"/>
        <v>112</v>
      </c>
      <c r="AU115" s="57">
        <f t="shared" si="89"/>
        <v>0.57897452806286664</v>
      </c>
      <c r="AV115" s="58">
        <f t="shared" si="78"/>
        <v>4.8675505653430484E-3</v>
      </c>
      <c r="AW115" s="59">
        <f t="shared" si="79"/>
        <v>1.004867550565343</v>
      </c>
      <c r="AX115" s="60">
        <f>PRODUCT(AW$4:AW115)</f>
        <v>1.722614409811686</v>
      </c>
      <c r="AZ115" s="71">
        <f t="shared" si="90"/>
        <v>112</v>
      </c>
      <c r="BA115" s="72">
        <f t="shared" ref="BA115:BL124" ca="1" si="100">OFFSET($AW$3,($AZ115*12-12)+BA$3,0)</f>
        <v>1.004867550565343</v>
      </c>
      <c r="BB115" s="72">
        <f t="shared" ca="1" si="100"/>
        <v>1.004867550565343</v>
      </c>
      <c r="BC115" s="72">
        <f t="shared" ca="1" si="100"/>
        <v>1.004867550565343</v>
      </c>
      <c r="BD115" s="72">
        <f t="shared" ca="1" si="100"/>
        <v>1.004867550565343</v>
      </c>
      <c r="BE115" s="72">
        <f t="shared" ca="1" si="100"/>
        <v>1.004867550565343</v>
      </c>
      <c r="BF115" s="72">
        <f t="shared" ca="1" si="100"/>
        <v>1.004867550565343</v>
      </c>
      <c r="BG115" s="72">
        <f t="shared" ca="1" si="100"/>
        <v>1.004867550565343</v>
      </c>
      <c r="BH115" s="72">
        <f t="shared" ca="1" si="100"/>
        <v>1.004867550565343</v>
      </c>
      <c r="BI115" s="72">
        <f t="shared" ca="1" si="100"/>
        <v>1.004867550565343</v>
      </c>
      <c r="BJ115" s="72">
        <f t="shared" ca="1" si="100"/>
        <v>1.004867550565343</v>
      </c>
      <c r="BK115" s="72">
        <f t="shared" ca="1" si="100"/>
        <v>1.004867550565343</v>
      </c>
      <c r="BL115" s="72">
        <f t="shared" ca="1" si="100"/>
        <v>1.004867550565343</v>
      </c>
      <c r="BM115" s="72">
        <f t="shared" ca="1" si="97"/>
        <v>6.0000000000000275E-2</v>
      </c>
      <c r="BN115" s="73">
        <f t="shared" ca="1" si="98"/>
        <v>682.74245533431872</v>
      </c>
    </row>
    <row r="116" spans="5:66">
      <c r="E116">
        <f t="shared" si="95"/>
        <v>113</v>
      </c>
      <c r="F116" s="9">
        <f t="shared" si="82"/>
        <v>78.333333333332803</v>
      </c>
      <c r="G116" s="132">
        <f t="shared" si="54"/>
        <v>0</v>
      </c>
      <c r="H116" s="133">
        <f t="shared" si="91"/>
        <v>1</v>
      </c>
      <c r="I116" s="31">
        <f t="shared" si="67"/>
        <v>1340796.0420779316</v>
      </c>
      <c r="J116" s="31">
        <f t="shared" si="55"/>
        <v>6526.3925326261578</v>
      </c>
      <c r="K116" s="163">
        <f t="shared" si="56"/>
        <v>-20</v>
      </c>
      <c r="L116" s="163">
        <f t="shared" si="68"/>
        <v>-1117.3300350649431</v>
      </c>
      <c r="M116" s="163">
        <f t="shared" si="93"/>
        <v>0</v>
      </c>
      <c r="N116" s="163">
        <f t="shared" si="69"/>
        <v>-1273.7562399740352</v>
      </c>
      <c r="O116" s="84">
        <f t="shared" si="57"/>
        <v>-17488.599999999999</v>
      </c>
      <c r="P116" s="31">
        <f t="shared" si="58"/>
        <v>1327422.7483355189</v>
      </c>
      <c r="Q116" s="5"/>
      <c r="R116">
        <f t="shared" ca="1" si="70"/>
        <v>233</v>
      </c>
      <c r="S116" s="133">
        <f t="shared" ca="1" si="71"/>
        <v>87.96</v>
      </c>
      <c r="T116" s="132">
        <f t="shared" ca="1" si="59"/>
        <v>1.6101211047786723E-2</v>
      </c>
      <c r="U116" s="133">
        <f t="shared" ca="1" si="83"/>
        <v>0.28843623806213398</v>
      </c>
      <c r="V116" s="31">
        <f t="shared" ca="1" si="72"/>
        <v>228378.99774012703</v>
      </c>
      <c r="W116" s="31">
        <f t="shared" ca="1" si="60"/>
        <v>1111.6463195624342</v>
      </c>
      <c r="X116" s="163">
        <f t="shared" ca="1" si="84"/>
        <v>-5.7687247612426793</v>
      </c>
      <c r="Y116" s="163">
        <f t="shared" ca="1" si="85"/>
        <v>-190.31583145010586</v>
      </c>
      <c r="Z116" s="163">
        <f t="shared" ca="1" si="73"/>
        <v>0</v>
      </c>
      <c r="AA116" s="163">
        <f t="shared" ca="1" si="86"/>
        <v>-216.96004785312073</v>
      </c>
      <c r="AB116" s="84">
        <f t="shared" ca="1" si="61"/>
        <v>-1798.3197618009635</v>
      </c>
      <c r="AC116" s="160">
        <f t="shared" si="62"/>
        <v>0</v>
      </c>
      <c r="AD116" s="31">
        <f t="shared" ca="1" si="63"/>
        <v>227279.27969382404</v>
      </c>
      <c r="AE116" s="5"/>
      <c r="AF116" s="151">
        <f t="shared" ca="1" si="64"/>
        <v>-6234.7220095610019</v>
      </c>
      <c r="AG116" s="151">
        <f t="shared" ca="1" si="65"/>
        <v>787970.61430562788</v>
      </c>
      <c r="AH116" s="5"/>
      <c r="AI116" s="5"/>
      <c r="AL116" s="2"/>
      <c r="AM116" s="2"/>
      <c r="AN116" s="2"/>
      <c r="AO116" s="2"/>
      <c r="AS116" s="55">
        <f t="shared" si="77"/>
        <v>10</v>
      </c>
      <c r="AT116" s="56">
        <f t="shared" si="88"/>
        <v>113</v>
      </c>
      <c r="AU116" s="57">
        <f t="shared" si="89"/>
        <v>0.576156340271475</v>
      </c>
      <c r="AV116" s="58">
        <f t="shared" si="78"/>
        <v>4.8675505653430484E-3</v>
      </c>
      <c r="AW116" s="59">
        <f t="shared" si="79"/>
        <v>1.004867550565343</v>
      </c>
      <c r="AX116" s="60">
        <f>PRODUCT(AW$4:AW116)</f>
        <v>1.7309993225560329</v>
      </c>
      <c r="AZ116" s="71">
        <f t="shared" si="90"/>
        <v>113</v>
      </c>
      <c r="BA116" s="72">
        <f t="shared" ca="1" si="100"/>
        <v>1.004867550565343</v>
      </c>
      <c r="BB116" s="72">
        <f t="shared" ca="1" si="100"/>
        <v>1.004867550565343</v>
      </c>
      <c r="BC116" s="72">
        <f t="shared" ca="1" si="100"/>
        <v>1.004867550565343</v>
      </c>
      <c r="BD116" s="72">
        <f t="shared" ca="1" si="100"/>
        <v>1.004867550565343</v>
      </c>
      <c r="BE116" s="72">
        <f t="shared" ca="1" si="100"/>
        <v>1.004867550565343</v>
      </c>
      <c r="BF116" s="72">
        <f t="shared" ca="1" si="100"/>
        <v>1.004867550565343</v>
      </c>
      <c r="BG116" s="72">
        <f t="shared" ca="1" si="100"/>
        <v>1.004867550565343</v>
      </c>
      <c r="BH116" s="72">
        <f t="shared" ca="1" si="100"/>
        <v>1.004867550565343</v>
      </c>
      <c r="BI116" s="72">
        <f t="shared" ca="1" si="100"/>
        <v>1.004867550565343</v>
      </c>
      <c r="BJ116" s="72">
        <f t="shared" ca="1" si="100"/>
        <v>1.004867550565343</v>
      </c>
      <c r="BK116" s="72">
        <f t="shared" ca="1" si="100"/>
        <v>1.004867550565343</v>
      </c>
      <c r="BL116" s="72">
        <f t="shared" ca="1" si="100"/>
        <v>1.004867550565343</v>
      </c>
      <c r="BM116" s="72">
        <f t="shared" ca="1" si="97"/>
        <v>6.0000000000000275E-2</v>
      </c>
      <c r="BN116" s="73">
        <f t="shared" ca="1" si="98"/>
        <v>723.70700265437802</v>
      </c>
    </row>
    <row r="117" spans="5:66">
      <c r="E117">
        <f t="shared" si="95"/>
        <v>114</v>
      </c>
      <c r="F117" s="9">
        <f t="shared" si="82"/>
        <v>78.416666666666131</v>
      </c>
      <c r="G117" s="132">
        <f t="shared" si="54"/>
        <v>0</v>
      </c>
      <c r="H117" s="133">
        <f t="shared" si="91"/>
        <v>1</v>
      </c>
      <c r="I117" s="31">
        <f t="shared" si="67"/>
        <v>1327422.7483355189</v>
      </c>
      <c r="J117" s="31">
        <f t="shared" si="55"/>
        <v>6461.2973491097782</v>
      </c>
      <c r="K117" s="163">
        <f t="shared" si="56"/>
        <v>-20</v>
      </c>
      <c r="L117" s="163">
        <f t="shared" si="68"/>
        <v>-1106.1856236129324</v>
      </c>
      <c r="M117" s="163">
        <f t="shared" si="93"/>
        <v>0</v>
      </c>
      <c r="N117" s="163">
        <f t="shared" si="69"/>
        <v>-1261.0516109187431</v>
      </c>
      <c r="O117" s="84">
        <f t="shared" si="57"/>
        <v>-17488.599999999999</v>
      </c>
      <c r="P117" s="31">
        <f t="shared" si="58"/>
        <v>1314008.2084500969</v>
      </c>
      <c r="Q117" s="5"/>
      <c r="R117">
        <f t="shared" ca="1" si="70"/>
        <v>234</v>
      </c>
      <c r="S117" s="133">
        <f t="shared" ca="1" si="71"/>
        <v>88.04</v>
      </c>
      <c r="T117" s="132">
        <f t="shared" ca="1" si="59"/>
        <v>1.6101211047786723E-2</v>
      </c>
      <c r="U117" s="133">
        <f t="shared" ca="1" si="83"/>
        <v>0.28379206531926593</v>
      </c>
      <c r="V117" s="31">
        <f t="shared" ca="1" si="72"/>
        <v>223619.80804468482</v>
      </c>
      <c r="W117" s="31">
        <f t="shared" ca="1" si="60"/>
        <v>1088.4807230698095</v>
      </c>
      <c r="X117" s="163">
        <f t="shared" ca="1" si="84"/>
        <v>-5.675841306385319</v>
      </c>
      <c r="Y117" s="163">
        <f t="shared" ca="1" si="85"/>
        <v>-186.34984003723736</v>
      </c>
      <c r="Z117" s="163">
        <f t="shared" ca="1" si="73"/>
        <v>0</v>
      </c>
      <c r="AA117" s="163">
        <f t="shared" ca="1" si="86"/>
        <v>-212.43881764245063</v>
      </c>
      <c r="AB117" s="84">
        <f t="shared" ca="1" si="61"/>
        <v>-1769.3646357848008</v>
      </c>
      <c r="AC117" s="160">
        <f t="shared" si="62"/>
        <v>0</v>
      </c>
      <c r="AD117" s="31">
        <f t="shared" ca="1" si="63"/>
        <v>222534.45963298375</v>
      </c>
      <c r="AE117" s="5"/>
      <c r="AF117" s="151">
        <f t="shared" ca="1" si="64"/>
        <v>-6234.7220095610019</v>
      </c>
      <c r="AG117" s="151">
        <f t="shared" ca="1" si="65"/>
        <v>784146.1648430255</v>
      </c>
      <c r="AH117" s="5"/>
      <c r="AI117" s="5"/>
      <c r="AL117" s="2"/>
      <c r="AM117" s="2"/>
      <c r="AN117" s="2"/>
      <c r="AO117" s="2"/>
      <c r="AS117" s="55">
        <f t="shared" si="77"/>
        <v>10</v>
      </c>
      <c r="AT117" s="56">
        <f t="shared" si="88"/>
        <v>114</v>
      </c>
      <c r="AU117" s="57">
        <f t="shared" si="89"/>
        <v>0.57335187015166056</v>
      </c>
      <c r="AV117" s="58">
        <f t="shared" si="78"/>
        <v>4.8675505653430484E-3</v>
      </c>
      <c r="AW117" s="59">
        <f t="shared" si="79"/>
        <v>1.004867550565343</v>
      </c>
      <c r="AX117" s="60">
        <f>PRODUCT(AW$4:AW117)</f>
        <v>1.739425049287149</v>
      </c>
      <c r="AZ117" s="71">
        <f t="shared" si="90"/>
        <v>114</v>
      </c>
      <c r="BA117" s="72">
        <f t="shared" ca="1" si="100"/>
        <v>1.004867550565343</v>
      </c>
      <c r="BB117" s="72">
        <f t="shared" ca="1" si="100"/>
        <v>1.004867550565343</v>
      </c>
      <c r="BC117" s="72">
        <f t="shared" ca="1" si="100"/>
        <v>1.004867550565343</v>
      </c>
      <c r="BD117" s="72">
        <f t="shared" ca="1" si="100"/>
        <v>1.004867550565343</v>
      </c>
      <c r="BE117" s="72">
        <f t="shared" ca="1" si="100"/>
        <v>1.004867550565343</v>
      </c>
      <c r="BF117" s="72">
        <f t="shared" ca="1" si="100"/>
        <v>1.004867550565343</v>
      </c>
      <c r="BG117" s="72">
        <f t="shared" ca="1" si="100"/>
        <v>1.004867550565343</v>
      </c>
      <c r="BH117" s="72">
        <f t="shared" ca="1" si="100"/>
        <v>1.004867550565343</v>
      </c>
      <c r="BI117" s="72">
        <f t="shared" ca="1" si="100"/>
        <v>1.004867550565343</v>
      </c>
      <c r="BJ117" s="72">
        <f t="shared" ca="1" si="100"/>
        <v>1.004867550565343</v>
      </c>
      <c r="BK117" s="72">
        <f t="shared" ca="1" si="100"/>
        <v>1.004867550565343</v>
      </c>
      <c r="BL117" s="72">
        <f t="shared" ca="1" si="100"/>
        <v>1.004867550565343</v>
      </c>
      <c r="BM117" s="72">
        <f t="shared" ca="1" si="97"/>
        <v>6.0000000000000275E-2</v>
      </c>
      <c r="BN117" s="73">
        <f t="shared" ca="1" si="98"/>
        <v>767.12942281364087</v>
      </c>
    </row>
    <row r="118" spans="5:66">
      <c r="E118">
        <f t="shared" si="95"/>
        <v>115</v>
      </c>
      <c r="F118" s="9">
        <f t="shared" si="82"/>
        <v>78.49999999999946</v>
      </c>
      <c r="G118" s="132">
        <f t="shared" si="54"/>
        <v>0</v>
      </c>
      <c r="H118" s="133">
        <f t="shared" si="91"/>
        <v>1</v>
      </c>
      <c r="I118" s="31">
        <f t="shared" si="67"/>
        <v>1314008.2084500969</v>
      </c>
      <c r="J118" s="31">
        <f t="shared" si="55"/>
        <v>6396.0013979066753</v>
      </c>
      <c r="K118" s="163">
        <f t="shared" si="56"/>
        <v>-20</v>
      </c>
      <c r="L118" s="163">
        <f t="shared" si="68"/>
        <v>-1095.0068403750809</v>
      </c>
      <c r="M118" s="163">
        <f t="shared" si="93"/>
        <v>0</v>
      </c>
      <c r="N118" s="163">
        <f t="shared" si="69"/>
        <v>-1248.3077980275923</v>
      </c>
      <c r="O118" s="84">
        <f t="shared" si="57"/>
        <v>-17488.599999999999</v>
      </c>
      <c r="P118" s="31">
        <f t="shared" si="58"/>
        <v>1300552.2952096008</v>
      </c>
      <c r="Q118" s="5"/>
      <c r="R118">
        <f t="shared" ca="1" si="70"/>
        <v>235</v>
      </c>
      <c r="S118" s="133">
        <f t="shared" ca="1" si="71"/>
        <v>88.12</v>
      </c>
      <c r="T118" s="132">
        <f t="shared" ca="1" si="59"/>
        <v>1.6101211047786723E-2</v>
      </c>
      <c r="U118" s="133">
        <f t="shared" ca="1" si="83"/>
        <v>0.27922266938187318</v>
      </c>
      <c r="V118" s="31">
        <f t="shared" ca="1" si="72"/>
        <v>218951.38533302789</v>
      </c>
      <c r="W118" s="31">
        <f t="shared" ca="1" si="60"/>
        <v>1065.7569394604236</v>
      </c>
      <c r="X118" s="163">
        <f t="shared" ca="1" si="84"/>
        <v>-5.5844533876374634</v>
      </c>
      <c r="Y118" s="163">
        <f t="shared" ca="1" si="85"/>
        <v>-182.45948777752326</v>
      </c>
      <c r="Z118" s="163">
        <f t="shared" ca="1" si="73"/>
        <v>0</v>
      </c>
      <c r="AA118" s="163">
        <f t="shared" ca="1" si="86"/>
        <v>-208.00381606637654</v>
      </c>
      <c r="AB118" s="84">
        <f t="shared" ca="1" si="61"/>
        <v>-1740.8757223635394</v>
      </c>
      <c r="AC118" s="160">
        <f t="shared" si="62"/>
        <v>0</v>
      </c>
      <c r="AD118" s="31">
        <f t="shared" ca="1" si="63"/>
        <v>217880.21879289325</v>
      </c>
      <c r="AE118" s="5"/>
      <c r="AF118" s="151">
        <f t="shared" ca="1" si="64"/>
        <v>-6234.722009561001</v>
      </c>
      <c r="AG118" s="151">
        <f t="shared" ca="1" si="65"/>
        <v>780309.91994748753</v>
      </c>
      <c r="AH118" s="5"/>
      <c r="AI118" s="5"/>
      <c r="AL118" s="2"/>
      <c r="AM118" s="2"/>
      <c r="AN118" s="2"/>
      <c r="AO118" s="2"/>
      <c r="AS118" s="55">
        <f t="shared" si="77"/>
        <v>10</v>
      </c>
      <c r="AT118" s="56">
        <f t="shared" si="88"/>
        <v>115</v>
      </c>
      <c r="AU118" s="57">
        <f t="shared" si="89"/>
        <v>0.5705610509319633</v>
      </c>
      <c r="AV118" s="58">
        <f t="shared" si="78"/>
        <v>4.8675505653430484E-3</v>
      </c>
      <c r="AW118" s="59">
        <f t="shared" si="79"/>
        <v>1.004867550565343</v>
      </c>
      <c r="AX118" s="60">
        <f>PRODUCT(AW$4:AW118)</f>
        <v>1.7478917886691785</v>
      </c>
      <c r="AZ118" s="71">
        <f t="shared" si="90"/>
        <v>115</v>
      </c>
      <c r="BA118" s="72">
        <f t="shared" ca="1" si="100"/>
        <v>1.004867550565343</v>
      </c>
      <c r="BB118" s="72">
        <f t="shared" ca="1" si="100"/>
        <v>1.004867550565343</v>
      </c>
      <c r="BC118" s="72">
        <f t="shared" ca="1" si="100"/>
        <v>1.004867550565343</v>
      </c>
      <c r="BD118" s="72">
        <f t="shared" ca="1" si="100"/>
        <v>1.004867550565343</v>
      </c>
      <c r="BE118" s="72">
        <f t="shared" ca="1" si="100"/>
        <v>1.004867550565343</v>
      </c>
      <c r="BF118" s="72">
        <f t="shared" ca="1" si="100"/>
        <v>1.004867550565343</v>
      </c>
      <c r="BG118" s="72">
        <f t="shared" ca="1" si="100"/>
        <v>1.004867550565343</v>
      </c>
      <c r="BH118" s="72">
        <f t="shared" ca="1" si="100"/>
        <v>1.004867550565343</v>
      </c>
      <c r="BI118" s="72">
        <f t="shared" ca="1" si="100"/>
        <v>1.004867550565343</v>
      </c>
      <c r="BJ118" s="72">
        <f t="shared" ca="1" si="100"/>
        <v>1.004867550565343</v>
      </c>
      <c r="BK118" s="72">
        <f t="shared" ca="1" si="100"/>
        <v>1.004867550565343</v>
      </c>
      <c r="BL118" s="72">
        <f t="shared" ca="1" si="100"/>
        <v>1.004867550565343</v>
      </c>
      <c r="BM118" s="72">
        <f t="shared" ca="1" si="97"/>
        <v>6.0000000000000275E-2</v>
      </c>
      <c r="BN118" s="73">
        <f t="shared" ca="1" si="98"/>
        <v>813.15718818245955</v>
      </c>
    </row>
    <row r="119" spans="5:66">
      <c r="E119">
        <f t="shared" si="95"/>
        <v>116</v>
      </c>
      <c r="F119" s="9">
        <f t="shared" si="82"/>
        <v>78.583333333332789</v>
      </c>
      <c r="G119" s="132">
        <f t="shared" si="54"/>
        <v>0</v>
      </c>
      <c r="H119" s="133">
        <f t="shared" si="91"/>
        <v>1</v>
      </c>
      <c r="I119" s="31">
        <f t="shared" si="67"/>
        <v>1300552.2952096008</v>
      </c>
      <c r="J119" s="31">
        <f t="shared" si="55"/>
        <v>6330.5040598056921</v>
      </c>
      <c r="K119" s="163">
        <f t="shared" si="56"/>
        <v>-20</v>
      </c>
      <c r="L119" s="163">
        <f t="shared" si="68"/>
        <v>-1083.7935793413342</v>
      </c>
      <c r="M119" s="163">
        <f t="shared" si="93"/>
        <v>0</v>
      </c>
      <c r="N119" s="163">
        <f t="shared" si="69"/>
        <v>-1235.524680449121</v>
      </c>
      <c r="O119" s="84">
        <f t="shared" si="57"/>
        <v>-17488.599999999999</v>
      </c>
      <c r="P119" s="31">
        <f t="shared" si="58"/>
        <v>1287054.881009616</v>
      </c>
      <c r="Q119" s="5"/>
      <c r="R119">
        <f t="shared" ca="1" si="70"/>
        <v>236</v>
      </c>
      <c r="S119" s="133">
        <f t="shared" ca="1" si="71"/>
        <v>88.2</v>
      </c>
      <c r="T119" s="132">
        <f t="shared" ca="1" si="59"/>
        <v>1.6101211047786723E-2</v>
      </c>
      <c r="U119" s="133">
        <f t="shared" ca="1" si="83"/>
        <v>0.27472684625282928</v>
      </c>
      <c r="V119" s="31">
        <f t="shared" ca="1" si="72"/>
        <v>214372.08340697092</v>
      </c>
      <c r="W119" s="31">
        <f t="shared" ca="1" si="60"/>
        <v>1043.4669557813684</v>
      </c>
      <c r="X119" s="163">
        <f t="shared" ca="1" si="84"/>
        <v>-5.4945369250565861</v>
      </c>
      <c r="Y119" s="163">
        <f t="shared" ca="1" si="85"/>
        <v>-178.64340283914245</v>
      </c>
      <c r="Z119" s="163">
        <f t="shared" ca="1" si="73"/>
        <v>0</v>
      </c>
      <c r="AA119" s="163">
        <f t="shared" ca="1" si="86"/>
        <v>-203.65347923662242</v>
      </c>
      <c r="AB119" s="84">
        <f t="shared" ca="1" si="61"/>
        <v>-1712.8455149497961</v>
      </c>
      <c r="AC119" s="160">
        <f t="shared" si="62"/>
        <v>0</v>
      </c>
      <c r="AD119" s="31">
        <f t="shared" ca="1" si="63"/>
        <v>213314.91342880169</v>
      </c>
      <c r="AE119" s="5"/>
      <c r="AF119" s="151">
        <f t="shared" ca="1" si="64"/>
        <v>-6234.7220095610019</v>
      </c>
      <c r="AG119" s="151">
        <f t="shared" ca="1" si="65"/>
        <v>776461.84323933674</v>
      </c>
      <c r="AH119" s="5"/>
      <c r="AI119" s="5"/>
      <c r="AL119" s="2"/>
      <c r="AM119" s="2"/>
      <c r="AN119" s="2"/>
      <c r="AO119" s="2"/>
      <c r="AS119" s="55">
        <f t="shared" si="77"/>
        <v>10</v>
      </c>
      <c r="AT119" s="56">
        <f t="shared" si="88"/>
        <v>116</v>
      </c>
      <c r="AU119" s="57">
        <f t="shared" si="89"/>
        <v>0.56778381616593665</v>
      </c>
      <c r="AV119" s="58">
        <f t="shared" si="78"/>
        <v>4.8675505653430484E-3</v>
      </c>
      <c r="AW119" s="59">
        <f t="shared" si="79"/>
        <v>1.004867550565343</v>
      </c>
      <c r="AX119" s="60">
        <f>PRODUCT(AW$4:AW119)</f>
        <v>1.7563997403332736</v>
      </c>
      <c r="AZ119" s="71">
        <f t="shared" si="90"/>
        <v>116</v>
      </c>
      <c r="BA119" s="72">
        <f t="shared" ca="1" si="100"/>
        <v>1.004867550565343</v>
      </c>
      <c r="BB119" s="72">
        <f t="shared" ca="1" si="100"/>
        <v>1.004867550565343</v>
      </c>
      <c r="BC119" s="72">
        <f t="shared" ca="1" si="100"/>
        <v>1.004867550565343</v>
      </c>
      <c r="BD119" s="72">
        <f t="shared" ca="1" si="100"/>
        <v>1.004867550565343</v>
      </c>
      <c r="BE119" s="72">
        <f t="shared" ca="1" si="100"/>
        <v>1.004867550565343</v>
      </c>
      <c r="BF119" s="72">
        <f t="shared" ca="1" si="100"/>
        <v>1.004867550565343</v>
      </c>
      <c r="BG119" s="72">
        <f t="shared" ca="1" si="100"/>
        <v>1.004867550565343</v>
      </c>
      <c r="BH119" s="72">
        <f t="shared" ca="1" si="100"/>
        <v>1.004867550565343</v>
      </c>
      <c r="BI119" s="72">
        <f t="shared" ca="1" si="100"/>
        <v>1.004867550565343</v>
      </c>
      <c r="BJ119" s="72">
        <f t="shared" ca="1" si="100"/>
        <v>1.004867550565343</v>
      </c>
      <c r="BK119" s="72">
        <f t="shared" ca="1" si="100"/>
        <v>1.004867550565343</v>
      </c>
      <c r="BL119" s="72">
        <f t="shared" ca="1" si="100"/>
        <v>1.004867550565343</v>
      </c>
      <c r="BM119" s="72">
        <f t="shared" ca="1" si="97"/>
        <v>6.0000000000000275E-2</v>
      </c>
      <c r="BN119" s="73">
        <f t="shared" ca="1" si="98"/>
        <v>861.9466194734074</v>
      </c>
    </row>
    <row r="120" spans="5:66">
      <c r="E120">
        <f t="shared" si="95"/>
        <v>117</v>
      </c>
      <c r="F120" s="9">
        <f t="shared" si="82"/>
        <v>78.666666666666117</v>
      </c>
      <c r="G120" s="132">
        <f t="shared" si="54"/>
        <v>0</v>
      </c>
      <c r="H120" s="133">
        <f t="shared" si="91"/>
        <v>1</v>
      </c>
      <c r="I120" s="31">
        <f t="shared" si="67"/>
        <v>1287054.881009616</v>
      </c>
      <c r="J120" s="31">
        <f t="shared" si="55"/>
        <v>6264.8047136858859</v>
      </c>
      <c r="K120" s="163">
        <f t="shared" si="56"/>
        <v>-20</v>
      </c>
      <c r="L120" s="163">
        <f t="shared" si="68"/>
        <v>-1072.5457341746801</v>
      </c>
      <c r="M120" s="163">
        <f t="shared" si="93"/>
        <v>0</v>
      </c>
      <c r="N120" s="163">
        <f t="shared" si="69"/>
        <v>-1222.7021369591355</v>
      </c>
      <c r="O120" s="84">
        <f t="shared" si="57"/>
        <v>-17488.599999999999</v>
      </c>
      <c r="P120" s="31">
        <f t="shared" si="58"/>
        <v>1273515.8378521679</v>
      </c>
      <c r="Q120" s="5"/>
      <c r="R120">
        <f t="shared" ca="1" si="70"/>
        <v>237</v>
      </c>
      <c r="S120" s="133">
        <f t="shared" ca="1" si="71"/>
        <v>88.28</v>
      </c>
      <c r="T120" s="132">
        <f t="shared" ca="1" si="59"/>
        <v>1.6101211047786723E-2</v>
      </c>
      <c r="U120" s="133">
        <f t="shared" ca="1" si="83"/>
        <v>0.27030341132081964</v>
      </c>
      <c r="V120" s="31">
        <f t="shared" ca="1" si="72"/>
        <v>209880.28498804421</v>
      </c>
      <c r="W120" s="31">
        <f t="shared" ca="1" si="60"/>
        <v>1021.6028998479147</v>
      </c>
      <c r="X120" s="163">
        <f t="shared" ca="1" si="84"/>
        <v>-5.4060682264163926</v>
      </c>
      <c r="Y120" s="163">
        <f t="shared" ca="1" si="85"/>
        <v>-174.90023749003686</v>
      </c>
      <c r="Z120" s="163">
        <f t="shared" ca="1" si="73"/>
        <v>0</v>
      </c>
      <c r="AA120" s="163">
        <f t="shared" ca="1" si="86"/>
        <v>-199.38627073864203</v>
      </c>
      <c r="AB120" s="84">
        <f t="shared" ca="1" si="61"/>
        <v>-1685.2666278213346</v>
      </c>
      <c r="AC120" s="160">
        <f t="shared" si="62"/>
        <v>0</v>
      </c>
      <c r="AD120" s="31">
        <f t="shared" ca="1" si="63"/>
        <v>208836.92868361567</v>
      </c>
      <c r="AE120" s="5"/>
      <c r="AF120" s="151">
        <f t="shared" ca="1" si="64"/>
        <v>-6234.7220095610019</v>
      </c>
      <c r="AG120" s="151">
        <f t="shared" ca="1" si="65"/>
        <v>772601.89822669234</v>
      </c>
      <c r="AH120" s="5"/>
      <c r="AI120" s="5"/>
      <c r="AL120" s="2"/>
      <c r="AM120" s="2"/>
      <c r="AN120" s="2"/>
      <c r="AO120" s="2"/>
      <c r="AS120" s="55">
        <f t="shared" si="77"/>
        <v>10</v>
      </c>
      <c r="AT120" s="56">
        <f t="shared" si="88"/>
        <v>117</v>
      </c>
      <c r="AU120" s="57">
        <f t="shared" si="89"/>
        <v>0.56502009973056555</v>
      </c>
      <c r="AV120" s="58">
        <f t="shared" si="78"/>
        <v>4.8675505653430484E-3</v>
      </c>
      <c r="AW120" s="59">
        <f t="shared" si="79"/>
        <v>1.004867550565343</v>
      </c>
      <c r="AX120" s="60">
        <f>PRODUCT(AW$4:AW120)</f>
        <v>1.7649491048823012</v>
      </c>
      <c r="AZ120" s="71">
        <f t="shared" si="90"/>
        <v>117</v>
      </c>
      <c r="BA120" s="72">
        <f t="shared" ca="1" si="100"/>
        <v>1.004867550565343</v>
      </c>
      <c r="BB120" s="72">
        <f t="shared" ca="1" si="100"/>
        <v>1.004867550565343</v>
      </c>
      <c r="BC120" s="72">
        <f t="shared" ca="1" si="100"/>
        <v>1.004867550565343</v>
      </c>
      <c r="BD120" s="72">
        <f t="shared" ca="1" si="100"/>
        <v>1.004867550565343</v>
      </c>
      <c r="BE120" s="72">
        <f t="shared" ca="1" si="100"/>
        <v>1.004867550565343</v>
      </c>
      <c r="BF120" s="72">
        <f t="shared" ca="1" si="100"/>
        <v>1.004867550565343</v>
      </c>
      <c r="BG120" s="72">
        <f t="shared" ca="1" si="100"/>
        <v>1.004867550565343</v>
      </c>
      <c r="BH120" s="72">
        <f t="shared" ca="1" si="100"/>
        <v>1.004867550565343</v>
      </c>
      <c r="BI120" s="72">
        <f t="shared" ca="1" si="100"/>
        <v>1.004867550565343</v>
      </c>
      <c r="BJ120" s="72">
        <f t="shared" ca="1" si="100"/>
        <v>1.004867550565343</v>
      </c>
      <c r="BK120" s="72">
        <f t="shared" ca="1" si="100"/>
        <v>1.004867550565343</v>
      </c>
      <c r="BL120" s="72">
        <f t="shared" ca="1" si="100"/>
        <v>1.004867550565343</v>
      </c>
      <c r="BM120" s="72">
        <f t="shared" ca="1" si="97"/>
        <v>6.0000000000000275E-2</v>
      </c>
      <c r="BN120" s="73">
        <f t="shared" ca="1" si="98"/>
        <v>913.66341664181209</v>
      </c>
    </row>
    <row r="121" spans="5:66">
      <c r="E121">
        <f t="shared" si="95"/>
        <v>118</v>
      </c>
      <c r="F121" s="9">
        <f t="shared" si="82"/>
        <v>78.749999999999446</v>
      </c>
      <c r="G121" s="132">
        <f t="shared" si="54"/>
        <v>0</v>
      </c>
      <c r="H121" s="133">
        <f t="shared" si="91"/>
        <v>1</v>
      </c>
      <c r="I121" s="31">
        <f t="shared" si="67"/>
        <v>1273515.8378521679</v>
      </c>
      <c r="J121" s="31">
        <f t="shared" si="55"/>
        <v>6198.9027365106458</v>
      </c>
      <c r="K121" s="163">
        <f t="shared" si="56"/>
        <v>-20</v>
      </c>
      <c r="L121" s="163">
        <f t="shared" si="68"/>
        <v>-1061.26319821014</v>
      </c>
      <c r="M121" s="163">
        <f t="shared" si="93"/>
        <v>0</v>
      </c>
      <c r="N121" s="163">
        <f t="shared" si="69"/>
        <v>-1209.8400459595598</v>
      </c>
      <c r="O121" s="84">
        <f t="shared" si="57"/>
        <v>-17488.599999999999</v>
      </c>
      <c r="P121" s="31">
        <f t="shared" si="58"/>
        <v>1259935.0373445088</v>
      </c>
      <c r="Q121" s="5"/>
      <c r="R121">
        <f t="shared" ca="1" si="70"/>
        <v>238</v>
      </c>
      <c r="S121" s="133">
        <f t="shared" ca="1" si="71"/>
        <v>88.36</v>
      </c>
      <c r="T121" s="132">
        <f t="shared" ca="1" si="59"/>
        <v>1.6101211047786723E-2</v>
      </c>
      <c r="U121" s="133">
        <f t="shared" ca="1" si="83"/>
        <v>0.26595119904820641</v>
      </c>
      <c r="V121" s="31">
        <f t="shared" ca="1" si="72"/>
        <v>205474.4012203092</v>
      </c>
      <c r="W121" s="31">
        <f t="shared" ca="1" si="60"/>
        <v>1000.1570378234404</v>
      </c>
      <c r="X121" s="163">
        <f t="shared" ca="1" si="84"/>
        <v>-5.3190239809641282</v>
      </c>
      <c r="Y121" s="163">
        <f t="shared" ca="1" si="85"/>
        <v>-171.228667683591</v>
      </c>
      <c r="Z121" s="163">
        <f t="shared" ca="1" si="73"/>
        <v>0</v>
      </c>
      <c r="AA121" s="163">
        <f t="shared" ca="1" si="86"/>
        <v>-195.20068115929379</v>
      </c>
      <c r="AB121" s="84">
        <f t="shared" ca="1" si="61"/>
        <v>-1658.1317941749915</v>
      </c>
      <c r="AC121" s="160">
        <f t="shared" si="62"/>
        <v>0</v>
      </c>
      <c r="AD121" s="31">
        <f t="shared" ca="1" si="63"/>
        <v>204444.6780911338</v>
      </c>
      <c r="AE121" s="5"/>
      <c r="AF121" s="151">
        <f t="shared" ca="1" si="64"/>
        <v>-6234.7220095610019</v>
      </c>
      <c r="AG121" s="151">
        <f t="shared" ca="1" si="65"/>
        <v>768730.04830512567</v>
      </c>
      <c r="AH121" s="5"/>
      <c r="AI121" s="5"/>
      <c r="AS121" s="55">
        <f t="shared" si="77"/>
        <v>10</v>
      </c>
      <c r="AT121" s="56">
        <f t="shared" si="88"/>
        <v>118</v>
      </c>
      <c r="AU121" s="57">
        <f t="shared" si="89"/>
        <v>0.56226983582469181</v>
      </c>
      <c r="AV121" s="58">
        <f t="shared" si="78"/>
        <v>4.8675505653430484E-3</v>
      </c>
      <c r="AW121" s="59">
        <f t="shared" si="79"/>
        <v>1.004867550565343</v>
      </c>
      <c r="AX121" s="60">
        <f>PRODUCT(AW$4:AW121)</f>
        <v>1.7735400838955728</v>
      </c>
      <c r="AZ121" s="71">
        <f t="shared" si="90"/>
        <v>118</v>
      </c>
      <c r="BA121" s="72">
        <f t="shared" ca="1" si="100"/>
        <v>1.004867550565343</v>
      </c>
      <c r="BB121" s="72">
        <f t="shared" ca="1" si="100"/>
        <v>1.004867550565343</v>
      </c>
      <c r="BC121" s="72">
        <f t="shared" ca="1" si="100"/>
        <v>1.004867550565343</v>
      </c>
      <c r="BD121" s="72">
        <f t="shared" ca="1" si="100"/>
        <v>1.004867550565343</v>
      </c>
      <c r="BE121" s="72">
        <f t="shared" ca="1" si="100"/>
        <v>1.004867550565343</v>
      </c>
      <c r="BF121" s="72">
        <f t="shared" ca="1" si="100"/>
        <v>1.004867550565343</v>
      </c>
      <c r="BG121" s="72">
        <f t="shared" ca="1" si="100"/>
        <v>1.004867550565343</v>
      </c>
      <c r="BH121" s="72">
        <f t="shared" ca="1" si="100"/>
        <v>1.004867550565343</v>
      </c>
      <c r="BI121" s="72">
        <f t="shared" ca="1" si="100"/>
        <v>1.004867550565343</v>
      </c>
      <c r="BJ121" s="72">
        <f t="shared" ca="1" si="100"/>
        <v>1.004867550565343</v>
      </c>
      <c r="BK121" s="72">
        <f t="shared" ca="1" si="100"/>
        <v>1.004867550565343</v>
      </c>
      <c r="BL121" s="72">
        <f t="shared" ca="1" si="100"/>
        <v>1.004867550565343</v>
      </c>
      <c r="BM121" s="72">
        <f t="shared" ca="1" si="97"/>
        <v>6.0000000000000275E-2</v>
      </c>
      <c r="BN121" s="73">
        <f t="shared" ca="1" si="98"/>
        <v>968.48322164032106</v>
      </c>
    </row>
    <row r="122" spans="5:66">
      <c r="E122">
        <f t="shared" si="95"/>
        <v>119</v>
      </c>
      <c r="F122" s="9">
        <f t="shared" si="82"/>
        <v>78.833333333332774</v>
      </c>
      <c r="G122" s="132">
        <f t="shared" si="54"/>
        <v>0</v>
      </c>
      <c r="H122" s="133">
        <f t="shared" si="91"/>
        <v>1</v>
      </c>
      <c r="I122" s="31">
        <f t="shared" si="67"/>
        <v>1259935.0373445088</v>
      </c>
      <c r="J122" s="31">
        <f t="shared" si="55"/>
        <v>6132.797503321779</v>
      </c>
      <c r="K122" s="163">
        <f t="shared" si="56"/>
        <v>-20</v>
      </c>
      <c r="L122" s="163">
        <f t="shared" si="68"/>
        <v>-1049.9458644537574</v>
      </c>
      <c r="M122" s="163">
        <f t="shared" si="93"/>
        <v>0</v>
      </c>
      <c r="N122" s="163">
        <f t="shared" si="69"/>
        <v>-1196.9382854772837</v>
      </c>
      <c r="O122" s="84">
        <f t="shared" si="57"/>
        <v>-17488.599999999999</v>
      </c>
      <c r="P122" s="31">
        <f t="shared" si="58"/>
        <v>1246312.3506978995</v>
      </c>
      <c r="Q122" s="5"/>
      <c r="R122">
        <f t="shared" ca="1" si="70"/>
        <v>239</v>
      </c>
      <c r="S122" s="133">
        <f t="shared" ca="1" si="71"/>
        <v>88.44</v>
      </c>
      <c r="T122" s="132">
        <f t="shared" ca="1" si="59"/>
        <v>1.6101211047786723E-2</v>
      </c>
      <c r="U122" s="133">
        <f t="shared" ca="1" si="83"/>
        <v>0.26166906266391932</v>
      </c>
      <c r="V122" s="31">
        <f t="shared" ca="1" si="72"/>
        <v>201152.87118159165</v>
      </c>
      <c r="W122" s="31">
        <f t="shared" ca="1" si="60"/>
        <v>979.12177184033385</v>
      </c>
      <c r="X122" s="163">
        <f t="shared" ca="1" si="84"/>
        <v>-5.2333812532783863</v>
      </c>
      <c r="Y122" s="163">
        <f t="shared" ca="1" si="85"/>
        <v>-167.62739265132637</v>
      </c>
      <c r="Z122" s="163">
        <f t="shared" ca="1" si="73"/>
        <v>0</v>
      </c>
      <c r="AA122" s="163">
        <f t="shared" ca="1" si="86"/>
        <v>-191.09522762251208</v>
      </c>
      <c r="AB122" s="84">
        <f t="shared" ca="1" si="61"/>
        <v>-1631.4338642119346</v>
      </c>
      <c r="AC122" s="160">
        <f t="shared" si="62"/>
        <v>0</v>
      </c>
      <c r="AD122" s="31">
        <f t="shared" ca="1" si="63"/>
        <v>200136.6030876929</v>
      </c>
      <c r="AE122" s="5"/>
      <c r="AF122" s="151">
        <f t="shared" ca="1" si="64"/>
        <v>-6234.722009561001</v>
      </c>
      <c r="AG122" s="151">
        <f t="shared" ca="1" si="65"/>
        <v>764846.25675731082</v>
      </c>
      <c r="AH122" s="5"/>
      <c r="AI122" s="5"/>
      <c r="AS122" s="55">
        <f t="shared" si="77"/>
        <v>10</v>
      </c>
      <c r="AT122" s="56">
        <f t="shared" si="88"/>
        <v>119</v>
      </c>
      <c r="AU122" s="57">
        <f t="shared" si="89"/>
        <v>0.55953295896744804</v>
      </c>
      <c r="AV122" s="58">
        <f t="shared" si="78"/>
        <v>4.8675505653430484E-3</v>
      </c>
      <c r="AW122" s="59">
        <f t="shared" si="79"/>
        <v>1.004867550565343</v>
      </c>
      <c r="AX122" s="60">
        <f>PRODUCT(AW$4:AW122)</f>
        <v>1.7821728799335972</v>
      </c>
      <c r="AZ122" s="71">
        <f t="shared" si="90"/>
        <v>119</v>
      </c>
      <c r="BA122" s="72">
        <f t="shared" ca="1" si="100"/>
        <v>1.004867550565343</v>
      </c>
      <c r="BB122" s="72">
        <f t="shared" ca="1" si="100"/>
        <v>1.004867550565343</v>
      </c>
      <c r="BC122" s="72">
        <f t="shared" ca="1" si="100"/>
        <v>1.004867550565343</v>
      </c>
      <c r="BD122" s="72">
        <f t="shared" ca="1" si="100"/>
        <v>1.004867550565343</v>
      </c>
      <c r="BE122" s="72">
        <f t="shared" ca="1" si="100"/>
        <v>1.004867550565343</v>
      </c>
      <c r="BF122" s="72">
        <f t="shared" ca="1" si="100"/>
        <v>1.004867550565343</v>
      </c>
      <c r="BG122" s="72">
        <f t="shared" ca="1" si="100"/>
        <v>1.004867550565343</v>
      </c>
      <c r="BH122" s="72">
        <f t="shared" ca="1" si="100"/>
        <v>1.004867550565343</v>
      </c>
      <c r="BI122" s="72">
        <f t="shared" ca="1" si="100"/>
        <v>1.004867550565343</v>
      </c>
      <c r="BJ122" s="72">
        <f t="shared" ca="1" si="100"/>
        <v>1.004867550565343</v>
      </c>
      <c r="BK122" s="72">
        <f t="shared" ca="1" si="100"/>
        <v>1.004867550565343</v>
      </c>
      <c r="BL122" s="72">
        <f t="shared" ca="1" si="100"/>
        <v>1.004867550565343</v>
      </c>
      <c r="BM122" s="72">
        <f t="shared" ca="1" si="97"/>
        <v>6.0000000000000275E-2</v>
      </c>
      <c r="BN122" s="73">
        <f t="shared" ca="1" si="98"/>
        <v>1026.5922149387407</v>
      </c>
    </row>
    <row r="123" spans="5:66">
      <c r="E123">
        <f t="shared" si="95"/>
        <v>120</v>
      </c>
      <c r="F123" s="9">
        <f t="shared" si="82"/>
        <v>78.916666666666103</v>
      </c>
      <c r="G123" s="132">
        <f t="shared" si="54"/>
        <v>0</v>
      </c>
      <c r="H123" s="133">
        <f t="shared" si="91"/>
        <v>1</v>
      </c>
      <c r="I123" s="31">
        <f t="shared" si="67"/>
        <v>1246312.3506978995</v>
      </c>
      <c r="J123" s="31">
        <f t="shared" si="55"/>
        <v>6066.488387233584</v>
      </c>
      <c r="K123" s="163">
        <f t="shared" si="56"/>
        <v>-20</v>
      </c>
      <c r="L123" s="163">
        <f t="shared" si="68"/>
        <v>-1038.593625581583</v>
      </c>
      <c r="M123" s="163">
        <f t="shared" si="93"/>
        <v>0</v>
      </c>
      <c r="N123" s="163">
        <f t="shared" si="69"/>
        <v>-1183.9967331630048</v>
      </c>
      <c r="O123" s="84">
        <f t="shared" si="57"/>
        <v>-17488.599999999999</v>
      </c>
      <c r="P123" s="31">
        <f t="shared" si="58"/>
        <v>1232647.6487263883</v>
      </c>
      <c r="Q123" s="5"/>
      <c r="R123">
        <f t="shared" ca="1" si="70"/>
        <v>240</v>
      </c>
      <c r="S123" s="133">
        <f t="shared" ca="1" si="71"/>
        <v>88.52</v>
      </c>
      <c r="T123" s="132">
        <f t="shared" ca="1" si="59"/>
        <v>1.7629481118167423E-2</v>
      </c>
      <c r="U123" s="133">
        <f t="shared" ca="1" si="83"/>
        <v>0.25705597286447718</v>
      </c>
      <c r="V123" s="31">
        <f t="shared" ca="1" si="72"/>
        <v>196608.29862250426</v>
      </c>
      <c r="W123" s="31">
        <f t="shared" ca="1" si="60"/>
        <v>957.00083511110552</v>
      </c>
      <c r="X123" s="163">
        <f t="shared" ca="1" si="84"/>
        <v>-5.1411194572895438</v>
      </c>
      <c r="Y123" s="163">
        <f t="shared" ca="1" si="85"/>
        <v>-163.84024885208689</v>
      </c>
      <c r="Z123" s="163">
        <f t="shared" ca="1" si="73"/>
        <v>-1474.5622396687818</v>
      </c>
      <c r="AA123" s="163">
        <f t="shared" ca="1" si="86"/>
        <v>-186.77788369137909</v>
      </c>
      <c r="AB123" s="84">
        <f t="shared" ca="1" si="61"/>
        <v>-1602.6725317072714</v>
      </c>
      <c r="AC123" s="160">
        <f t="shared" si="62"/>
        <v>0</v>
      </c>
      <c r="AD123" s="31">
        <f t="shared" ca="1" si="63"/>
        <v>194132.30543423854</v>
      </c>
      <c r="AE123" s="5"/>
      <c r="AF123" s="151">
        <f t="shared" ca="1" si="64"/>
        <v>-6234.7220095610019</v>
      </c>
      <c r="AG123" s="151">
        <f t="shared" ca="1" si="65"/>
        <v>755214.13982699905</v>
      </c>
      <c r="AH123" s="5"/>
      <c r="AI123" s="5"/>
      <c r="AS123" s="55">
        <f t="shared" si="77"/>
        <v>10</v>
      </c>
      <c r="AT123" s="56">
        <f t="shared" si="88"/>
        <v>120</v>
      </c>
      <c r="AU123" s="57">
        <f t="shared" si="89"/>
        <v>0.55680940399669798</v>
      </c>
      <c r="AV123" s="58">
        <f t="shared" si="78"/>
        <v>4.8675505653430484E-3</v>
      </c>
      <c r="AW123" s="59">
        <f t="shared" si="79"/>
        <v>1.004867550565343</v>
      </c>
      <c r="AX123" s="60">
        <f>PRODUCT(AW$4:AW123)</f>
        <v>1.790847696542857</v>
      </c>
      <c r="AZ123" s="71">
        <f t="shared" si="90"/>
        <v>120</v>
      </c>
      <c r="BA123" s="72">
        <f t="shared" ca="1" si="100"/>
        <v>1.004867550565343</v>
      </c>
      <c r="BB123" s="72">
        <f t="shared" ca="1" si="100"/>
        <v>1.004867550565343</v>
      </c>
      <c r="BC123" s="72">
        <f t="shared" ca="1" si="100"/>
        <v>1.004867550565343</v>
      </c>
      <c r="BD123" s="72">
        <f t="shared" ca="1" si="100"/>
        <v>1.004867550565343</v>
      </c>
      <c r="BE123" s="72">
        <f t="shared" ca="1" si="100"/>
        <v>1.004867550565343</v>
      </c>
      <c r="BF123" s="72">
        <f t="shared" ca="1" si="100"/>
        <v>1.004867550565343</v>
      </c>
      <c r="BG123" s="72">
        <f t="shared" ca="1" si="100"/>
        <v>1.004867550565343</v>
      </c>
      <c r="BH123" s="72">
        <f t="shared" ca="1" si="100"/>
        <v>1.004867550565343</v>
      </c>
      <c r="BI123" s="72">
        <f t="shared" ca="1" si="100"/>
        <v>1.004867550565343</v>
      </c>
      <c r="BJ123" s="72">
        <f t="shared" ca="1" si="100"/>
        <v>1.004867550565343</v>
      </c>
      <c r="BK123" s="72">
        <f t="shared" ca="1" si="100"/>
        <v>1.004867550565343</v>
      </c>
      <c r="BL123" s="72">
        <f t="shared" ca="1" si="100"/>
        <v>1.004867550565343</v>
      </c>
      <c r="BM123" s="72">
        <f t="shared" ca="1" si="97"/>
        <v>6.0000000000000275E-2</v>
      </c>
      <c r="BN123" s="73">
        <f t="shared" ca="1" si="98"/>
        <v>1088.1877478350655</v>
      </c>
    </row>
    <row r="124" spans="5:66">
      <c r="E124">
        <f t="shared" si="95"/>
        <v>121</v>
      </c>
      <c r="F124" s="9">
        <f t="shared" si="82"/>
        <v>78.999999999999432</v>
      </c>
      <c r="G124" s="132">
        <f t="shared" si="54"/>
        <v>0</v>
      </c>
      <c r="H124" s="133">
        <f t="shared" si="91"/>
        <v>1</v>
      </c>
      <c r="I124" s="31">
        <f t="shared" si="67"/>
        <v>1232647.6487263883</v>
      </c>
      <c r="J124" s="31">
        <f t="shared" si="55"/>
        <v>5999.9747594269111</v>
      </c>
      <c r="K124" s="163">
        <f t="shared" si="56"/>
        <v>-20</v>
      </c>
      <c r="L124" s="163">
        <f t="shared" si="68"/>
        <v>-1027.206373938657</v>
      </c>
      <c r="M124" s="163">
        <f t="shared" si="93"/>
        <v>-9244.8573654479114</v>
      </c>
      <c r="N124" s="163">
        <f t="shared" si="69"/>
        <v>-1171.0152662900691</v>
      </c>
      <c r="O124" s="84">
        <f t="shared" si="57"/>
        <v>-17488.599999999999</v>
      </c>
      <c r="P124" s="31">
        <f t="shared" si="58"/>
        <v>1209695.9444801386</v>
      </c>
      <c r="Q124" s="5"/>
      <c r="R124">
        <f t="shared" ca="1" si="70"/>
        <v>241</v>
      </c>
      <c r="S124" s="133">
        <f t="shared" ca="1" si="71"/>
        <v>88.6</v>
      </c>
      <c r="T124" s="132">
        <f t="shared" ca="1" si="59"/>
        <v>1.7629481118167423E-2</v>
      </c>
      <c r="U124" s="133">
        <f t="shared" ca="1" si="83"/>
        <v>0.25252420944455073</v>
      </c>
      <c r="V124" s="31">
        <f t="shared" ca="1" si="72"/>
        <v>190709.85362115933</v>
      </c>
      <c r="W124" s="31">
        <f t="shared" ca="1" si="60"/>
        <v>928.28985581016411</v>
      </c>
      <c r="X124" s="163">
        <f t="shared" ca="1" si="84"/>
        <v>-5.0504841888910148</v>
      </c>
      <c r="Y124" s="163">
        <f t="shared" ca="1" si="85"/>
        <v>-158.92487801763278</v>
      </c>
      <c r="Z124" s="163">
        <f t="shared" ca="1" si="73"/>
        <v>0</v>
      </c>
      <c r="AA124" s="163">
        <f t="shared" ca="1" si="86"/>
        <v>-181.17436094010142</v>
      </c>
      <c r="AB124" s="84">
        <f t="shared" ca="1" si="61"/>
        <v>-1574.4182465709325</v>
      </c>
      <c r="AC124" s="160">
        <f t="shared" si="62"/>
        <v>0</v>
      </c>
      <c r="AD124" s="31">
        <f t="shared" ca="1" si="63"/>
        <v>189718.57550725195</v>
      </c>
      <c r="AE124" s="5"/>
      <c r="AF124" s="151">
        <f t="shared" ca="1" si="64"/>
        <v>-6234.722009561001</v>
      </c>
      <c r="AG124" s="151">
        <f t="shared" ca="1" si="65"/>
        <v>751288.66228135</v>
      </c>
      <c r="AH124" s="5"/>
      <c r="AI124" s="5"/>
      <c r="AS124" s="55">
        <f t="shared" si="77"/>
        <v>11</v>
      </c>
      <c r="AT124" s="56">
        <f t="shared" si="88"/>
        <v>121</v>
      </c>
      <c r="AU124" s="57">
        <f t="shared" si="89"/>
        <v>0.55409910606748558</v>
      </c>
      <c r="AV124" s="58">
        <f t="shared" si="78"/>
        <v>4.8675505653430484E-3</v>
      </c>
      <c r="AW124" s="59">
        <f t="shared" si="79"/>
        <v>1.004867550565343</v>
      </c>
      <c r="AX124" s="60">
        <f>PRODUCT(AW$4:AW124)</f>
        <v>1.7995647382606075</v>
      </c>
      <c r="AZ124" s="71">
        <f t="shared" si="90"/>
        <v>121</v>
      </c>
      <c r="BA124" s="72">
        <f t="shared" ca="1" si="100"/>
        <v>1.004867550565343</v>
      </c>
      <c r="BB124" s="72">
        <f t="shared" ca="1" si="100"/>
        <v>1.004867550565343</v>
      </c>
      <c r="BC124" s="72">
        <f t="shared" ca="1" si="100"/>
        <v>1.004867550565343</v>
      </c>
      <c r="BD124" s="72">
        <f t="shared" ca="1" si="100"/>
        <v>1.004867550565343</v>
      </c>
      <c r="BE124" s="72">
        <f t="shared" ca="1" si="100"/>
        <v>1.004867550565343</v>
      </c>
      <c r="BF124" s="72">
        <f t="shared" ca="1" si="100"/>
        <v>1.004867550565343</v>
      </c>
      <c r="BG124" s="72">
        <f t="shared" ca="1" si="100"/>
        <v>1.004867550565343</v>
      </c>
      <c r="BH124" s="72">
        <f t="shared" ca="1" si="100"/>
        <v>1.004867550565343</v>
      </c>
      <c r="BI124" s="72">
        <f t="shared" ca="1" si="100"/>
        <v>1.004867550565343</v>
      </c>
      <c r="BJ124" s="72">
        <f t="shared" ca="1" si="100"/>
        <v>1.004867550565343</v>
      </c>
      <c r="BK124" s="72">
        <f t="shared" ca="1" si="100"/>
        <v>1.004867550565343</v>
      </c>
      <c r="BL124" s="72">
        <f t="shared" ca="1" si="100"/>
        <v>1.004867550565343</v>
      </c>
      <c r="BM124" s="72">
        <f t="shared" ca="1" si="97"/>
        <v>6.0000000000000275E-2</v>
      </c>
      <c r="BN124" s="73">
        <f t="shared" ca="1" si="98"/>
        <v>1153.4790127051697</v>
      </c>
    </row>
    <row r="125" spans="5:66">
      <c r="E125">
        <f t="shared" si="95"/>
        <v>122</v>
      </c>
      <c r="F125" s="9">
        <f t="shared" si="82"/>
        <v>79.08333333333276</v>
      </c>
      <c r="G125" s="132">
        <f t="shared" si="54"/>
        <v>0</v>
      </c>
      <c r="H125" s="133">
        <f t="shared" si="91"/>
        <v>1</v>
      </c>
      <c r="I125" s="31">
        <f t="shared" si="67"/>
        <v>1209695.9444801386</v>
      </c>
      <c r="J125" s="31">
        <f t="shared" si="55"/>
        <v>5888.2561784474919</v>
      </c>
      <c r="K125" s="163">
        <f t="shared" si="56"/>
        <v>-20</v>
      </c>
      <c r="L125" s="163">
        <f t="shared" si="68"/>
        <v>-1008.0799537334489</v>
      </c>
      <c r="M125" s="163">
        <f t="shared" si="93"/>
        <v>0</v>
      </c>
      <c r="N125" s="163">
        <f t="shared" si="69"/>
        <v>-1149.2111472561319</v>
      </c>
      <c r="O125" s="84">
        <f t="shared" si="57"/>
        <v>-6234.7220095610019</v>
      </c>
      <c r="P125" s="31">
        <f t="shared" si="58"/>
        <v>1207172.1875480355</v>
      </c>
      <c r="Q125" s="5"/>
      <c r="R125">
        <f t="shared" ca="1" si="70"/>
        <v>242</v>
      </c>
      <c r="S125" s="133">
        <f t="shared" ca="1" si="71"/>
        <v>88.68</v>
      </c>
      <c r="T125" s="132">
        <f t="shared" ca="1" si="59"/>
        <v>1.7629481118167423E-2</v>
      </c>
      <c r="U125" s="133">
        <f t="shared" ca="1" si="83"/>
        <v>0.24807233866226786</v>
      </c>
      <c r="V125" s="31">
        <f t="shared" ca="1" si="72"/>
        <v>186373.93546258123</v>
      </c>
      <c r="W125" s="31">
        <f t="shared" ca="1" si="60"/>
        <v>907.1845549260961</v>
      </c>
      <c r="X125" s="163">
        <f t="shared" ca="1" si="84"/>
        <v>-4.9614467732453571</v>
      </c>
      <c r="Y125" s="163">
        <f t="shared" ca="1" si="85"/>
        <v>-155.31161288548438</v>
      </c>
      <c r="Z125" s="163">
        <f t="shared" ca="1" si="73"/>
        <v>0</v>
      </c>
      <c r="AA125" s="163">
        <f t="shared" ca="1" si="86"/>
        <v>-177.05523868945218</v>
      </c>
      <c r="AB125" s="84">
        <f t="shared" ca="1" si="61"/>
        <v>-1546.6620698209119</v>
      </c>
      <c r="AC125" s="160">
        <f t="shared" si="62"/>
        <v>0</v>
      </c>
      <c r="AD125" s="31">
        <f t="shared" ca="1" si="63"/>
        <v>185397.12964933825</v>
      </c>
      <c r="AE125" s="5"/>
      <c r="AF125" s="151">
        <f t="shared" ca="1" si="64"/>
        <v>-6234.722009561001</v>
      </c>
      <c r="AG125" s="151">
        <f t="shared" ca="1" si="65"/>
        <v>747351.07771021069</v>
      </c>
      <c r="AH125" s="5"/>
      <c r="AI125" s="5"/>
      <c r="AS125" s="55">
        <f t="shared" si="77"/>
        <v>11</v>
      </c>
      <c r="AT125" s="56">
        <f t="shared" si="88"/>
        <v>122</v>
      </c>
      <c r="AU125" s="57">
        <f t="shared" si="89"/>
        <v>0.55140200065049072</v>
      </c>
      <c r="AV125" s="58">
        <f t="shared" si="78"/>
        <v>4.8675505653430484E-3</v>
      </c>
      <c r="AW125" s="59">
        <f t="shared" si="79"/>
        <v>1.004867550565343</v>
      </c>
      <c r="AX125" s="60">
        <f>PRODUCT(AW$4:AW125)</f>
        <v>1.8083242106196993</v>
      </c>
      <c r="AZ125" s="71">
        <f t="shared" si="90"/>
        <v>122</v>
      </c>
      <c r="BA125" s="72">
        <f t="shared" ref="BA125:BL134" ca="1" si="101">OFFSET($AW$3,($AZ125*12-12)+BA$3,0)</f>
        <v>1.004867550565343</v>
      </c>
      <c r="BB125" s="72">
        <f t="shared" ca="1" si="101"/>
        <v>1.004867550565343</v>
      </c>
      <c r="BC125" s="72">
        <f t="shared" ca="1" si="101"/>
        <v>1.004867550565343</v>
      </c>
      <c r="BD125" s="72">
        <f t="shared" ca="1" si="101"/>
        <v>1.004867550565343</v>
      </c>
      <c r="BE125" s="72">
        <f t="shared" ca="1" si="101"/>
        <v>1.004867550565343</v>
      </c>
      <c r="BF125" s="72">
        <f t="shared" ca="1" si="101"/>
        <v>1.004867550565343</v>
      </c>
      <c r="BG125" s="72">
        <f t="shared" ca="1" si="101"/>
        <v>1.004867550565343</v>
      </c>
      <c r="BH125" s="72">
        <f t="shared" ca="1" si="101"/>
        <v>1.004867550565343</v>
      </c>
      <c r="BI125" s="72">
        <f t="shared" ca="1" si="101"/>
        <v>1.004867550565343</v>
      </c>
      <c r="BJ125" s="72">
        <f t="shared" ca="1" si="101"/>
        <v>1.004867550565343</v>
      </c>
      <c r="BK125" s="72">
        <f t="shared" ca="1" si="101"/>
        <v>1.004867550565343</v>
      </c>
      <c r="BL125" s="72">
        <f t="shared" ca="1" si="101"/>
        <v>1.004867550565343</v>
      </c>
      <c r="BM125" s="72">
        <f t="shared" ca="1" si="97"/>
        <v>6.0000000000000275E-2</v>
      </c>
      <c r="BN125" s="73">
        <f t="shared" ca="1" si="98"/>
        <v>1222.6877534674802</v>
      </c>
    </row>
    <row r="126" spans="5:66">
      <c r="E126">
        <f t="shared" si="95"/>
        <v>123</v>
      </c>
      <c r="F126" s="9">
        <f t="shared" si="82"/>
        <v>79.166666666666089</v>
      </c>
      <c r="G126" s="132">
        <f t="shared" si="54"/>
        <v>0</v>
      </c>
      <c r="H126" s="133">
        <f t="shared" si="91"/>
        <v>1</v>
      </c>
      <c r="I126" s="31">
        <f t="shared" si="67"/>
        <v>1207172.1875480355</v>
      </c>
      <c r="J126" s="31">
        <f t="shared" si="55"/>
        <v>5875.9716639658445</v>
      </c>
      <c r="K126" s="163">
        <f t="shared" si="56"/>
        <v>-20</v>
      </c>
      <c r="L126" s="163">
        <f t="shared" si="68"/>
        <v>-1005.9768229566963</v>
      </c>
      <c r="M126" s="163">
        <f t="shared" si="93"/>
        <v>0</v>
      </c>
      <c r="N126" s="163">
        <f t="shared" si="69"/>
        <v>-1146.8135781706339</v>
      </c>
      <c r="O126" s="84">
        <f t="shared" si="57"/>
        <v>-6234.7220095610019</v>
      </c>
      <c r="P126" s="31">
        <f t="shared" si="58"/>
        <v>1204640.6468013129</v>
      </c>
      <c r="Q126" s="5"/>
      <c r="R126">
        <f t="shared" ca="1" si="70"/>
        <v>243</v>
      </c>
      <c r="S126" s="133">
        <f t="shared" ca="1" si="71"/>
        <v>88.76</v>
      </c>
      <c r="T126" s="132">
        <f t="shared" ca="1" si="59"/>
        <v>1.7629481118167423E-2</v>
      </c>
      <c r="U126" s="133">
        <f t="shared" ca="1" si="83"/>
        <v>0.24369895205188177</v>
      </c>
      <c r="V126" s="31">
        <f t="shared" ca="1" si="72"/>
        <v>182128.6744528228</v>
      </c>
      <c r="W126" s="31">
        <f t="shared" ca="1" si="60"/>
        <v>886.52053229801766</v>
      </c>
      <c r="X126" s="163">
        <f t="shared" ca="1" si="84"/>
        <v>-4.8739790410376358</v>
      </c>
      <c r="Y126" s="163">
        <f t="shared" ca="1" si="85"/>
        <v>-151.77389537735235</v>
      </c>
      <c r="Z126" s="163">
        <f t="shared" ca="1" si="73"/>
        <v>0</v>
      </c>
      <c r="AA126" s="163">
        <f t="shared" ca="1" si="86"/>
        <v>-173.02224073018169</v>
      </c>
      <c r="AB126" s="84">
        <f t="shared" ca="1" si="61"/>
        <v>-1519.3952200648184</v>
      </c>
      <c r="AC126" s="160">
        <f t="shared" si="62"/>
        <v>0</v>
      </c>
      <c r="AD126" s="31">
        <f t="shared" ca="1" si="63"/>
        <v>181166.12964990744</v>
      </c>
      <c r="AE126" s="5"/>
      <c r="AF126" s="151">
        <f t="shared" ca="1" si="64"/>
        <v>-6234.722009561001</v>
      </c>
      <c r="AG126" s="151">
        <f t="shared" ca="1" si="65"/>
        <v>743401.34877288458</v>
      </c>
      <c r="AH126" s="5"/>
      <c r="AI126" s="5"/>
      <c r="AS126" s="55">
        <f t="shared" si="77"/>
        <v>11</v>
      </c>
      <c r="AT126" s="56">
        <f t="shared" si="88"/>
        <v>123</v>
      </c>
      <c r="AU126" s="57">
        <f t="shared" si="89"/>
        <v>0.54871802353049315</v>
      </c>
      <c r="AV126" s="58">
        <f t="shared" si="78"/>
        <v>4.8675505653430484E-3</v>
      </c>
      <c r="AW126" s="59">
        <f t="shared" si="79"/>
        <v>1.004867550565343</v>
      </c>
      <c r="AX126" s="60">
        <f>PRODUCT(AW$4:AW126)</f>
        <v>1.8171263201534247</v>
      </c>
      <c r="AZ126" s="71">
        <f t="shared" si="90"/>
        <v>123</v>
      </c>
      <c r="BA126" s="72">
        <f t="shared" ca="1" si="101"/>
        <v>1.004867550565343</v>
      </c>
      <c r="BB126" s="72">
        <f t="shared" ca="1" si="101"/>
        <v>1.004867550565343</v>
      </c>
      <c r="BC126" s="72">
        <f t="shared" ca="1" si="101"/>
        <v>1.004867550565343</v>
      </c>
      <c r="BD126" s="72">
        <f t="shared" ca="1" si="101"/>
        <v>1.004867550565343</v>
      </c>
      <c r="BE126" s="72">
        <f t="shared" ca="1" si="101"/>
        <v>1.004867550565343</v>
      </c>
      <c r="BF126" s="72">
        <f t="shared" ca="1" si="101"/>
        <v>1.004867550565343</v>
      </c>
      <c r="BG126" s="72">
        <f t="shared" ca="1" si="101"/>
        <v>1.004867550565343</v>
      </c>
      <c r="BH126" s="72">
        <f t="shared" ca="1" si="101"/>
        <v>1.004867550565343</v>
      </c>
      <c r="BI126" s="72">
        <f t="shared" ca="1" si="101"/>
        <v>1.004867550565343</v>
      </c>
      <c r="BJ126" s="72">
        <f t="shared" ca="1" si="101"/>
        <v>1.004867550565343</v>
      </c>
      <c r="BK126" s="72">
        <f t="shared" ca="1" si="101"/>
        <v>1.004867550565343</v>
      </c>
      <c r="BL126" s="72">
        <f t="shared" ca="1" si="101"/>
        <v>1.004867550565343</v>
      </c>
      <c r="BM126" s="72">
        <f t="shared" ca="1" si="97"/>
        <v>6.0000000000000275E-2</v>
      </c>
      <c r="BN126" s="73">
        <f t="shared" ca="1" si="98"/>
        <v>1296.0490186755294</v>
      </c>
    </row>
    <row r="127" spans="5:66">
      <c r="E127">
        <f t="shared" si="95"/>
        <v>124</v>
      </c>
      <c r="F127" s="9">
        <f t="shared" si="82"/>
        <v>79.249999999999417</v>
      </c>
      <c r="G127" s="132">
        <f t="shared" si="54"/>
        <v>0</v>
      </c>
      <c r="H127" s="133">
        <f t="shared" si="91"/>
        <v>1</v>
      </c>
      <c r="I127" s="31">
        <f t="shared" si="67"/>
        <v>1204640.6468013129</v>
      </c>
      <c r="J127" s="31">
        <f t="shared" si="55"/>
        <v>5863.6492613729461</v>
      </c>
      <c r="K127" s="163">
        <f t="shared" si="56"/>
        <v>-20</v>
      </c>
      <c r="L127" s="163">
        <f t="shared" si="68"/>
        <v>-1003.8672056677608</v>
      </c>
      <c r="M127" s="163">
        <f t="shared" si="93"/>
        <v>0</v>
      </c>
      <c r="N127" s="163">
        <f t="shared" si="69"/>
        <v>-1144.4086144612475</v>
      </c>
      <c r="O127" s="84">
        <f t="shared" si="57"/>
        <v>-6234.7220095610019</v>
      </c>
      <c r="P127" s="31">
        <f t="shared" si="58"/>
        <v>1202101.2982329957</v>
      </c>
      <c r="Q127" s="5"/>
      <c r="R127">
        <f t="shared" ca="1" si="70"/>
        <v>244</v>
      </c>
      <c r="S127" s="133">
        <f t="shared" ca="1" si="71"/>
        <v>88.84</v>
      </c>
      <c r="T127" s="132">
        <f t="shared" ca="1" si="59"/>
        <v>1.7629481118167423E-2</v>
      </c>
      <c r="U127" s="133">
        <f t="shared" ca="1" si="83"/>
        <v>0.23940266597816592</v>
      </c>
      <c r="V127" s="31">
        <f t="shared" ca="1" si="72"/>
        <v>177972.26478799293</v>
      </c>
      <c r="W127" s="31">
        <f t="shared" ca="1" si="60"/>
        <v>866.28899808417771</v>
      </c>
      <c r="X127" s="163">
        <f t="shared" ca="1" si="84"/>
        <v>-4.7880533195633186</v>
      </c>
      <c r="Y127" s="163">
        <f t="shared" ca="1" si="85"/>
        <v>-148.31022065666079</v>
      </c>
      <c r="Z127" s="163">
        <f t="shared" ca="1" si="73"/>
        <v>0</v>
      </c>
      <c r="AA127" s="163">
        <f t="shared" ca="1" si="86"/>
        <v>-169.07365154859332</v>
      </c>
      <c r="AB127" s="84">
        <f t="shared" ca="1" si="61"/>
        <v>-1492.6090707216517</v>
      </c>
      <c r="AC127" s="160">
        <f t="shared" si="62"/>
        <v>0</v>
      </c>
      <c r="AD127" s="31">
        <f t="shared" ca="1" si="63"/>
        <v>177023.77278983063</v>
      </c>
      <c r="AE127" s="5"/>
      <c r="AF127" s="151">
        <f t="shared" ca="1" si="64"/>
        <v>-6234.722009561001</v>
      </c>
      <c r="AG127" s="151">
        <f t="shared" ca="1" si="65"/>
        <v>739439.43801350822</v>
      </c>
      <c r="AH127" s="5"/>
      <c r="AI127" s="5"/>
      <c r="AS127" s="55">
        <f t="shared" si="77"/>
        <v>11</v>
      </c>
      <c r="AT127" s="56">
        <f t="shared" si="88"/>
        <v>124</v>
      </c>
      <c r="AU127" s="57">
        <f t="shared" si="89"/>
        <v>0.54604711080484336</v>
      </c>
      <c r="AV127" s="58">
        <f t="shared" si="78"/>
        <v>4.8675505653430484E-3</v>
      </c>
      <c r="AW127" s="59">
        <f t="shared" si="79"/>
        <v>1.004867550565343</v>
      </c>
      <c r="AX127" s="60">
        <f>PRODUCT(AW$4:AW127)</f>
        <v>1.8259712744003873</v>
      </c>
      <c r="AZ127" s="71">
        <f t="shared" si="90"/>
        <v>124</v>
      </c>
      <c r="BA127" s="72">
        <f t="shared" ca="1" si="101"/>
        <v>1.004867550565343</v>
      </c>
      <c r="BB127" s="72">
        <f t="shared" ca="1" si="101"/>
        <v>1.004867550565343</v>
      </c>
      <c r="BC127" s="72">
        <f t="shared" ca="1" si="101"/>
        <v>1.004867550565343</v>
      </c>
      <c r="BD127" s="72">
        <f t="shared" ca="1" si="101"/>
        <v>1.004867550565343</v>
      </c>
      <c r="BE127" s="72">
        <f t="shared" ca="1" si="101"/>
        <v>1.004867550565343</v>
      </c>
      <c r="BF127" s="72">
        <f t="shared" ca="1" si="101"/>
        <v>1.004867550565343</v>
      </c>
      <c r="BG127" s="72">
        <f t="shared" ca="1" si="101"/>
        <v>1.004867550565343</v>
      </c>
      <c r="BH127" s="72">
        <f t="shared" ca="1" si="101"/>
        <v>1.004867550565343</v>
      </c>
      <c r="BI127" s="72">
        <f t="shared" ca="1" si="101"/>
        <v>1.004867550565343</v>
      </c>
      <c r="BJ127" s="72">
        <f t="shared" ca="1" si="101"/>
        <v>1.004867550565343</v>
      </c>
      <c r="BK127" s="72">
        <f t="shared" ca="1" si="101"/>
        <v>1.004867550565343</v>
      </c>
      <c r="BL127" s="72">
        <f t="shared" ca="1" si="101"/>
        <v>1.004867550565343</v>
      </c>
      <c r="BM127" s="72">
        <f t="shared" ca="1" si="97"/>
        <v>6.0000000000000275E-2</v>
      </c>
      <c r="BN127" s="73">
        <f t="shared" ca="1" si="98"/>
        <v>1373.8119597960615</v>
      </c>
    </row>
    <row r="128" spans="5:66">
      <c r="E128">
        <f t="shared" si="95"/>
        <v>125</v>
      </c>
      <c r="F128" s="9">
        <f t="shared" si="82"/>
        <v>79.333333333332746</v>
      </c>
      <c r="G128" s="132">
        <f t="shared" si="54"/>
        <v>0</v>
      </c>
      <c r="H128" s="133">
        <f t="shared" si="91"/>
        <v>1</v>
      </c>
      <c r="I128" s="31">
        <f t="shared" si="67"/>
        <v>1202101.2982329957</v>
      </c>
      <c r="J128" s="31">
        <f t="shared" si="55"/>
        <v>5851.2888538136303</v>
      </c>
      <c r="K128" s="163">
        <f t="shared" si="56"/>
        <v>-20</v>
      </c>
      <c r="L128" s="163">
        <f t="shared" si="68"/>
        <v>-1001.7510818608298</v>
      </c>
      <c r="M128" s="163">
        <f t="shared" si="93"/>
        <v>0</v>
      </c>
      <c r="N128" s="163">
        <f t="shared" si="69"/>
        <v>-1141.9962333213462</v>
      </c>
      <c r="O128" s="84">
        <f t="shared" si="57"/>
        <v>-6234.7220095610019</v>
      </c>
      <c r="P128" s="31">
        <f t="shared" si="58"/>
        <v>1199554.1177620662</v>
      </c>
      <c r="Q128" s="5"/>
      <c r="R128">
        <f t="shared" ca="1" si="70"/>
        <v>245</v>
      </c>
      <c r="S128" s="133">
        <f t="shared" ca="1" si="71"/>
        <v>88.92</v>
      </c>
      <c r="T128" s="132">
        <f t="shared" ca="1" si="59"/>
        <v>1.7629481118167423E-2</v>
      </c>
      <c r="U128" s="133">
        <f t="shared" ca="1" si="83"/>
        <v>0.23518212119866491</v>
      </c>
      <c r="V128" s="31">
        <f t="shared" ca="1" si="72"/>
        <v>173902.93552996556</v>
      </c>
      <c r="W128" s="31">
        <f t="shared" ca="1" si="60"/>
        <v>846.48133215369955</v>
      </c>
      <c r="X128" s="163">
        <f t="shared" ca="1" si="84"/>
        <v>-4.7036424239732986</v>
      </c>
      <c r="Y128" s="163">
        <f t="shared" ca="1" si="85"/>
        <v>-144.91911294163796</v>
      </c>
      <c r="Z128" s="163">
        <f t="shared" ca="1" si="73"/>
        <v>0</v>
      </c>
      <c r="AA128" s="163">
        <f t="shared" ca="1" si="86"/>
        <v>-165.20778875346733</v>
      </c>
      <c r="AB128" s="84">
        <f t="shared" ca="1" si="61"/>
        <v>-1466.295147292559</v>
      </c>
      <c r="AC128" s="160">
        <f t="shared" si="62"/>
        <v>0</v>
      </c>
      <c r="AD128" s="31">
        <f t="shared" ca="1" si="63"/>
        <v>172968.29117070764</v>
      </c>
      <c r="AE128" s="5"/>
      <c r="AF128" s="151">
        <f t="shared" ca="1" si="64"/>
        <v>-6234.722009561001</v>
      </c>
      <c r="AG128" s="151">
        <f t="shared" ca="1" si="65"/>
        <v>735465.30786069611</v>
      </c>
      <c r="AH128" s="5"/>
      <c r="AI128" s="5"/>
      <c r="AS128" s="55">
        <f t="shared" si="77"/>
        <v>11</v>
      </c>
      <c r="AT128" s="56">
        <f t="shared" si="88"/>
        <v>125</v>
      </c>
      <c r="AU128" s="57">
        <f t="shared" si="89"/>
        <v>0.54338919888194126</v>
      </c>
      <c r="AV128" s="58">
        <f t="shared" si="78"/>
        <v>4.8675505653430484E-3</v>
      </c>
      <c r="AW128" s="59">
        <f t="shared" si="79"/>
        <v>1.004867550565343</v>
      </c>
      <c r="AX128" s="60">
        <f>PRODUCT(AW$4:AW128)</f>
        <v>1.8348592819093952</v>
      </c>
      <c r="AZ128" s="71">
        <f t="shared" si="90"/>
        <v>125</v>
      </c>
      <c r="BA128" s="72">
        <f t="shared" ca="1" si="101"/>
        <v>1.004867550565343</v>
      </c>
      <c r="BB128" s="72">
        <f t="shared" ca="1" si="101"/>
        <v>1.004867550565343</v>
      </c>
      <c r="BC128" s="72">
        <f t="shared" ca="1" si="101"/>
        <v>1.004867550565343</v>
      </c>
      <c r="BD128" s="72">
        <f t="shared" ca="1" si="101"/>
        <v>1.004867550565343</v>
      </c>
      <c r="BE128" s="72">
        <f t="shared" ca="1" si="101"/>
        <v>1.004867550565343</v>
      </c>
      <c r="BF128" s="72">
        <f t="shared" ca="1" si="101"/>
        <v>1.004867550565343</v>
      </c>
      <c r="BG128" s="72">
        <f t="shared" ca="1" si="101"/>
        <v>1.004867550565343</v>
      </c>
      <c r="BH128" s="72">
        <f t="shared" ca="1" si="101"/>
        <v>1.004867550565343</v>
      </c>
      <c r="BI128" s="72">
        <f t="shared" ca="1" si="101"/>
        <v>1.004867550565343</v>
      </c>
      <c r="BJ128" s="72">
        <f t="shared" ca="1" si="101"/>
        <v>1.004867550565343</v>
      </c>
      <c r="BK128" s="72">
        <f t="shared" ca="1" si="101"/>
        <v>1.004867550565343</v>
      </c>
      <c r="BL128" s="72">
        <f t="shared" ca="1" si="101"/>
        <v>1.004867550565343</v>
      </c>
      <c r="BM128" s="72">
        <f t="shared" ca="1" si="97"/>
        <v>6.0000000000000275E-2</v>
      </c>
      <c r="BN128" s="73">
        <f t="shared" ca="1" si="98"/>
        <v>1456.2406773838256</v>
      </c>
    </row>
    <row r="129" spans="5:66">
      <c r="E129">
        <f t="shared" si="95"/>
        <v>126</v>
      </c>
      <c r="F129" s="9">
        <f t="shared" si="82"/>
        <v>79.416666666666075</v>
      </c>
      <c r="G129" s="132">
        <f t="shared" si="54"/>
        <v>0</v>
      </c>
      <c r="H129" s="133">
        <f t="shared" si="91"/>
        <v>1</v>
      </c>
      <c r="I129" s="31">
        <f t="shared" si="67"/>
        <v>1199554.1177620662</v>
      </c>
      <c r="J129" s="31">
        <f t="shared" si="55"/>
        <v>5838.8903240723266</v>
      </c>
      <c r="K129" s="163">
        <f t="shared" si="56"/>
        <v>-20</v>
      </c>
      <c r="L129" s="163">
        <f t="shared" si="68"/>
        <v>-999.62843146838861</v>
      </c>
      <c r="M129" s="163">
        <f t="shared" si="93"/>
        <v>0</v>
      </c>
      <c r="N129" s="163">
        <f t="shared" si="69"/>
        <v>-1139.576411873963</v>
      </c>
      <c r="O129" s="84">
        <f t="shared" si="57"/>
        <v>-6234.7220095610019</v>
      </c>
      <c r="P129" s="31">
        <f t="shared" si="58"/>
        <v>1196999.0812332348</v>
      </c>
      <c r="Q129" s="5"/>
      <c r="R129">
        <f t="shared" ca="1" si="70"/>
        <v>246</v>
      </c>
      <c r="S129" s="133">
        <f t="shared" ca="1" si="71"/>
        <v>89</v>
      </c>
      <c r="T129" s="132">
        <f t="shared" ca="1" si="59"/>
        <v>1.7629481118167423E-2</v>
      </c>
      <c r="U129" s="133">
        <f t="shared" ca="1" si="83"/>
        <v>0.2310359824336625</v>
      </c>
      <c r="V129" s="31">
        <f t="shared" ca="1" si="72"/>
        <v>169918.94994747196</v>
      </c>
      <c r="W129" s="31">
        <f t="shared" ca="1" si="60"/>
        <v>827.08908087931434</v>
      </c>
      <c r="X129" s="163">
        <f t="shared" ca="1" si="84"/>
        <v>-4.6207196486732496</v>
      </c>
      <c r="Y129" s="163">
        <f t="shared" ca="1" si="85"/>
        <v>-141.59912495622663</v>
      </c>
      <c r="Z129" s="163">
        <f t="shared" ca="1" si="73"/>
        <v>0</v>
      </c>
      <c r="AA129" s="163">
        <f t="shared" ca="1" si="86"/>
        <v>-161.42300245009838</v>
      </c>
      <c r="AB129" s="84">
        <f t="shared" ca="1" si="61"/>
        <v>-1440.4451246797043</v>
      </c>
      <c r="AC129" s="160">
        <f t="shared" si="62"/>
        <v>0</v>
      </c>
      <c r="AD129" s="31">
        <f t="shared" ca="1" si="63"/>
        <v>168997.95105661658</v>
      </c>
      <c r="AE129" s="5"/>
      <c r="AF129" s="151">
        <f t="shared" ca="1" si="64"/>
        <v>-6234.722009561001</v>
      </c>
      <c r="AG129" s="151">
        <f t="shared" ca="1" si="65"/>
        <v>731478.92062718445</v>
      </c>
      <c r="AH129" s="5"/>
      <c r="AI129" s="5"/>
      <c r="AS129" s="55">
        <f t="shared" si="77"/>
        <v>11</v>
      </c>
      <c r="AT129" s="56">
        <f t="shared" si="88"/>
        <v>126</v>
      </c>
      <c r="AU129" s="57">
        <f t="shared" si="89"/>
        <v>0.54074422447972215</v>
      </c>
      <c r="AV129" s="58">
        <f t="shared" si="78"/>
        <v>4.8675505653430484E-3</v>
      </c>
      <c r="AW129" s="59">
        <f t="shared" si="79"/>
        <v>1.004867550565343</v>
      </c>
      <c r="AX129" s="60">
        <f>PRODUCT(AW$4:AW129)</f>
        <v>1.8437905522443783</v>
      </c>
      <c r="AZ129" s="71">
        <f t="shared" si="90"/>
        <v>126</v>
      </c>
      <c r="BA129" s="72">
        <f t="shared" ca="1" si="101"/>
        <v>1.004867550565343</v>
      </c>
      <c r="BB129" s="72">
        <f t="shared" ca="1" si="101"/>
        <v>1.004867550565343</v>
      </c>
      <c r="BC129" s="72">
        <f t="shared" ca="1" si="101"/>
        <v>1.004867550565343</v>
      </c>
      <c r="BD129" s="72">
        <f t="shared" ca="1" si="101"/>
        <v>1.004867550565343</v>
      </c>
      <c r="BE129" s="72">
        <f t="shared" ca="1" si="101"/>
        <v>1.004867550565343</v>
      </c>
      <c r="BF129" s="72">
        <f t="shared" ca="1" si="101"/>
        <v>1.004867550565343</v>
      </c>
      <c r="BG129" s="72">
        <f t="shared" ca="1" si="101"/>
        <v>1.004867550565343</v>
      </c>
      <c r="BH129" s="72">
        <f t="shared" ca="1" si="101"/>
        <v>1.004867550565343</v>
      </c>
      <c r="BI129" s="72">
        <f t="shared" ca="1" si="101"/>
        <v>1.004867550565343</v>
      </c>
      <c r="BJ129" s="72">
        <f t="shared" ca="1" si="101"/>
        <v>1.004867550565343</v>
      </c>
      <c r="BK129" s="72">
        <f t="shared" ca="1" si="101"/>
        <v>1.004867550565343</v>
      </c>
      <c r="BL129" s="72">
        <f t="shared" ca="1" si="101"/>
        <v>1.004867550565343</v>
      </c>
      <c r="BM129" s="72">
        <f t="shared" ca="1" si="97"/>
        <v>6.0000000000000275E-2</v>
      </c>
      <c r="BN129" s="73">
        <f t="shared" ca="1" si="98"/>
        <v>1543.6151180268555</v>
      </c>
    </row>
    <row r="130" spans="5:66">
      <c r="E130">
        <f t="shared" si="95"/>
        <v>127</v>
      </c>
      <c r="F130" s="9">
        <f t="shared" si="82"/>
        <v>79.499999999999403</v>
      </c>
      <c r="G130" s="132">
        <f t="shared" si="54"/>
        <v>0</v>
      </c>
      <c r="H130" s="133">
        <f t="shared" si="91"/>
        <v>1</v>
      </c>
      <c r="I130" s="31">
        <f t="shared" si="67"/>
        <v>1196999.0812332348</v>
      </c>
      <c r="J130" s="31">
        <f t="shared" si="55"/>
        <v>5826.4535545719418</v>
      </c>
      <c r="K130" s="163">
        <f t="shared" si="56"/>
        <v>-20</v>
      </c>
      <c r="L130" s="163">
        <f t="shared" si="68"/>
        <v>-997.49923436102915</v>
      </c>
      <c r="M130" s="163">
        <f t="shared" si="93"/>
        <v>0</v>
      </c>
      <c r="N130" s="163">
        <f t="shared" si="69"/>
        <v>-1137.1491271715734</v>
      </c>
      <c r="O130" s="84">
        <f t="shared" si="57"/>
        <v>-6234.7220095610019</v>
      </c>
      <c r="P130" s="31">
        <f t="shared" si="58"/>
        <v>1194436.1644167129</v>
      </c>
      <c r="Q130" s="5"/>
      <c r="R130">
        <f t="shared" ca="1" si="70"/>
        <v>247</v>
      </c>
      <c r="S130" s="133">
        <f t="shared" ca="1" si="71"/>
        <v>89.08</v>
      </c>
      <c r="T130" s="132">
        <f t="shared" ca="1" si="59"/>
        <v>1.7629481118167423E-2</v>
      </c>
      <c r="U130" s="133">
        <f t="shared" ca="1" si="83"/>
        <v>0.22696293794373099</v>
      </c>
      <c r="V130" s="31">
        <f t="shared" ca="1" si="72"/>
        <v>166018.60486945498</v>
      </c>
      <c r="W130" s="31">
        <f t="shared" ca="1" si="60"/>
        <v>808.10395398977982</v>
      </c>
      <c r="X130" s="163">
        <f t="shared" ca="1" si="84"/>
        <v>-4.5392587588746194</v>
      </c>
      <c r="Y130" s="163">
        <f t="shared" ca="1" si="85"/>
        <v>-138.3488373912125</v>
      </c>
      <c r="Z130" s="163">
        <f t="shared" ca="1" si="73"/>
        <v>0</v>
      </c>
      <c r="AA130" s="163">
        <f t="shared" ca="1" si="86"/>
        <v>-157.71767462598226</v>
      </c>
      <c r="AB130" s="84">
        <f t="shared" ca="1" si="61"/>
        <v>-1415.0508245524072</v>
      </c>
      <c r="AC130" s="160">
        <f t="shared" si="62"/>
        <v>0</v>
      </c>
      <c r="AD130" s="31">
        <f t="shared" ca="1" si="63"/>
        <v>165111.05222811628</v>
      </c>
      <c r="AE130" s="5"/>
      <c r="AF130" s="151">
        <f t="shared" ca="1" si="64"/>
        <v>-6234.722009561001</v>
      </c>
      <c r="AG130" s="151">
        <f t="shared" ca="1" si="65"/>
        <v>727480.23850947362</v>
      </c>
      <c r="AH130" s="5"/>
      <c r="AI130" s="5"/>
      <c r="AS130" s="55">
        <f t="shared" si="77"/>
        <v>11</v>
      </c>
      <c r="AT130" s="56">
        <f t="shared" si="88"/>
        <v>127</v>
      </c>
      <c r="AU130" s="57">
        <f t="shared" si="89"/>
        <v>0.53811212462414992</v>
      </c>
      <c r="AV130" s="58">
        <f t="shared" si="78"/>
        <v>4.8675505653430484E-3</v>
      </c>
      <c r="AW130" s="59">
        <f t="shared" si="79"/>
        <v>1.004867550565343</v>
      </c>
      <c r="AX130" s="60">
        <f>PRODUCT(AW$4:AW130)</f>
        <v>1.8527652959893295</v>
      </c>
      <c r="AZ130" s="71">
        <f t="shared" si="90"/>
        <v>127</v>
      </c>
      <c r="BA130" s="72">
        <f t="shared" ca="1" si="101"/>
        <v>1.004867550565343</v>
      </c>
      <c r="BB130" s="72">
        <f t="shared" ca="1" si="101"/>
        <v>1.004867550565343</v>
      </c>
      <c r="BC130" s="72">
        <f t="shared" ca="1" si="101"/>
        <v>1.004867550565343</v>
      </c>
      <c r="BD130" s="72">
        <f t="shared" ca="1" si="101"/>
        <v>1.004867550565343</v>
      </c>
      <c r="BE130" s="72">
        <f t="shared" ca="1" si="101"/>
        <v>1.004867550565343</v>
      </c>
      <c r="BF130" s="72">
        <f t="shared" ca="1" si="101"/>
        <v>1.004867550565343</v>
      </c>
      <c r="BG130" s="72">
        <f t="shared" ca="1" si="101"/>
        <v>1.004867550565343</v>
      </c>
      <c r="BH130" s="72">
        <f t="shared" ca="1" si="101"/>
        <v>1.004867550565343</v>
      </c>
      <c r="BI130" s="72">
        <f t="shared" ca="1" si="101"/>
        <v>1.004867550565343</v>
      </c>
      <c r="BJ130" s="72">
        <f t="shared" ca="1" si="101"/>
        <v>1.004867550565343</v>
      </c>
      <c r="BK130" s="72">
        <f t="shared" ca="1" si="101"/>
        <v>1.004867550565343</v>
      </c>
      <c r="BL130" s="72">
        <f t="shared" ca="1" si="101"/>
        <v>1.004867550565343</v>
      </c>
      <c r="BM130" s="72">
        <f t="shared" ca="1" si="97"/>
        <v>6.0000000000000275E-2</v>
      </c>
      <c r="BN130" s="73">
        <f t="shared" ca="1" si="98"/>
        <v>1636.2320251084673</v>
      </c>
    </row>
    <row r="131" spans="5:66">
      <c r="E131">
        <f t="shared" si="95"/>
        <v>128</v>
      </c>
      <c r="F131" s="9">
        <f t="shared" si="82"/>
        <v>79.583333333332732</v>
      </c>
      <c r="G131" s="132">
        <f t="shared" si="54"/>
        <v>0</v>
      </c>
      <c r="H131" s="133">
        <f t="shared" si="91"/>
        <v>1</v>
      </c>
      <c r="I131" s="31">
        <f t="shared" si="67"/>
        <v>1194436.1644167129</v>
      </c>
      <c r="J131" s="31">
        <f t="shared" si="55"/>
        <v>5813.9784273727537</v>
      </c>
      <c r="K131" s="163">
        <f t="shared" si="56"/>
        <v>-20</v>
      </c>
      <c r="L131" s="163">
        <f t="shared" si="68"/>
        <v>-995.36347034726089</v>
      </c>
      <c r="M131" s="163">
        <f t="shared" si="93"/>
        <v>0</v>
      </c>
      <c r="N131" s="163">
        <f t="shared" si="69"/>
        <v>-1134.7143561958776</v>
      </c>
      <c r="O131" s="84">
        <f t="shared" si="57"/>
        <v>-6234.7220095610019</v>
      </c>
      <c r="P131" s="31">
        <f t="shared" si="58"/>
        <v>1191865.3430079813</v>
      </c>
      <c r="Q131" s="5"/>
      <c r="R131">
        <f t="shared" ca="1" si="70"/>
        <v>248</v>
      </c>
      <c r="S131" s="133">
        <f t="shared" ca="1" si="71"/>
        <v>89.16</v>
      </c>
      <c r="T131" s="132">
        <f t="shared" ca="1" si="59"/>
        <v>1.7629481118167423E-2</v>
      </c>
      <c r="U131" s="133">
        <f t="shared" ca="1" si="83"/>
        <v>0.22296169911472818</v>
      </c>
      <c r="V131" s="31">
        <f t="shared" ca="1" si="72"/>
        <v>162200.23005045994</v>
      </c>
      <c r="W131" s="31">
        <f t="shared" ca="1" si="60"/>
        <v>789.51782148088876</v>
      </c>
      <c r="X131" s="163">
        <f t="shared" ca="1" si="84"/>
        <v>-4.4592339822945632</v>
      </c>
      <c r="Y131" s="163">
        <f t="shared" ca="1" si="85"/>
        <v>-135.1668583753833</v>
      </c>
      <c r="Z131" s="163">
        <f t="shared" ca="1" si="73"/>
        <v>0</v>
      </c>
      <c r="AA131" s="163">
        <f t="shared" ca="1" si="86"/>
        <v>-154.09021854793698</v>
      </c>
      <c r="AB131" s="84">
        <f t="shared" ca="1" si="61"/>
        <v>-1390.1042127597136</v>
      </c>
      <c r="AC131" s="160">
        <f t="shared" si="62"/>
        <v>0</v>
      </c>
      <c r="AD131" s="31">
        <f t="shared" ca="1" si="63"/>
        <v>161305.92734827552</v>
      </c>
      <c r="AE131" s="5"/>
      <c r="AF131" s="151">
        <f t="shared" ca="1" si="64"/>
        <v>-6234.7220095610019</v>
      </c>
      <c r="AG131" s="151">
        <f t="shared" ca="1" si="65"/>
        <v>723469.22358747013</v>
      </c>
      <c r="AH131" s="5"/>
      <c r="AI131" s="5"/>
      <c r="AS131" s="55">
        <f t="shared" si="77"/>
        <v>11</v>
      </c>
      <c r="AT131" s="56">
        <f t="shared" si="88"/>
        <v>128</v>
      </c>
      <c r="AU131" s="57">
        <f t="shared" si="89"/>
        <v>0.53549283664771774</v>
      </c>
      <c r="AV131" s="58">
        <f t="shared" si="78"/>
        <v>4.8675505653430484E-3</v>
      </c>
      <c r="AW131" s="59">
        <f t="shared" si="79"/>
        <v>1.004867550565343</v>
      </c>
      <c r="AX131" s="60">
        <f>PRODUCT(AW$4:AW131)</f>
        <v>1.8617837247532703</v>
      </c>
      <c r="AZ131" s="71">
        <f t="shared" si="90"/>
        <v>128</v>
      </c>
      <c r="BA131" s="72">
        <f t="shared" ca="1" si="101"/>
        <v>1.004867550565343</v>
      </c>
      <c r="BB131" s="72">
        <f t="shared" ca="1" si="101"/>
        <v>1.004867550565343</v>
      </c>
      <c r="BC131" s="72">
        <f t="shared" ca="1" si="101"/>
        <v>1.004867550565343</v>
      </c>
      <c r="BD131" s="72">
        <f t="shared" ca="1" si="101"/>
        <v>1.004867550565343</v>
      </c>
      <c r="BE131" s="72">
        <f t="shared" ca="1" si="101"/>
        <v>1.004867550565343</v>
      </c>
      <c r="BF131" s="72">
        <f t="shared" ca="1" si="101"/>
        <v>1.004867550565343</v>
      </c>
      <c r="BG131" s="72">
        <f t="shared" ca="1" si="101"/>
        <v>1.004867550565343</v>
      </c>
      <c r="BH131" s="72">
        <f t="shared" ca="1" si="101"/>
        <v>1.004867550565343</v>
      </c>
      <c r="BI131" s="72">
        <f t="shared" ca="1" si="101"/>
        <v>1.004867550565343</v>
      </c>
      <c r="BJ131" s="72">
        <f t="shared" ca="1" si="101"/>
        <v>1.004867550565343</v>
      </c>
      <c r="BK131" s="72">
        <f t="shared" ca="1" si="101"/>
        <v>1.004867550565343</v>
      </c>
      <c r="BL131" s="72">
        <f t="shared" ca="1" si="101"/>
        <v>1.004867550565343</v>
      </c>
      <c r="BM131" s="72">
        <f t="shared" ca="1" si="97"/>
        <v>6.0000000000000275E-2</v>
      </c>
      <c r="BN131" s="73">
        <f t="shared" ca="1" si="98"/>
        <v>1734.4059466149758</v>
      </c>
    </row>
    <row r="132" spans="5:66">
      <c r="E132">
        <f t="shared" si="95"/>
        <v>129</v>
      </c>
      <c r="F132" s="9">
        <f t="shared" si="82"/>
        <v>79.66666666666606</v>
      </c>
      <c r="G132" s="132">
        <f t="shared" ref="G132:G195" si="102">(1-(1-IF(F132&gt;$AK$90,0,VLOOKUP(ROUND(F132,0),$AK$4:$AL$90,2,FALSE)))^(1/12))*0</f>
        <v>0</v>
      </c>
      <c r="H132" s="133">
        <f t="shared" si="91"/>
        <v>1</v>
      </c>
      <c r="I132" s="31">
        <f t="shared" si="67"/>
        <v>1191865.3430079813</v>
      </c>
      <c r="J132" s="31">
        <f t="shared" ref="J132:J195" si="103">(I132)*$AV132</f>
        <v>5801.4648241712857</v>
      </c>
      <c r="K132" s="163">
        <f t="shared" ref="K132:K195" si="104">IF(I132=0,0,-$C$19)*H132</f>
        <v>-20</v>
      </c>
      <c r="L132" s="163">
        <f t="shared" si="68"/>
        <v>-993.22111917331779</v>
      </c>
      <c r="M132" s="163">
        <f t="shared" si="93"/>
        <v>0</v>
      </c>
      <c r="N132" s="163">
        <f t="shared" si="69"/>
        <v>-1132.2720758575824</v>
      </c>
      <c r="O132" s="84">
        <f t="shared" ref="O132:O195" si="105">-MIN(
IF(MOD(E132-1,IF($C$7="Annual",12,1))=0,1,0)
*IF(F132&lt;=$C$6,H132*$C$5*$C$4/IF($C$7="Monthly",12,1),$C$12),I132)</f>
        <v>-6234.7220095610019</v>
      </c>
      <c r="P132" s="31">
        <f t="shared" ref="P132:P195" si="106">SUM(I132:O132)</f>
        <v>1189286.5926275607</v>
      </c>
      <c r="Q132" s="5"/>
      <c r="R132">
        <f t="shared" ca="1" si="70"/>
        <v>249</v>
      </c>
      <c r="S132" s="133">
        <f t="shared" ca="1" si="71"/>
        <v>89.24</v>
      </c>
      <c r="T132" s="132">
        <f t="shared" ref="T132:T195" ca="1" si="107">(1-(1-IF(S132&gt;$AK$90,0,VLOOKUP(ROUND(S132,0),$AK$4:$AL$90,2,FALSE)))^(1/12))</f>
        <v>1.7629481118167423E-2</v>
      </c>
      <c r="U132" s="133">
        <f t="shared" ca="1" si="83"/>
        <v>0.21903100005011056</v>
      </c>
      <c r="V132" s="31">
        <f t="shared" ca="1" si="72"/>
        <v>158462.18754784061</v>
      </c>
      <c r="W132" s="31">
        <f t="shared" ref="W132:W195" ca="1" si="108">(V132)*$AV132</f>
        <v>771.32271058398771</v>
      </c>
      <c r="X132" s="163">
        <f t="shared" ca="1" si="84"/>
        <v>-4.3806200010022112</v>
      </c>
      <c r="Y132" s="163">
        <f t="shared" ca="1" si="85"/>
        <v>-132.05182295653384</v>
      </c>
      <c r="Z132" s="163">
        <f t="shared" ca="1" si="73"/>
        <v>0</v>
      </c>
      <c r="AA132" s="163">
        <f t="shared" ca="1" si="86"/>
        <v>-150.53907817044862</v>
      </c>
      <c r="AB132" s="84">
        <f t="shared" ref="AB132:AB195" ca="1" si="109">-MIN(IF(MOD(R132,IF($C$7="Annual",12,1))=0,1,0)*$C$39*U132/IF($C$7="Monthly",12,1),V132)</f>
        <v>-1365.5973967885811</v>
      </c>
      <c r="AC132" s="160">
        <f t="shared" ref="AC132:AC195" si="110">IF($C$8="Yes",-V132*T132,0)</f>
        <v>0</v>
      </c>
      <c r="AD132" s="31">
        <f t="shared" ref="AD132:AD195" ca="1" si="111">SUM(V132:AC132)</f>
        <v>157580.941340508</v>
      </c>
      <c r="AE132" s="5"/>
      <c r="AF132" s="151">
        <f t="shared" ref="AF132:AF195" ca="1" si="112">AB132/U132</f>
        <v>-6234.7220095610019</v>
      </c>
      <c r="AG132" s="151">
        <f t="shared" ref="AG132:AG195" ca="1" si="113">AD132/U132</f>
        <v>719445.83782412612</v>
      </c>
      <c r="AH132" s="5"/>
      <c r="AI132" s="5"/>
      <c r="AS132" s="55">
        <f t="shared" si="77"/>
        <v>11</v>
      </c>
      <c r="AT132" s="56">
        <f t="shared" si="88"/>
        <v>129</v>
      </c>
      <c r="AU132" s="57">
        <f t="shared" si="89"/>
        <v>0.53288629818795596</v>
      </c>
      <c r="AV132" s="58">
        <f t="shared" si="78"/>
        <v>4.8675505653430484E-3</v>
      </c>
      <c r="AW132" s="59">
        <f t="shared" si="79"/>
        <v>1.004867550565343</v>
      </c>
      <c r="AX132" s="60">
        <f>PRODUCT(AW$4:AW132)</f>
        <v>1.8708460511752396</v>
      </c>
      <c r="AZ132" s="71">
        <f t="shared" si="90"/>
        <v>129</v>
      </c>
      <c r="BA132" s="72">
        <f t="shared" ca="1" si="101"/>
        <v>1.004867550565343</v>
      </c>
      <c r="BB132" s="72">
        <f t="shared" ca="1" si="101"/>
        <v>1.004867550565343</v>
      </c>
      <c r="BC132" s="72">
        <f t="shared" ca="1" si="101"/>
        <v>1.004867550565343</v>
      </c>
      <c r="BD132" s="72">
        <f t="shared" ca="1" si="101"/>
        <v>1.004867550565343</v>
      </c>
      <c r="BE132" s="72">
        <f t="shared" ca="1" si="101"/>
        <v>1.004867550565343</v>
      </c>
      <c r="BF132" s="72">
        <f t="shared" ca="1" si="101"/>
        <v>1.004867550565343</v>
      </c>
      <c r="BG132" s="72">
        <f t="shared" ca="1" si="101"/>
        <v>1.004867550565343</v>
      </c>
      <c r="BH132" s="72">
        <f t="shared" ca="1" si="101"/>
        <v>1.004867550565343</v>
      </c>
      <c r="BI132" s="72">
        <f t="shared" ca="1" si="101"/>
        <v>1.004867550565343</v>
      </c>
      <c r="BJ132" s="72">
        <f t="shared" ca="1" si="101"/>
        <v>1.004867550565343</v>
      </c>
      <c r="BK132" s="72">
        <f t="shared" ca="1" si="101"/>
        <v>1.004867550565343</v>
      </c>
      <c r="BL132" s="72">
        <f t="shared" ca="1" si="101"/>
        <v>1.004867550565343</v>
      </c>
      <c r="BM132" s="72">
        <f t="shared" ref="BM132:BM153" ca="1" si="114">PRODUCT(BA132:BL132)-1</f>
        <v>6.0000000000000275E-2</v>
      </c>
      <c r="BN132" s="73">
        <f t="shared" ca="1" si="98"/>
        <v>1838.470303411875</v>
      </c>
    </row>
    <row r="133" spans="5:66">
      <c r="E133">
        <f t="shared" si="95"/>
        <v>130</v>
      </c>
      <c r="F133" s="9">
        <f t="shared" si="82"/>
        <v>79.749999999999389</v>
      </c>
      <c r="G133" s="132">
        <f t="shared" si="102"/>
        <v>0</v>
      </c>
      <c r="H133" s="133">
        <f t="shared" si="91"/>
        <v>1</v>
      </c>
      <c r="I133" s="31">
        <f t="shared" ref="I133:I196" si="115">MAX(P132,0)*(1-G133)</f>
        <v>1189286.5926275607</v>
      </c>
      <c r="J133" s="31">
        <f t="shared" si="103"/>
        <v>5788.9126262991913</v>
      </c>
      <c r="K133" s="163">
        <f t="shared" si="104"/>
        <v>-20</v>
      </c>
      <c r="L133" s="163">
        <f t="shared" ref="L133:L196" si="116">IF(OR(I132+O132=0,K132=0),0,-I133*($C$16/12))</f>
        <v>-991.07216052296735</v>
      </c>
      <c r="M133" s="163">
        <f t="shared" si="93"/>
        <v>0</v>
      </c>
      <c r="N133" s="163">
        <f t="shared" ref="N133:N196" si="117">IF(OR(I132+O132=0,K132=0),0,-I133*($C$18*(1+$C$20))/12)</f>
        <v>-1129.8222629961829</v>
      </c>
      <c r="O133" s="84">
        <f t="shared" si="105"/>
        <v>-6234.7220095610019</v>
      </c>
      <c r="P133" s="31">
        <f t="shared" si="106"/>
        <v>1186699.8888207797</v>
      </c>
      <c r="Q133" s="5"/>
      <c r="R133">
        <f t="shared" ref="R133:R196" ca="1" si="118">R132+1</f>
        <v>250</v>
      </c>
      <c r="S133" s="133">
        <f t="shared" ref="S133:S196" ca="1" si="119">ROUND((R133-R132)/12+S132,2)</f>
        <v>89.32</v>
      </c>
      <c r="T133" s="132">
        <f t="shared" ca="1" si="107"/>
        <v>1.7629481118167423E-2</v>
      </c>
      <c r="U133" s="133">
        <f t="shared" ca="1" si="83"/>
        <v>0.2151695971704338</v>
      </c>
      <c r="V133" s="31">
        <f t="shared" ref="V133:V196" ca="1" si="120">MAX(AD132,0)*(1-T133)</f>
        <v>154802.87111056247</v>
      </c>
      <c r="W133" s="31">
        <f t="shared" ca="1" si="108"/>
        <v>753.51080279094538</v>
      </c>
      <c r="X133" s="163">
        <f t="shared" ca="1" si="84"/>
        <v>-4.303391943408676</v>
      </c>
      <c r="Y133" s="163">
        <f t="shared" ca="1" si="85"/>
        <v>-129.00239259213541</v>
      </c>
      <c r="Z133" s="163">
        <f t="shared" ref="Z133:Z196" ca="1" si="121">IF(OR(V132+AB132=0,X132=0),0,-IF(MOD(E133,12)=0,1,0)*V133*($C$17))</f>
        <v>0</v>
      </c>
      <c r="AA133" s="163">
        <f t="shared" ca="1" si="86"/>
        <v>-147.06272755503437</v>
      </c>
      <c r="AB133" s="84">
        <f t="shared" ca="1" si="109"/>
        <v>-1341.5226232668781</v>
      </c>
      <c r="AC133" s="160">
        <f t="shared" si="110"/>
        <v>0</v>
      </c>
      <c r="AD133" s="31">
        <f t="shared" ca="1" si="111"/>
        <v>153934.49077799599</v>
      </c>
      <c r="AE133" s="5"/>
      <c r="AF133" s="151">
        <f t="shared" ca="1" si="112"/>
        <v>-6234.722009561001</v>
      </c>
      <c r="AG133" s="151">
        <f t="shared" ca="1" si="113"/>
        <v>715410.04306508019</v>
      </c>
      <c r="AH133" s="5"/>
      <c r="AI133" s="5"/>
      <c r="AS133" s="55">
        <f t="shared" ref="AS133:AS196" si="122">ROUNDDOWN((AT133-1)/12,0)+1</f>
        <v>11</v>
      </c>
      <c r="AT133" s="56">
        <f t="shared" si="88"/>
        <v>130</v>
      </c>
      <c r="AU133" s="57">
        <f t="shared" si="89"/>
        <v>0.53029244718594759</v>
      </c>
      <c r="AV133" s="58">
        <f t="shared" ref="AV133:AV196" si="123">((1+$AV$1)^(1/12))-1</f>
        <v>4.8675505653430484E-3</v>
      </c>
      <c r="AW133" s="59">
        <f t="shared" ref="AW133:AW196" si="124">(1+AV133)</f>
        <v>1.004867550565343</v>
      </c>
      <c r="AX133" s="60">
        <f>PRODUCT(AW$4:AW133)</f>
        <v>1.8799524889293076</v>
      </c>
      <c r="AZ133" s="71">
        <f t="shared" si="90"/>
        <v>130</v>
      </c>
      <c r="BA133" s="72">
        <f t="shared" ca="1" si="101"/>
        <v>1.004867550565343</v>
      </c>
      <c r="BB133" s="72">
        <f t="shared" ca="1" si="101"/>
        <v>1.004867550565343</v>
      </c>
      <c r="BC133" s="72">
        <f t="shared" ca="1" si="101"/>
        <v>1.004867550565343</v>
      </c>
      <c r="BD133" s="72">
        <f t="shared" ca="1" si="101"/>
        <v>1.004867550565343</v>
      </c>
      <c r="BE133" s="72">
        <f t="shared" ca="1" si="101"/>
        <v>1.004867550565343</v>
      </c>
      <c r="BF133" s="72">
        <f t="shared" ca="1" si="101"/>
        <v>1.004867550565343</v>
      </c>
      <c r="BG133" s="72">
        <f t="shared" ca="1" si="101"/>
        <v>1.004867550565343</v>
      </c>
      <c r="BH133" s="72">
        <f t="shared" ca="1" si="101"/>
        <v>1.004867550565343</v>
      </c>
      <c r="BI133" s="72">
        <f t="shared" ca="1" si="101"/>
        <v>1.004867550565343</v>
      </c>
      <c r="BJ133" s="72">
        <f t="shared" ca="1" si="101"/>
        <v>1.004867550565343</v>
      </c>
      <c r="BK133" s="72">
        <f t="shared" ca="1" si="101"/>
        <v>1.004867550565343</v>
      </c>
      <c r="BL133" s="72">
        <f t="shared" ca="1" si="101"/>
        <v>1.004867550565343</v>
      </c>
      <c r="BM133" s="72">
        <f t="shared" ca="1" si="114"/>
        <v>6.0000000000000275E-2</v>
      </c>
      <c r="BN133" s="73">
        <f t="shared" ref="BN133:BN153" ca="1" si="125">PRODUCT(BA133:BL133)*BN132</f>
        <v>1948.778521616588</v>
      </c>
    </row>
    <row r="134" spans="5:66">
      <c r="E134">
        <f t="shared" si="95"/>
        <v>131</v>
      </c>
      <c r="F134" s="9">
        <f t="shared" ref="F134:F197" si="126">1/12+F133</f>
        <v>79.833333333332718</v>
      </c>
      <c r="G134" s="132">
        <f t="shared" si="102"/>
        <v>0</v>
      </c>
      <c r="H134" s="133">
        <f t="shared" si="91"/>
        <v>1</v>
      </c>
      <c r="I134" s="31">
        <f t="shared" si="115"/>
        <v>1186699.8888207797</v>
      </c>
      <c r="J134" s="31">
        <f t="shared" si="103"/>
        <v>5776.3217147221194</v>
      </c>
      <c r="K134" s="163">
        <f t="shared" si="104"/>
        <v>-20</v>
      </c>
      <c r="L134" s="163">
        <f t="shared" si="116"/>
        <v>-988.91657401731652</v>
      </c>
      <c r="M134" s="163">
        <f t="shared" si="93"/>
        <v>0</v>
      </c>
      <c r="N134" s="163">
        <f t="shared" si="117"/>
        <v>-1127.3648943797409</v>
      </c>
      <c r="O134" s="84">
        <f t="shared" si="105"/>
        <v>-6234.7220095610019</v>
      </c>
      <c r="P134" s="31">
        <f t="shared" si="106"/>
        <v>1184105.2070575438</v>
      </c>
      <c r="Q134" s="5"/>
      <c r="R134">
        <f t="shared" ca="1" si="118"/>
        <v>251</v>
      </c>
      <c r="S134" s="133">
        <f t="shared" ca="1" si="119"/>
        <v>89.4</v>
      </c>
      <c r="T134" s="132">
        <f t="shared" ca="1" si="107"/>
        <v>1.7629481118167423E-2</v>
      </c>
      <c r="U134" s="133">
        <f t="shared" ref="U134:U197" ca="1" si="127">U133*(1-T134)</f>
        <v>0.21137626881991395</v>
      </c>
      <c r="V134" s="31">
        <f t="shared" ca="1" si="120"/>
        <v>151220.7055793906</v>
      </c>
      <c r="W134" s="31">
        <f t="shared" ca="1" si="108"/>
        <v>736.07443093453742</v>
      </c>
      <c r="X134" s="163">
        <f t="shared" ref="X134:X197" ca="1" si="128">IF(V134=0,0,-$C$19)*U134</f>
        <v>-4.2275253763982787</v>
      </c>
      <c r="Y134" s="163">
        <f t="shared" ref="Y134:Y197" ca="1" si="129">IF(OR(V133+AB133=0,X133=0),0,-V134*($C$16/12))</f>
        <v>-126.01725464949217</v>
      </c>
      <c r="Z134" s="163">
        <f t="shared" ca="1" si="121"/>
        <v>0</v>
      </c>
      <c r="AA134" s="163">
        <f t="shared" ref="AA134:AA197" ca="1" si="130">IF(OR(V133+AB133=0,X133=0),0,-V134*($C$18*(1+$C$20))/12)</f>
        <v>-143.65967030042108</v>
      </c>
      <c r="AB134" s="84">
        <f t="shared" ca="1" si="109"/>
        <v>-1317.8722755104004</v>
      </c>
      <c r="AC134" s="160">
        <f t="shared" si="110"/>
        <v>0</v>
      </c>
      <c r="AD134" s="31">
        <f t="shared" ca="1" si="111"/>
        <v>150365.00328448843</v>
      </c>
      <c r="AE134" s="5"/>
      <c r="AF134" s="151">
        <f t="shared" ca="1" si="112"/>
        <v>-6234.7220095610019</v>
      </c>
      <c r="AG134" s="151">
        <f t="shared" ca="1" si="113"/>
        <v>711361.80103829328</v>
      </c>
      <c r="AH134" s="5"/>
      <c r="AI134" s="5"/>
      <c r="AS134" s="55">
        <f t="shared" si="122"/>
        <v>11</v>
      </c>
      <c r="AT134" s="56">
        <f t="shared" ref="AT134:AT197" si="131">AT133+1</f>
        <v>131</v>
      </c>
      <c r="AU134" s="57">
        <f t="shared" ref="AU134:AU143" si="132">(1-AV134)*AU133</f>
        <v>0.52771122188485053</v>
      </c>
      <c r="AV134" s="58">
        <f t="shared" si="123"/>
        <v>4.8675505653430484E-3</v>
      </c>
      <c r="AW134" s="59">
        <f t="shared" si="124"/>
        <v>1.004867550565343</v>
      </c>
      <c r="AX134" s="60">
        <f>PRODUCT(AW$4:AW134)</f>
        <v>1.8891032527296134</v>
      </c>
      <c r="AZ134" s="71">
        <f t="shared" ref="AZ134:AZ153" si="133">AZ133+1</f>
        <v>131</v>
      </c>
      <c r="BA134" s="72">
        <f t="shared" ca="1" si="101"/>
        <v>1.004867550565343</v>
      </c>
      <c r="BB134" s="72">
        <f t="shared" ca="1" si="101"/>
        <v>1.004867550565343</v>
      </c>
      <c r="BC134" s="72">
        <f t="shared" ca="1" si="101"/>
        <v>1.004867550565343</v>
      </c>
      <c r="BD134" s="72">
        <f t="shared" ca="1" si="101"/>
        <v>1.004867550565343</v>
      </c>
      <c r="BE134" s="72">
        <f t="shared" ca="1" si="101"/>
        <v>1.004867550565343</v>
      </c>
      <c r="BF134" s="72">
        <f t="shared" ca="1" si="101"/>
        <v>1.004867550565343</v>
      </c>
      <c r="BG134" s="72">
        <f t="shared" ca="1" si="101"/>
        <v>1.004867550565343</v>
      </c>
      <c r="BH134" s="72">
        <f t="shared" ca="1" si="101"/>
        <v>1.004867550565343</v>
      </c>
      <c r="BI134" s="72">
        <f t="shared" ca="1" si="101"/>
        <v>1.004867550565343</v>
      </c>
      <c r="BJ134" s="72">
        <f t="shared" ca="1" si="101"/>
        <v>1.004867550565343</v>
      </c>
      <c r="BK134" s="72">
        <f t="shared" ca="1" si="101"/>
        <v>1.004867550565343</v>
      </c>
      <c r="BL134" s="72">
        <f t="shared" ca="1" si="101"/>
        <v>1.004867550565343</v>
      </c>
      <c r="BM134" s="72">
        <f t="shared" ca="1" si="114"/>
        <v>6.0000000000000275E-2</v>
      </c>
      <c r="BN134" s="73">
        <f t="shared" ca="1" si="125"/>
        <v>2065.705232913584</v>
      </c>
    </row>
    <row r="135" spans="5:66">
      <c r="E135">
        <f t="shared" si="95"/>
        <v>132</v>
      </c>
      <c r="F135" s="9">
        <f t="shared" si="126"/>
        <v>79.916666666666046</v>
      </c>
      <c r="G135" s="132">
        <f t="shared" si="102"/>
        <v>0</v>
      </c>
      <c r="H135" s="133">
        <f t="shared" ref="H135:H198" si="134">H134*(1-G135)</f>
        <v>1</v>
      </c>
      <c r="I135" s="31">
        <f t="shared" si="115"/>
        <v>1184105.2070575438</v>
      </c>
      <c r="J135" s="31">
        <f t="shared" si="103"/>
        <v>5763.6919700385943</v>
      </c>
      <c r="K135" s="163">
        <f t="shared" si="104"/>
        <v>-20</v>
      </c>
      <c r="L135" s="163">
        <f t="shared" si="116"/>
        <v>-986.7543392146199</v>
      </c>
      <c r="M135" s="163">
        <f t="shared" si="93"/>
        <v>0</v>
      </c>
      <c r="N135" s="163">
        <f t="shared" si="117"/>
        <v>-1124.8999467046667</v>
      </c>
      <c r="O135" s="84">
        <f t="shared" si="105"/>
        <v>-6234.7220095610019</v>
      </c>
      <c r="P135" s="31">
        <f t="shared" si="106"/>
        <v>1181502.5227321021</v>
      </c>
      <c r="Q135" s="5"/>
      <c r="R135">
        <f t="shared" ca="1" si="118"/>
        <v>252</v>
      </c>
      <c r="S135" s="133">
        <f t="shared" ca="1" si="119"/>
        <v>89.48</v>
      </c>
      <c r="T135" s="132">
        <f t="shared" ca="1" si="107"/>
        <v>1.7629481118167423E-2</v>
      </c>
      <c r="U135" s="133">
        <f t="shared" ca="1" si="127"/>
        <v>0.20764981487992459</v>
      </c>
      <c r="V135" s="31">
        <f t="shared" ca="1" si="120"/>
        <v>147714.14629825135</v>
      </c>
      <c r="W135" s="31">
        <f t="shared" ca="1" si="108"/>
        <v>719.00607632321908</v>
      </c>
      <c r="X135" s="163">
        <f t="shared" ca="1" si="128"/>
        <v>-4.1529962975984915</v>
      </c>
      <c r="Y135" s="163">
        <f t="shared" ca="1" si="129"/>
        <v>-123.09512191520946</v>
      </c>
      <c r="Z135" s="163">
        <f t="shared" ca="1" si="121"/>
        <v>-1107.856097236885</v>
      </c>
      <c r="AA135" s="163">
        <f t="shared" ca="1" si="130"/>
        <v>-140.3284389833388</v>
      </c>
      <c r="AB135" s="84">
        <f t="shared" ca="1" si="109"/>
        <v>-1294.6388711131333</v>
      </c>
      <c r="AC135" s="160">
        <f t="shared" si="110"/>
        <v>0</v>
      </c>
      <c r="AD135" s="31">
        <f t="shared" ca="1" si="111"/>
        <v>145763.0808490284</v>
      </c>
      <c r="AE135" s="5"/>
      <c r="AF135" s="151">
        <f t="shared" ca="1" si="112"/>
        <v>-6234.722009561001</v>
      </c>
      <c r="AG135" s="151">
        <f t="shared" ca="1" si="113"/>
        <v>701965.85984590079</v>
      </c>
      <c r="AH135" s="5"/>
      <c r="AI135" s="5"/>
      <c r="AS135" s="55">
        <f t="shared" si="122"/>
        <v>11</v>
      </c>
      <c r="AT135" s="56">
        <f t="shared" si="131"/>
        <v>132</v>
      </c>
      <c r="AU135" s="57">
        <f t="shared" si="132"/>
        <v>0.52514256082842703</v>
      </c>
      <c r="AV135" s="58">
        <f t="shared" si="123"/>
        <v>4.8675505653430484E-3</v>
      </c>
      <c r="AW135" s="59">
        <f t="shared" si="124"/>
        <v>1.004867550565343</v>
      </c>
      <c r="AX135" s="60">
        <f>PRODUCT(AW$4:AW135)</f>
        <v>1.8982985583354288</v>
      </c>
      <c r="AZ135" s="71">
        <f t="shared" si="133"/>
        <v>132</v>
      </c>
      <c r="BA135" s="72">
        <f t="shared" ref="BA135:BL144" ca="1" si="135">OFFSET($AW$3,($AZ135*12-12)+BA$3,0)</f>
        <v>1.004867550565343</v>
      </c>
      <c r="BB135" s="72">
        <f t="shared" ca="1" si="135"/>
        <v>1.004867550565343</v>
      </c>
      <c r="BC135" s="72">
        <f t="shared" ca="1" si="135"/>
        <v>1.004867550565343</v>
      </c>
      <c r="BD135" s="72">
        <f t="shared" ca="1" si="135"/>
        <v>1.004867550565343</v>
      </c>
      <c r="BE135" s="72">
        <f t="shared" ca="1" si="135"/>
        <v>1.004867550565343</v>
      </c>
      <c r="BF135" s="72">
        <f t="shared" ca="1" si="135"/>
        <v>1.004867550565343</v>
      </c>
      <c r="BG135" s="72">
        <f t="shared" ca="1" si="135"/>
        <v>1.004867550565343</v>
      </c>
      <c r="BH135" s="72">
        <f t="shared" ca="1" si="135"/>
        <v>1.004867550565343</v>
      </c>
      <c r="BI135" s="72">
        <f t="shared" ca="1" si="135"/>
        <v>1.004867550565343</v>
      </c>
      <c r="BJ135" s="72">
        <f t="shared" ca="1" si="135"/>
        <v>1.004867550565343</v>
      </c>
      <c r="BK135" s="72">
        <f t="shared" ca="1" si="135"/>
        <v>1.004867550565343</v>
      </c>
      <c r="BL135" s="72">
        <f t="shared" ca="1" si="135"/>
        <v>1.004867550565343</v>
      </c>
      <c r="BM135" s="72">
        <f t="shared" ca="1" si="114"/>
        <v>6.0000000000000275E-2</v>
      </c>
      <c r="BN135" s="73">
        <f t="shared" ca="1" si="125"/>
        <v>2189.6475468883996</v>
      </c>
    </row>
    <row r="136" spans="5:66">
      <c r="E136">
        <f t="shared" si="95"/>
        <v>133</v>
      </c>
      <c r="F136" s="9">
        <f t="shared" si="126"/>
        <v>79.999999999999375</v>
      </c>
      <c r="G136" s="132">
        <f t="shared" si="102"/>
        <v>0</v>
      </c>
      <c r="H136" s="133">
        <f t="shared" si="134"/>
        <v>1</v>
      </c>
      <c r="I136" s="31">
        <f t="shared" si="115"/>
        <v>1181502.5227321021</v>
      </c>
      <c r="J136" s="31">
        <f t="shared" si="103"/>
        <v>5751.0232724788812</v>
      </c>
      <c r="K136" s="163">
        <f t="shared" si="104"/>
        <v>-20</v>
      </c>
      <c r="L136" s="163">
        <f t="shared" si="116"/>
        <v>-984.58543561008514</v>
      </c>
      <c r="M136" s="163">
        <f t="shared" si="93"/>
        <v>-8861.2689204907656</v>
      </c>
      <c r="N136" s="163">
        <f t="shared" si="117"/>
        <v>-1122.4273965954972</v>
      </c>
      <c r="O136" s="84">
        <f t="shared" si="105"/>
        <v>-6234.7220095610019</v>
      </c>
      <c r="P136" s="31">
        <f t="shared" si="106"/>
        <v>1170030.5422423237</v>
      </c>
      <c r="Q136" s="5"/>
      <c r="R136">
        <f t="shared" ca="1" si="118"/>
        <v>253</v>
      </c>
      <c r="S136" s="133">
        <f t="shared" ca="1" si="119"/>
        <v>89.56</v>
      </c>
      <c r="T136" s="132">
        <f t="shared" ca="1" si="107"/>
        <v>1.9288575747068104E-2</v>
      </c>
      <c r="U136" s="133">
        <f t="shared" ca="1" si="127"/>
        <v>0.2036445456967485</v>
      </c>
      <c r="V136" s="31">
        <f t="shared" ca="1" si="120"/>
        <v>142951.51862294591</v>
      </c>
      <c r="W136" s="31">
        <f t="shared" ca="1" si="108"/>
        <v>695.82374528976766</v>
      </c>
      <c r="X136" s="163">
        <f t="shared" ca="1" si="128"/>
        <v>-4.0728909139349696</v>
      </c>
      <c r="Y136" s="163">
        <f t="shared" ca="1" si="129"/>
        <v>-119.1262655191216</v>
      </c>
      <c r="Z136" s="163">
        <f t="shared" ca="1" si="121"/>
        <v>0</v>
      </c>
      <c r="AA136" s="163">
        <f t="shared" ca="1" si="130"/>
        <v>-135.80394269179865</v>
      </c>
      <c r="AB136" s="84">
        <f t="shared" ca="1" si="109"/>
        <v>-1269.6671311825692</v>
      </c>
      <c r="AC136" s="160">
        <f t="shared" si="110"/>
        <v>0</v>
      </c>
      <c r="AD136" s="31">
        <f t="shared" ca="1" si="111"/>
        <v>142118.67213792825</v>
      </c>
      <c r="AE136" s="5"/>
      <c r="AF136" s="151">
        <f t="shared" ca="1" si="112"/>
        <v>-6234.7220095610019</v>
      </c>
      <c r="AG136" s="151">
        <f t="shared" ca="1" si="113"/>
        <v>697876.15303755912</v>
      </c>
      <c r="AH136" s="5"/>
      <c r="AI136" s="5"/>
      <c r="AS136" s="55">
        <f t="shared" si="122"/>
        <v>12</v>
      </c>
      <c r="AT136" s="56">
        <f t="shared" si="131"/>
        <v>133</v>
      </c>
      <c r="AU136" s="57">
        <f t="shared" si="132"/>
        <v>0.52258640285958091</v>
      </c>
      <c r="AV136" s="58">
        <f t="shared" si="123"/>
        <v>4.8675505653430484E-3</v>
      </c>
      <c r="AW136" s="59">
        <f t="shared" si="124"/>
        <v>1.004867550565343</v>
      </c>
      <c r="AX136" s="60">
        <f>PRODUCT(AW$4:AW136)</f>
        <v>1.9075386225562443</v>
      </c>
      <c r="AZ136" s="71">
        <f t="shared" si="133"/>
        <v>133</v>
      </c>
      <c r="BA136" s="72">
        <f t="shared" ca="1" si="135"/>
        <v>1.004867550565343</v>
      </c>
      <c r="BB136" s="72">
        <f t="shared" ca="1" si="135"/>
        <v>1.004867550565343</v>
      </c>
      <c r="BC136" s="72">
        <f t="shared" ca="1" si="135"/>
        <v>1.004867550565343</v>
      </c>
      <c r="BD136" s="72">
        <f t="shared" ca="1" si="135"/>
        <v>1.004867550565343</v>
      </c>
      <c r="BE136" s="72">
        <f t="shared" ca="1" si="135"/>
        <v>1.004867550565343</v>
      </c>
      <c r="BF136" s="72">
        <f t="shared" ca="1" si="135"/>
        <v>1.004867550565343</v>
      </c>
      <c r="BG136" s="72">
        <f t="shared" ca="1" si="135"/>
        <v>1.004867550565343</v>
      </c>
      <c r="BH136" s="72">
        <f t="shared" ca="1" si="135"/>
        <v>1.004867550565343</v>
      </c>
      <c r="BI136" s="72">
        <f t="shared" ca="1" si="135"/>
        <v>1.004867550565343</v>
      </c>
      <c r="BJ136" s="72">
        <f t="shared" ca="1" si="135"/>
        <v>1.004867550565343</v>
      </c>
      <c r="BK136" s="72">
        <f t="shared" ca="1" si="135"/>
        <v>1.004867550565343</v>
      </c>
      <c r="BL136" s="72">
        <f t="shared" ca="1" si="135"/>
        <v>1.004867550565343</v>
      </c>
      <c r="BM136" s="72">
        <f t="shared" ca="1" si="114"/>
        <v>6.0000000000000275E-2</v>
      </c>
      <c r="BN136" s="73">
        <f t="shared" ca="1" si="125"/>
        <v>2321.0263997017041</v>
      </c>
    </row>
    <row r="137" spans="5:66">
      <c r="E137">
        <f t="shared" si="95"/>
        <v>134</v>
      </c>
      <c r="F137" s="9">
        <f t="shared" si="126"/>
        <v>80.083333333332703</v>
      </c>
      <c r="G137" s="132">
        <f t="shared" si="102"/>
        <v>0</v>
      </c>
      <c r="H137" s="133">
        <f t="shared" si="134"/>
        <v>1</v>
      </c>
      <c r="I137" s="31">
        <f t="shared" si="115"/>
        <v>1170030.5422423237</v>
      </c>
      <c r="J137" s="31">
        <f t="shared" si="103"/>
        <v>5695.1828273602569</v>
      </c>
      <c r="K137" s="163">
        <f t="shared" si="104"/>
        <v>-20</v>
      </c>
      <c r="L137" s="163">
        <f t="shared" si="116"/>
        <v>-975.02545186860323</v>
      </c>
      <c r="M137" s="163">
        <f t="shared" si="93"/>
        <v>0</v>
      </c>
      <c r="N137" s="163">
        <f t="shared" si="117"/>
        <v>-1111.5290151302077</v>
      </c>
      <c r="O137" s="84">
        <f t="shared" si="105"/>
        <v>-6234.7220095610019</v>
      </c>
      <c r="P137" s="31">
        <f t="shared" si="106"/>
        <v>1167384.4485931243</v>
      </c>
      <c r="Q137" s="5"/>
      <c r="R137">
        <f t="shared" ca="1" si="118"/>
        <v>254</v>
      </c>
      <c r="S137" s="133">
        <f t="shared" ca="1" si="119"/>
        <v>89.64</v>
      </c>
      <c r="T137" s="132">
        <f t="shared" ca="1" si="107"/>
        <v>1.9288575747068104E-2</v>
      </c>
      <c r="U137" s="133">
        <f t="shared" ca="1" si="127"/>
        <v>0.19971653245159951</v>
      </c>
      <c r="V137" s="31">
        <f t="shared" ca="1" si="120"/>
        <v>139377.40536532309</v>
      </c>
      <c r="W137" s="31">
        <f t="shared" ca="1" si="108"/>
        <v>678.42656828202564</v>
      </c>
      <c r="X137" s="163">
        <f t="shared" ca="1" si="128"/>
        <v>-3.9943306490319901</v>
      </c>
      <c r="Y137" s="163">
        <f t="shared" ca="1" si="129"/>
        <v>-116.14783780443592</v>
      </c>
      <c r="Z137" s="163">
        <f t="shared" ca="1" si="121"/>
        <v>0</v>
      </c>
      <c r="AA137" s="163">
        <f t="shared" ca="1" si="130"/>
        <v>-132.40853509705696</v>
      </c>
      <c r="AB137" s="84">
        <f t="shared" ca="1" si="109"/>
        <v>-1245.1770605491915</v>
      </c>
      <c r="AC137" s="160">
        <f t="shared" si="110"/>
        <v>0</v>
      </c>
      <c r="AD137" s="31">
        <f t="shared" ca="1" si="111"/>
        <v>138558.10416950539</v>
      </c>
      <c r="AE137" s="5"/>
      <c r="AF137" s="151">
        <f t="shared" ca="1" si="112"/>
        <v>-6234.7220095610019</v>
      </c>
      <c r="AG137" s="151">
        <f t="shared" ca="1" si="113"/>
        <v>693773.83268500504</v>
      </c>
      <c r="AH137" s="5"/>
      <c r="AI137" s="5"/>
      <c r="AS137" s="55">
        <f t="shared" si="122"/>
        <v>12</v>
      </c>
      <c r="AT137" s="56">
        <f t="shared" si="131"/>
        <v>134</v>
      </c>
      <c r="AU137" s="57">
        <f t="shared" si="132"/>
        <v>0.52004268711890111</v>
      </c>
      <c r="AV137" s="58">
        <f t="shared" si="123"/>
        <v>4.8675505653430484E-3</v>
      </c>
      <c r="AW137" s="59">
        <f t="shared" si="124"/>
        <v>1.004867550565343</v>
      </c>
      <c r="AX137" s="60">
        <f>PRODUCT(AW$4:AW137)</f>
        <v>1.9168236632568816</v>
      </c>
      <c r="AZ137" s="71">
        <f t="shared" si="133"/>
        <v>134</v>
      </c>
      <c r="BA137" s="72">
        <f t="shared" ca="1" si="135"/>
        <v>1.004867550565343</v>
      </c>
      <c r="BB137" s="72">
        <f t="shared" ca="1" si="135"/>
        <v>1.004867550565343</v>
      </c>
      <c r="BC137" s="72">
        <f t="shared" ca="1" si="135"/>
        <v>1.004867550565343</v>
      </c>
      <c r="BD137" s="72">
        <f t="shared" ca="1" si="135"/>
        <v>1.004867550565343</v>
      </c>
      <c r="BE137" s="72">
        <f t="shared" ca="1" si="135"/>
        <v>1.004867550565343</v>
      </c>
      <c r="BF137" s="72">
        <f t="shared" ca="1" si="135"/>
        <v>1.004867550565343</v>
      </c>
      <c r="BG137" s="72">
        <f t="shared" ca="1" si="135"/>
        <v>1.004867550565343</v>
      </c>
      <c r="BH137" s="72">
        <f t="shared" ca="1" si="135"/>
        <v>1.004867550565343</v>
      </c>
      <c r="BI137" s="72">
        <f t="shared" ca="1" si="135"/>
        <v>1.004867550565343</v>
      </c>
      <c r="BJ137" s="72">
        <f t="shared" ca="1" si="135"/>
        <v>1.004867550565343</v>
      </c>
      <c r="BK137" s="72">
        <f t="shared" ca="1" si="135"/>
        <v>1.004867550565343</v>
      </c>
      <c r="BL137" s="72">
        <f t="shared" ca="1" si="135"/>
        <v>1.004867550565343</v>
      </c>
      <c r="BM137" s="72">
        <f t="shared" ca="1" si="114"/>
        <v>6.0000000000000275E-2</v>
      </c>
      <c r="BN137" s="73">
        <f t="shared" ca="1" si="125"/>
        <v>2460.2879836838069</v>
      </c>
    </row>
    <row r="138" spans="5:66">
      <c r="E138">
        <f t="shared" si="95"/>
        <v>135</v>
      </c>
      <c r="F138" s="9">
        <f t="shared" si="126"/>
        <v>80.166666666666032</v>
      </c>
      <c r="G138" s="132">
        <f t="shared" si="102"/>
        <v>0</v>
      </c>
      <c r="H138" s="133">
        <f t="shared" si="134"/>
        <v>1</v>
      </c>
      <c r="I138" s="31">
        <f t="shared" si="115"/>
        <v>1167384.4485931243</v>
      </c>
      <c r="J138" s="31">
        <f t="shared" si="103"/>
        <v>5682.3028327221446</v>
      </c>
      <c r="K138" s="163">
        <f t="shared" si="104"/>
        <v>-20</v>
      </c>
      <c r="L138" s="163">
        <f t="shared" si="116"/>
        <v>-972.82037382760359</v>
      </c>
      <c r="M138" s="163">
        <f t="shared" si="93"/>
        <v>0</v>
      </c>
      <c r="N138" s="163">
        <f t="shared" si="117"/>
        <v>-1109.0152261634682</v>
      </c>
      <c r="O138" s="84">
        <f t="shared" si="105"/>
        <v>-6234.7220095610019</v>
      </c>
      <c r="P138" s="31">
        <f t="shared" si="106"/>
        <v>1164730.1938162944</v>
      </c>
      <c r="Q138" s="5"/>
      <c r="R138">
        <f t="shared" ca="1" si="118"/>
        <v>255</v>
      </c>
      <c r="S138" s="133">
        <f t="shared" ca="1" si="119"/>
        <v>89.72</v>
      </c>
      <c r="T138" s="132">
        <f t="shared" ca="1" si="107"/>
        <v>1.9288575747068104E-2</v>
      </c>
      <c r="U138" s="133">
        <f t="shared" ca="1" si="127"/>
        <v>0.19586428498746505</v>
      </c>
      <c r="V138" s="31">
        <f t="shared" ca="1" si="120"/>
        <v>135885.51568186173</v>
      </c>
      <c r="W138" s="31">
        <f t="shared" ca="1" si="108"/>
        <v>661.42961867917768</v>
      </c>
      <c r="X138" s="163">
        <f t="shared" ca="1" si="128"/>
        <v>-3.9172856997493009</v>
      </c>
      <c r="Y138" s="163">
        <f t="shared" ca="1" si="129"/>
        <v>-113.23792973488477</v>
      </c>
      <c r="Z138" s="163">
        <f t="shared" ca="1" si="121"/>
        <v>0</v>
      </c>
      <c r="AA138" s="163">
        <f t="shared" ca="1" si="130"/>
        <v>-129.09123989776865</v>
      </c>
      <c r="AB138" s="84">
        <f t="shared" ca="1" si="109"/>
        <v>-1221.1593684982768</v>
      </c>
      <c r="AC138" s="160">
        <f t="shared" si="110"/>
        <v>0</v>
      </c>
      <c r="AD138" s="31">
        <f t="shared" ca="1" si="111"/>
        <v>135079.53947671023</v>
      </c>
      <c r="AE138" s="5"/>
      <c r="AF138" s="151">
        <f t="shared" ca="1" si="112"/>
        <v>-6234.722009561001</v>
      </c>
      <c r="AG138" s="151">
        <f t="shared" ca="1" si="113"/>
        <v>689658.85988532857</v>
      </c>
      <c r="AH138" s="5"/>
      <c r="AI138" s="5"/>
      <c r="AS138" s="55">
        <f t="shared" si="122"/>
        <v>12</v>
      </c>
      <c r="AT138" s="56">
        <f t="shared" si="131"/>
        <v>135</v>
      </c>
      <c r="AU138" s="57">
        <f t="shared" si="132"/>
        <v>0.51751135304321294</v>
      </c>
      <c r="AV138" s="58">
        <f t="shared" si="123"/>
        <v>4.8675505653430484E-3</v>
      </c>
      <c r="AW138" s="59">
        <f t="shared" si="124"/>
        <v>1.004867550565343</v>
      </c>
      <c r="AX138" s="60">
        <f>PRODUCT(AW$4:AW138)</f>
        <v>1.9261538993626306</v>
      </c>
      <c r="AZ138" s="71">
        <f t="shared" si="133"/>
        <v>135</v>
      </c>
      <c r="BA138" s="72">
        <f t="shared" ca="1" si="135"/>
        <v>1.004867550565343</v>
      </c>
      <c r="BB138" s="72">
        <f t="shared" ca="1" si="135"/>
        <v>1.004867550565343</v>
      </c>
      <c r="BC138" s="72">
        <f t="shared" ca="1" si="135"/>
        <v>1.004867550565343</v>
      </c>
      <c r="BD138" s="72">
        <f t="shared" ca="1" si="135"/>
        <v>1.004867550565343</v>
      </c>
      <c r="BE138" s="72">
        <f t="shared" ca="1" si="135"/>
        <v>1.004867550565343</v>
      </c>
      <c r="BF138" s="72">
        <f t="shared" ca="1" si="135"/>
        <v>1.004867550565343</v>
      </c>
      <c r="BG138" s="72">
        <f t="shared" ca="1" si="135"/>
        <v>1.004867550565343</v>
      </c>
      <c r="BH138" s="72">
        <f t="shared" ca="1" si="135"/>
        <v>1.004867550565343</v>
      </c>
      <c r="BI138" s="72">
        <f t="shared" ca="1" si="135"/>
        <v>1.004867550565343</v>
      </c>
      <c r="BJ138" s="72">
        <f t="shared" ca="1" si="135"/>
        <v>1.004867550565343</v>
      </c>
      <c r="BK138" s="72">
        <f t="shared" ca="1" si="135"/>
        <v>1.004867550565343</v>
      </c>
      <c r="BL138" s="72">
        <f t="shared" ca="1" si="135"/>
        <v>1.004867550565343</v>
      </c>
      <c r="BM138" s="72">
        <f t="shared" ca="1" si="114"/>
        <v>6.0000000000000275E-2</v>
      </c>
      <c r="BN138" s="73">
        <f t="shared" ca="1" si="125"/>
        <v>2607.9052627048359</v>
      </c>
    </row>
    <row r="139" spans="5:66">
      <c r="E139">
        <f t="shared" si="95"/>
        <v>136</v>
      </c>
      <c r="F139" s="9">
        <f t="shared" si="126"/>
        <v>80.249999999999361</v>
      </c>
      <c r="G139" s="132">
        <f t="shared" si="102"/>
        <v>0</v>
      </c>
      <c r="H139" s="133">
        <f t="shared" si="134"/>
        <v>1</v>
      </c>
      <c r="I139" s="31">
        <f t="shared" si="115"/>
        <v>1164730.1938162944</v>
      </c>
      <c r="J139" s="31">
        <f t="shared" si="103"/>
        <v>5669.3831133826225</v>
      </c>
      <c r="K139" s="163">
        <f t="shared" si="104"/>
        <v>-20</v>
      </c>
      <c r="L139" s="163">
        <f t="shared" si="116"/>
        <v>-970.60849484691209</v>
      </c>
      <c r="M139" s="163">
        <f t="shared" si="93"/>
        <v>0</v>
      </c>
      <c r="N139" s="163">
        <f t="shared" si="117"/>
        <v>-1106.4936841254801</v>
      </c>
      <c r="O139" s="84">
        <f t="shared" si="105"/>
        <v>-6234.7220095610019</v>
      </c>
      <c r="P139" s="31">
        <f t="shared" si="106"/>
        <v>1162067.7527411438</v>
      </c>
      <c r="Q139" s="5"/>
      <c r="R139">
        <f t="shared" ca="1" si="118"/>
        <v>256</v>
      </c>
      <c r="S139" s="133">
        <f t="shared" ca="1" si="119"/>
        <v>89.8</v>
      </c>
      <c r="T139" s="132">
        <f t="shared" ca="1" si="107"/>
        <v>1.9288575747068104E-2</v>
      </c>
      <c r="U139" s="133">
        <f t="shared" ca="1" si="127"/>
        <v>0.19208634189033899</v>
      </c>
      <c r="V139" s="31">
        <f t="shared" ca="1" si="120"/>
        <v>132474.04754763463</v>
      </c>
      <c r="W139" s="31">
        <f t="shared" ca="1" si="108"/>
        <v>644.82412503377088</v>
      </c>
      <c r="X139" s="163">
        <f t="shared" ca="1" si="128"/>
        <v>-3.8417268378067799</v>
      </c>
      <c r="Y139" s="163">
        <f t="shared" ca="1" si="129"/>
        <v>-110.39503962302886</v>
      </c>
      <c r="Z139" s="163">
        <f t="shared" ca="1" si="121"/>
        <v>0</v>
      </c>
      <c r="AA139" s="163">
        <f t="shared" ca="1" si="130"/>
        <v>-125.85034517025292</v>
      </c>
      <c r="AB139" s="84">
        <f t="shared" ca="1" si="109"/>
        <v>-1197.6049435197558</v>
      </c>
      <c r="AC139" s="160">
        <f t="shared" si="110"/>
        <v>0</v>
      </c>
      <c r="AD139" s="31">
        <f t="shared" ca="1" si="111"/>
        <v>131681.1796175176</v>
      </c>
      <c r="AE139" s="5"/>
      <c r="AF139" s="151">
        <f t="shared" ca="1" si="112"/>
        <v>-6234.722009561001</v>
      </c>
      <c r="AG139" s="151">
        <f t="shared" ca="1" si="113"/>
        <v>685531.19561563432</v>
      </c>
      <c r="AH139" s="5"/>
      <c r="AI139" s="5"/>
      <c r="AS139" s="55">
        <f t="shared" si="122"/>
        <v>12</v>
      </c>
      <c r="AT139" s="56">
        <f t="shared" si="131"/>
        <v>136</v>
      </c>
      <c r="AU139" s="57">
        <f t="shared" si="132"/>
        <v>0.51499234036413599</v>
      </c>
      <c r="AV139" s="58">
        <f t="shared" si="123"/>
        <v>4.8675505653430484E-3</v>
      </c>
      <c r="AW139" s="59">
        <f t="shared" si="124"/>
        <v>1.004867550565343</v>
      </c>
      <c r="AX139" s="60">
        <f>PRODUCT(AW$4:AW139)</f>
        <v>1.9355295508644108</v>
      </c>
      <c r="AZ139" s="71">
        <f t="shared" si="133"/>
        <v>136</v>
      </c>
      <c r="BA139" s="72">
        <f t="shared" ca="1" si="135"/>
        <v>1.004867550565343</v>
      </c>
      <c r="BB139" s="72">
        <f t="shared" ca="1" si="135"/>
        <v>1.004867550565343</v>
      </c>
      <c r="BC139" s="72">
        <f t="shared" ca="1" si="135"/>
        <v>1.004867550565343</v>
      </c>
      <c r="BD139" s="72">
        <f t="shared" ca="1" si="135"/>
        <v>1.004867550565343</v>
      </c>
      <c r="BE139" s="72">
        <f t="shared" ca="1" si="135"/>
        <v>1.004867550565343</v>
      </c>
      <c r="BF139" s="72">
        <f t="shared" ca="1" si="135"/>
        <v>1.004867550565343</v>
      </c>
      <c r="BG139" s="72">
        <f t="shared" ca="1" si="135"/>
        <v>1.004867550565343</v>
      </c>
      <c r="BH139" s="72">
        <f t="shared" ca="1" si="135"/>
        <v>1.004867550565343</v>
      </c>
      <c r="BI139" s="72">
        <f t="shared" ca="1" si="135"/>
        <v>1.004867550565343</v>
      </c>
      <c r="BJ139" s="72">
        <f t="shared" ca="1" si="135"/>
        <v>1.004867550565343</v>
      </c>
      <c r="BK139" s="72">
        <f t="shared" ca="1" si="135"/>
        <v>1.004867550565343</v>
      </c>
      <c r="BL139" s="72">
        <f t="shared" ca="1" si="135"/>
        <v>1.004867550565343</v>
      </c>
      <c r="BM139" s="72">
        <f t="shared" ca="1" si="114"/>
        <v>6.0000000000000275E-2</v>
      </c>
      <c r="BN139" s="73">
        <f t="shared" ca="1" si="125"/>
        <v>2764.3795784671265</v>
      </c>
    </row>
    <row r="140" spans="5:66">
      <c r="E140">
        <f t="shared" si="95"/>
        <v>137</v>
      </c>
      <c r="F140" s="9">
        <f t="shared" si="126"/>
        <v>80.333333333332689</v>
      </c>
      <c r="G140" s="132">
        <f t="shared" si="102"/>
        <v>0</v>
      </c>
      <c r="H140" s="133">
        <f t="shared" si="134"/>
        <v>1</v>
      </c>
      <c r="I140" s="31">
        <f t="shared" si="115"/>
        <v>1162067.7527411438</v>
      </c>
      <c r="J140" s="31">
        <f t="shared" si="103"/>
        <v>5656.4235468220804</v>
      </c>
      <c r="K140" s="163">
        <f t="shared" si="104"/>
        <v>-20</v>
      </c>
      <c r="L140" s="163">
        <f t="shared" si="116"/>
        <v>-968.38979395095328</v>
      </c>
      <c r="M140" s="163">
        <f t="shared" si="93"/>
        <v>0</v>
      </c>
      <c r="N140" s="163">
        <f t="shared" si="117"/>
        <v>-1103.9643651040867</v>
      </c>
      <c r="O140" s="84">
        <f t="shared" si="105"/>
        <v>-6234.7220095610019</v>
      </c>
      <c r="P140" s="31">
        <f t="shared" si="106"/>
        <v>1159397.1001193498</v>
      </c>
      <c r="Q140" s="5"/>
      <c r="R140">
        <f t="shared" ca="1" si="118"/>
        <v>257</v>
      </c>
      <c r="S140" s="133">
        <f t="shared" ca="1" si="119"/>
        <v>89.88</v>
      </c>
      <c r="T140" s="132">
        <f t="shared" ca="1" si="107"/>
        <v>1.9288575747068104E-2</v>
      </c>
      <c r="U140" s="133">
        <f t="shared" ca="1" si="127"/>
        <v>0.18838126993480997</v>
      </c>
      <c r="V140" s="31">
        <f t="shared" ca="1" si="120"/>
        <v>129141.23721000183</v>
      </c>
      <c r="W140" s="31">
        <f t="shared" ca="1" si="108"/>
        <v>628.60150219064508</v>
      </c>
      <c r="X140" s="163">
        <f t="shared" ca="1" si="128"/>
        <v>-3.7676253986961994</v>
      </c>
      <c r="Y140" s="163">
        <f t="shared" ca="1" si="129"/>
        <v>-107.61769767500152</v>
      </c>
      <c r="Z140" s="163">
        <f t="shared" ca="1" si="121"/>
        <v>0</v>
      </c>
      <c r="AA140" s="163">
        <f t="shared" ca="1" si="130"/>
        <v>-122.68417534950176</v>
      </c>
      <c r="AB140" s="84">
        <f t="shared" ca="1" si="109"/>
        <v>-1174.5048498516119</v>
      </c>
      <c r="AC140" s="160">
        <f t="shared" si="110"/>
        <v>0</v>
      </c>
      <c r="AD140" s="31">
        <f t="shared" ca="1" si="111"/>
        <v>128361.26436391767</v>
      </c>
      <c r="AE140" s="5"/>
      <c r="AF140" s="151">
        <f t="shared" ca="1" si="112"/>
        <v>-6234.7220095610019</v>
      </c>
      <c r="AG140" s="151">
        <f t="shared" ca="1" si="113"/>
        <v>681390.80073267128</v>
      </c>
      <c r="AH140" s="5"/>
      <c r="AI140" s="5"/>
      <c r="AS140" s="55">
        <f t="shared" si="122"/>
        <v>12</v>
      </c>
      <c r="AT140" s="56">
        <f t="shared" si="131"/>
        <v>137</v>
      </c>
      <c r="AU140" s="57">
        <f t="shared" si="132"/>
        <v>0.51248558910664921</v>
      </c>
      <c r="AV140" s="58">
        <f t="shared" si="123"/>
        <v>4.8675505653430484E-3</v>
      </c>
      <c r="AW140" s="59">
        <f t="shared" si="124"/>
        <v>1.004867550565343</v>
      </c>
      <c r="AX140" s="60">
        <f>PRODUCT(AW$4:AW140)</f>
        <v>1.9449508388239591</v>
      </c>
      <c r="AZ140" s="71">
        <f t="shared" si="133"/>
        <v>137</v>
      </c>
      <c r="BA140" s="72">
        <f t="shared" ca="1" si="135"/>
        <v>1.004867550565343</v>
      </c>
      <c r="BB140" s="72">
        <f t="shared" ca="1" si="135"/>
        <v>1.004867550565343</v>
      </c>
      <c r="BC140" s="72">
        <f t="shared" ca="1" si="135"/>
        <v>1.004867550565343</v>
      </c>
      <c r="BD140" s="72">
        <f t="shared" ca="1" si="135"/>
        <v>1.004867550565343</v>
      </c>
      <c r="BE140" s="72">
        <f t="shared" ca="1" si="135"/>
        <v>1.004867550565343</v>
      </c>
      <c r="BF140" s="72">
        <f t="shared" ca="1" si="135"/>
        <v>1.004867550565343</v>
      </c>
      <c r="BG140" s="72">
        <f t="shared" ca="1" si="135"/>
        <v>1.004867550565343</v>
      </c>
      <c r="BH140" s="72">
        <f t="shared" ca="1" si="135"/>
        <v>1.004867550565343</v>
      </c>
      <c r="BI140" s="72">
        <f t="shared" ca="1" si="135"/>
        <v>1.004867550565343</v>
      </c>
      <c r="BJ140" s="72">
        <f t="shared" ca="1" si="135"/>
        <v>1.004867550565343</v>
      </c>
      <c r="BK140" s="72">
        <f t="shared" ca="1" si="135"/>
        <v>1.004867550565343</v>
      </c>
      <c r="BL140" s="72">
        <f t="shared" ca="1" si="135"/>
        <v>1.004867550565343</v>
      </c>
      <c r="BM140" s="72">
        <f t="shared" ca="1" si="114"/>
        <v>6.0000000000000275E-2</v>
      </c>
      <c r="BN140" s="73">
        <f t="shared" ca="1" si="125"/>
        <v>2930.2423531751547</v>
      </c>
    </row>
    <row r="141" spans="5:66">
      <c r="E141">
        <f t="shared" si="95"/>
        <v>138</v>
      </c>
      <c r="F141" s="9">
        <f t="shared" si="126"/>
        <v>80.416666666666018</v>
      </c>
      <c r="G141" s="132">
        <f t="shared" si="102"/>
        <v>0</v>
      </c>
      <c r="H141" s="133">
        <f t="shared" si="134"/>
        <v>1</v>
      </c>
      <c r="I141" s="31">
        <f t="shared" si="115"/>
        <v>1159397.1001193498</v>
      </c>
      <c r="J141" s="31">
        <f t="shared" si="103"/>
        <v>5643.4240101430323</v>
      </c>
      <c r="K141" s="163">
        <f t="shared" si="104"/>
        <v>-20</v>
      </c>
      <c r="L141" s="163">
        <f t="shared" si="116"/>
        <v>-966.16425009945817</v>
      </c>
      <c r="M141" s="163">
        <f t="shared" si="93"/>
        <v>0</v>
      </c>
      <c r="N141" s="163">
        <f t="shared" si="117"/>
        <v>-1101.4272451133825</v>
      </c>
      <c r="O141" s="84">
        <f t="shared" si="105"/>
        <v>-6234.7220095610019</v>
      </c>
      <c r="P141" s="31">
        <f t="shared" si="106"/>
        <v>1156718.2106247188</v>
      </c>
      <c r="Q141" s="5"/>
      <c r="R141">
        <f t="shared" ca="1" si="118"/>
        <v>258</v>
      </c>
      <c r="S141" s="133">
        <f t="shared" ca="1" si="119"/>
        <v>89.96</v>
      </c>
      <c r="T141" s="132">
        <f t="shared" ca="1" si="107"/>
        <v>1.9288575747068104E-2</v>
      </c>
      <c r="U141" s="133">
        <f t="shared" ca="1" si="127"/>
        <v>0.1847476635403435</v>
      </c>
      <c r="V141" s="31">
        <f t="shared" ca="1" si="120"/>
        <v>125885.35839324481</v>
      </c>
      <c r="W141" s="31">
        <f t="shared" ca="1" si="108"/>
        <v>612.753347415451</v>
      </c>
      <c r="X141" s="163">
        <f t="shared" ca="1" si="128"/>
        <v>-3.6949532708068702</v>
      </c>
      <c r="Y141" s="163">
        <f t="shared" ca="1" si="129"/>
        <v>-104.90446532770402</v>
      </c>
      <c r="Z141" s="163">
        <f t="shared" ca="1" si="121"/>
        <v>0</v>
      </c>
      <c r="AA141" s="163">
        <f t="shared" ca="1" si="130"/>
        <v>-119.5910904735826</v>
      </c>
      <c r="AB141" s="84">
        <f t="shared" ca="1" si="109"/>
        <v>-1151.8503240899502</v>
      </c>
      <c r="AC141" s="160">
        <f t="shared" si="110"/>
        <v>0</v>
      </c>
      <c r="AD141" s="31">
        <f t="shared" ca="1" si="111"/>
        <v>125118.07090749822</v>
      </c>
      <c r="AE141" s="5"/>
      <c r="AF141" s="151">
        <f t="shared" ca="1" si="112"/>
        <v>-6234.722009561001</v>
      </c>
      <c r="AG141" s="151">
        <f t="shared" ca="1" si="113"/>
        <v>677237.63597246294</v>
      </c>
      <c r="AH141" s="5"/>
      <c r="AI141" s="5"/>
      <c r="AS141" s="55">
        <f t="shared" si="122"/>
        <v>12</v>
      </c>
      <c r="AT141" s="56">
        <f t="shared" si="131"/>
        <v>138</v>
      </c>
      <c r="AU141" s="57">
        <f t="shared" si="132"/>
        <v>0.50999103958766301</v>
      </c>
      <c r="AV141" s="58">
        <f t="shared" si="123"/>
        <v>4.8675505653430484E-3</v>
      </c>
      <c r="AW141" s="59">
        <f t="shared" si="124"/>
        <v>1.004867550565343</v>
      </c>
      <c r="AX141" s="60">
        <f>PRODUCT(AW$4:AW141)</f>
        <v>1.9544179853790411</v>
      </c>
      <c r="AZ141" s="71">
        <f t="shared" si="133"/>
        <v>138</v>
      </c>
      <c r="BA141" s="72">
        <f t="shared" ca="1" si="135"/>
        <v>1.004867550565343</v>
      </c>
      <c r="BB141" s="72">
        <f t="shared" ca="1" si="135"/>
        <v>1.004867550565343</v>
      </c>
      <c r="BC141" s="72">
        <f t="shared" ca="1" si="135"/>
        <v>1.004867550565343</v>
      </c>
      <c r="BD141" s="72">
        <f t="shared" ca="1" si="135"/>
        <v>1.004867550565343</v>
      </c>
      <c r="BE141" s="72">
        <f t="shared" ca="1" si="135"/>
        <v>1.004867550565343</v>
      </c>
      <c r="BF141" s="72">
        <f t="shared" ca="1" si="135"/>
        <v>1.004867550565343</v>
      </c>
      <c r="BG141" s="72">
        <f t="shared" ca="1" si="135"/>
        <v>1.004867550565343</v>
      </c>
      <c r="BH141" s="72">
        <f t="shared" ca="1" si="135"/>
        <v>1.004867550565343</v>
      </c>
      <c r="BI141" s="72">
        <f t="shared" ca="1" si="135"/>
        <v>1.004867550565343</v>
      </c>
      <c r="BJ141" s="72">
        <f t="shared" ca="1" si="135"/>
        <v>1.004867550565343</v>
      </c>
      <c r="BK141" s="72">
        <f t="shared" ca="1" si="135"/>
        <v>1.004867550565343</v>
      </c>
      <c r="BL141" s="72">
        <f t="shared" ca="1" si="135"/>
        <v>1.004867550565343</v>
      </c>
      <c r="BM141" s="72">
        <f t="shared" ca="1" si="114"/>
        <v>6.0000000000000275E-2</v>
      </c>
      <c r="BN141" s="73">
        <f t="shared" ca="1" si="125"/>
        <v>3106.0568943656649</v>
      </c>
    </row>
    <row r="142" spans="5:66">
      <c r="E142">
        <f t="shared" si="95"/>
        <v>139</v>
      </c>
      <c r="F142" s="9">
        <f t="shared" si="126"/>
        <v>80.499999999999346</v>
      </c>
      <c r="G142" s="132">
        <f t="shared" si="102"/>
        <v>0</v>
      </c>
      <c r="H142" s="133">
        <f t="shared" si="134"/>
        <v>1</v>
      </c>
      <c r="I142" s="31">
        <f t="shared" si="115"/>
        <v>1156718.2106247188</v>
      </c>
      <c r="J142" s="31">
        <f t="shared" si="103"/>
        <v>5630.3843800689492</v>
      </c>
      <c r="K142" s="163">
        <f t="shared" si="104"/>
        <v>-20</v>
      </c>
      <c r="L142" s="163">
        <f t="shared" si="116"/>
        <v>-963.93184218726572</v>
      </c>
      <c r="M142" s="163">
        <f t="shared" si="93"/>
        <v>0</v>
      </c>
      <c r="N142" s="163">
        <f t="shared" si="117"/>
        <v>-1098.8823000934831</v>
      </c>
      <c r="O142" s="84">
        <f t="shared" si="105"/>
        <v>-6234.7220095610019</v>
      </c>
      <c r="P142" s="31">
        <f t="shared" si="106"/>
        <v>1154031.0588529459</v>
      </c>
      <c r="Q142" s="5"/>
      <c r="R142">
        <f t="shared" ca="1" si="118"/>
        <v>259</v>
      </c>
      <c r="S142" s="133">
        <f t="shared" ca="1" si="119"/>
        <v>90.04</v>
      </c>
      <c r="T142" s="132">
        <f t="shared" ca="1" si="107"/>
        <v>1.9288575747068104E-2</v>
      </c>
      <c r="U142" s="133">
        <f t="shared" ca="1" si="127"/>
        <v>0.18118414423805174</v>
      </c>
      <c r="V142" s="31">
        <f t="shared" ca="1" si="120"/>
        <v>122704.7215194719</v>
      </c>
      <c r="W142" s="31">
        <f t="shared" ca="1" si="108"/>
        <v>597.27143660236675</v>
      </c>
      <c r="X142" s="163">
        <f t="shared" ca="1" si="128"/>
        <v>-3.6236828847610347</v>
      </c>
      <c r="Y142" s="163">
        <f t="shared" ca="1" si="129"/>
        <v>-102.25393459955993</v>
      </c>
      <c r="Z142" s="163">
        <f t="shared" ca="1" si="121"/>
        <v>0</v>
      </c>
      <c r="AA142" s="163">
        <f t="shared" ca="1" si="130"/>
        <v>-116.56948544349832</v>
      </c>
      <c r="AB142" s="84">
        <f t="shared" ca="1" si="109"/>
        <v>-1129.6327718644563</v>
      </c>
      <c r="AC142" s="160">
        <f t="shared" si="110"/>
        <v>0</v>
      </c>
      <c r="AD142" s="31">
        <f t="shared" ca="1" si="111"/>
        <v>121949.91308128199</v>
      </c>
      <c r="AE142" s="5"/>
      <c r="AF142" s="151">
        <f t="shared" ca="1" si="112"/>
        <v>-6234.7220095610019</v>
      </c>
      <c r="AG142" s="151">
        <f t="shared" ca="1" si="113"/>
        <v>673071.66194993374</v>
      </c>
      <c r="AH142" s="5"/>
      <c r="AI142" s="5"/>
      <c r="AS142" s="55">
        <f t="shared" si="122"/>
        <v>12</v>
      </c>
      <c r="AT142" s="56">
        <f t="shared" si="131"/>
        <v>139</v>
      </c>
      <c r="AU142" s="57">
        <f t="shared" si="132"/>
        <v>0.5075086324145982</v>
      </c>
      <c r="AV142" s="58">
        <f t="shared" si="123"/>
        <v>4.8675505653430484E-3</v>
      </c>
      <c r="AW142" s="59">
        <f t="shared" si="124"/>
        <v>1.004867550565343</v>
      </c>
      <c r="AX142" s="60">
        <f>PRODUCT(AW$4:AW142)</f>
        <v>1.9639312137486895</v>
      </c>
      <c r="AZ142" s="71">
        <f t="shared" si="133"/>
        <v>139</v>
      </c>
      <c r="BA142" s="72">
        <f t="shared" ca="1" si="135"/>
        <v>1.004867550565343</v>
      </c>
      <c r="BB142" s="72">
        <f t="shared" ca="1" si="135"/>
        <v>1.004867550565343</v>
      </c>
      <c r="BC142" s="72">
        <f t="shared" ca="1" si="135"/>
        <v>1.004867550565343</v>
      </c>
      <c r="BD142" s="72">
        <f t="shared" ca="1" si="135"/>
        <v>1.004867550565343</v>
      </c>
      <c r="BE142" s="72">
        <f t="shared" ca="1" si="135"/>
        <v>1.004867550565343</v>
      </c>
      <c r="BF142" s="72">
        <f t="shared" ca="1" si="135"/>
        <v>1.004867550565343</v>
      </c>
      <c r="BG142" s="72">
        <f t="shared" ca="1" si="135"/>
        <v>1.004867550565343</v>
      </c>
      <c r="BH142" s="72">
        <f t="shared" ca="1" si="135"/>
        <v>1.004867550565343</v>
      </c>
      <c r="BI142" s="72">
        <f t="shared" ca="1" si="135"/>
        <v>1.004867550565343</v>
      </c>
      <c r="BJ142" s="72">
        <f t="shared" ca="1" si="135"/>
        <v>1.004867550565343</v>
      </c>
      <c r="BK142" s="72">
        <f t="shared" ca="1" si="135"/>
        <v>1.004867550565343</v>
      </c>
      <c r="BL142" s="72">
        <f t="shared" ca="1" si="135"/>
        <v>1.004867550565343</v>
      </c>
      <c r="BM142" s="72">
        <f t="shared" ca="1" si="114"/>
        <v>6.0000000000000275E-2</v>
      </c>
      <c r="BN142" s="73">
        <f t="shared" ca="1" si="125"/>
        <v>3292.4203080276056</v>
      </c>
    </row>
    <row r="143" spans="5:66">
      <c r="E143">
        <f t="shared" si="95"/>
        <v>140</v>
      </c>
      <c r="F143" s="9">
        <f t="shared" si="126"/>
        <v>80.583333333332675</v>
      </c>
      <c r="G143" s="132">
        <f t="shared" si="102"/>
        <v>0</v>
      </c>
      <c r="H143" s="133">
        <f t="shared" si="134"/>
        <v>1</v>
      </c>
      <c r="I143" s="31">
        <f t="shared" si="115"/>
        <v>1154031.0588529459</v>
      </c>
      <c r="J143" s="31">
        <f t="shared" si="103"/>
        <v>5617.3045329430934</v>
      </c>
      <c r="K143" s="163">
        <f t="shared" si="104"/>
        <v>-20</v>
      </c>
      <c r="L143" s="163">
        <f t="shared" si="116"/>
        <v>-961.69254904412162</v>
      </c>
      <c r="M143" s="163">
        <f t="shared" si="93"/>
        <v>0</v>
      </c>
      <c r="N143" s="163">
        <f t="shared" si="117"/>
        <v>-1096.3295059102988</v>
      </c>
      <c r="O143" s="84">
        <f t="shared" si="105"/>
        <v>-6234.7220095610019</v>
      </c>
      <c r="P143" s="31">
        <f t="shared" si="106"/>
        <v>1151335.6193213735</v>
      </c>
      <c r="Q143" s="5"/>
      <c r="R143">
        <f t="shared" ca="1" si="118"/>
        <v>260</v>
      </c>
      <c r="S143" s="133">
        <f t="shared" ca="1" si="119"/>
        <v>90.12</v>
      </c>
      <c r="T143" s="132">
        <f t="shared" ca="1" si="107"/>
        <v>1.9288575747068104E-2</v>
      </c>
      <c r="U143" s="133">
        <f t="shared" ca="1" si="127"/>
        <v>0.17768936014774836</v>
      </c>
      <c r="V143" s="31">
        <f t="shared" ca="1" si="120"/>
        <v>119597.67294546531</v>
      </c>
      <c r="W143" s="31">
        <f t="shared" ca="1" si="108"/>
        <v>582.14772055941273</v>
      </c>
      <c r="X143" s="163">
        <f t="shared" ca="1" si="128"/>
        <v>-3.5537872029549673</v>
      </c>
      <c r="Y143" s="163">
        <f t="shared" ca="1" si="129"/>
        <v>-99.664727454554438</v>
      </c>
      <c r="Z143" s="163">
        <f t="shared" ca="1" si="121"/>
        <v>0</v>
      </c>
      <c r="AA143" s="163">
        <f t="shared" ca="1" si="130"/>
        <v>-113.61778929819206</v>
      </c>
      <c r="AB143" s="84">
        <f t="shared" ca="1" si="109"/>
        <v>-1107.8437645779782</v>
      </c>
      <c r="AC143" s="160">
        <f t="shared" si="110"/>
        <v>0</v>
      </c>
      <c r="AD143" s="31">
        <f t="shared" ca="1" si="111"/>
        <v>118855.14059749104</v>
      </c>
      <c r="AE143" s="5"/>
      <c r="AF143" s="151">
        <f t="shared" ca="1" si="112"/>
        <v>-6234.722009561001</v>
      </c>
      <c r="AG143" s="151">
        <f t="shared" ca="1" si="113"/>
        <v>668892.83915853617</v>
      </c>
      <c r="AH143" s="5"/>
      <c r="AI143" s="5"/>
      <c r="AS143" s="55">
        <f t="shared" si="122"/>
        <v>12</v>
      </c>
      <c r="AT143" s="56">
        <f t="shared" si="131"/>
        <v>140</v>
      </c>
      <c r="AU143" s="57">
        <f t="shared" si="132"/>
        <v>0.50503830848397202</v>
      </c>
      <c r="AV143" s="58">
        <f t="shared" si="123"/>
        <v>4.8675505653430484E-3</v>
      </c>
      <c r="AW143" s="59">
        <f t="shared" si="124"/>
        <v>1.004867550565343</v>
      </c>
      <c r="AX143" s="60">
        <f>PRODUCT(AW$4:AW143)</f>
        <v>1.9734907482384667</v>
      </c>
      <c r="AZ143" s="71">
        <f t="shared" si="133"/>
        <v>140</v>
      </c>
      <c r="BA143" s="72">
        <f t="shared" ca="1" si="135"/>
        <v>1.004867550565343</v>
      </c>
      <c r="BB143" s="72">
        <f t="shared" ca="1" si="135"/>
        <v>1.004867550565343</v>
      </c>
      <c r="BC143" s="72">
        <f t="shared" ca="1" si="135"/>
        <v>1.004867550565343</v>
      </c>
      <c r="BD143" s="72">
        <f t="shared" ca="1" si="135"/>
        <v>1.004867550565343</v>
      </c>
      <c r="BE143" s="72">
        <f t="shared" ca="1" si="135"/>
        <v>1.004867550565343</v>
      </c>
      <c r="BF143" s="72">
        <f t="shared" ca="1" si="135"/>
        <v>1.004867550565343</v>
      </c>
      <c r="BG143" s="72">
        <f t="shared" ca="1" si="135"/>
        <v>1.004867550565343</v>
      </c>
      <c r="BH143" s="72">
        <f t="shared" ca="1" si="135"/>
        <v>1.004867550565343</v>
      </c>
      <c r="BI143" s="72">
        <f t="shared" ca="1" si="135"/>
        <v>1.004867550565343</v>
      </c>
      <c r="BJ143" s="72">
        <f t="shared" ca="1" si="135"/>
        <v>1.004867550565343</v>
      </c>
      <c r="BK143" s="72">
        <f t="shared" ca="1" si="135"/>
        <v>1.004867550565343</v>
      </c>
      <c r="BL143" s="72">
        <f t="shared" ca="1" si="135"/>
        <v>1.004867550565343</v>
      </c>
      <c r="BM143" s="72">
        <f t="shared" ca="1" si="114"/>
        <v>6.0000000000000275E-2</v>
      </c>
      <c r="BN143" s="73">
        <f t="shared" ca="1" si="125"/>
        <v>3489.9655265092629</v>
      </c>
    </row>
    <row r="144" spans="5:66">
      <c r="E144">
        <f t="shared" si="95"/>
        <v>141</v>
      </c>
      <c r="F144" s="9">
        <f t="shared" si="126"/>
        <v>80.666666666666003</v>
      </c>
      <c r="G144" s="132">
        <f t="shared" si="102"/>
        <v>0</v>
      </c>
      <c r="H144" s="133">
        <f t="shared" si="134"/>
        <v>1</v>
      </c>
      <c r="I144" s="31">
        <f t="shared" si="115"/>
        <v>1151335.6193213735</v>
      </c>
      <c r="J144" s="31">
        <f t="shared" si="103"/>
        <v>5604.1843447273404</v>
      </c>
      <c r="K144" s="163">
        <f t="shared" si="104"/>
        <v>-20</v>
      </c>
      <c r="L144" s="163">
        <f t="shared" si="116"/>
        <v>-959.44634943447795</v>
      </c>
      <c r="M144" s="163">
        <f t="shared" ref="M144:M207" si="136">IF(OR(I143+O143=0,K143=0),0,-IF(MOD(E144-1,12)=0,1,0)*I144*($C$17))</f>
        <v>0</v>
      </c>
      <c r="N144" s="163">
        <f t="shared" si="117"/>
        <v>-1093.768838355305</v>
      </c>
      <c r="O144" s="84">
        <f t="shared" si="105"/>
        <v>-6234.7220095610019</v>
      </c>
      <c r="P144" s="31">
        <f t="shared" si="106"/>
        <v>1148631.8664687499</v>
      </c>
      <c r="Q144" s="5"/>
      <c r="R144">
        <f t="shared" ca="1" si="118"/>
        <v>261</v>
      </c>
      <c r="S144" s="133">
        <f t="shared" ca="1" si="119"/>
        <v>90.2</v>
      </c>
      <c r="T144" s="132">
        <f t="shared" ca="1" si="107"/>
        <v>1.9288575747068104E-2</v>
      </c>
      <c r="U144" s="133">
        <f t="shared" ca="1" si="127"/>
        <v>0.17426198546509045</v>
      </c>
      <c r="V144" s="31">
        <f t="shared" ca="1" si="120"/>
        <v>116562.59421514791</v>
      </c>
      <c r="W144" s="31">
        <f t="shared" ca="1" si="108"/>
        <v>567.37432136979555</v>
      </c>
      <c r="X144" s="163">
        <f t="shared" ca="1" si="128"/>
        <v>-3.4852397093018088</v>
      </c>
      <c r="Y144" s="163">
        <f t="shared" ca="1" si="129"/>
        <v>-97.135495179289933</v>
      </c>
      <c r="Z144" s="163">
        <f t="shared" ca="1" si="121"/>
        <v>0</v>
      </c>
      <c r="AA144" s="163">
        <f t="shared" ca="1" si="130"/>
        <v>-110.73446450439053</v>
      </c>
      <c r="AB144" s="84">
        <f t="shared" ca="1" si="109"/>
        <v>-1086.4750362089987</v>
      </c>
      <c r="AC144" s="160">
        <f t="shared" si="110"/>
        <v>0</v>
      </c>
      <c r="AD144" s="31">
        <f t="shared" ca="1" si="111"/>
        <v>115832.13830091571</v>
      </c>
      <c r="AE144" s="5"/>
      <c r="AF144" s="151">
        <f t="shared" ca="1" si="112"/>
        <v>-6234.7220095610019</v>
      </c>
      <c r="AG144" s="151">
        <f t="shared" ca="1" si="113"/>
        <v>664701.12796987582</v>
      </c>
      <c r="AH144" s="5"/>
      <c r="AI144" s="5"/>
      <c r="AS144" s="55">
        <f t="shared" si="122"/>
        <v>12</v>
      </c>
      <c r="AT144" s="56">
        <f t="shared" si="131"/>
        <v>141</v>
      </c>
      <c r="AU144" s="57">
        <f t="shared" ref="AU144:AU207" si="137">(1-AV144)*AU143</f>
        <v>0.502580008979991</v>
      </c>
      <c r="AV144" s="58">
        <f t="shared" si="123"/>
        <v>4.8675505653430484E-3</v>
      </c>
      <c r="AW144" s="59">
        <f t="shared" si="124"/>
        <v>1.004867550565343</v>
      </c>
      <c r="AX144" s="60">
        <f>PRODUCT(AW$4:AW144)</f>
        <v>1.9830968142457541</v>
      </c>
      <c r="AZ144" s="71">
        <f t="shared" si="133"/>
        <v>141</v>
      </c>
      <c r="BA144" s="72">
        <f t="shared" ca="1" si="135"/>
        <v>1.004867550565343</v>
      </c>
      <c r="BB144" s="72">
        <f t="shared" ca="1" si="135"/>
        <v>1.004867550565343</v>
      </c>
      <c r="BC144" s="72">
        <f t="shared" ca="1" si="135"/>
        <v>1.004867550565343</v>
      </c>
      <c r="BD144" s="72">
        <f t="shared" ca="1" si="135"/>
        <v>1.004867550565343</v>
      </c>
      <c r="BE144" s="72">
        <f t="shared" ca="1" si="135"/>
        <v>1.004867550565343</v>
      </c>
      <c r="BF144" s="72">
        <f t="shared" ca="1" si="135"/>
        <v>1.004867550565343</v>
      </c>
      <c r="BG144" s="72">
        <f t="shared" ca="1" si="135"/>
        <v>1.004867550565343</v>
      </c>
      <c r="BH144" s="72">
        <f t="shared" ca="1" si="135"/>
        <v>1.004867550565343</v>
      </c>
      <c r="BI144" s="72">
        <f t="shared" ca="1" si="135"/>
        <v>1.004867550565343</v>
      </c>
      <c r="BJ144" s="72">
        <f t="shared" ca="1" si="135"/>
        <v>1.004867550565343</v>
      </c>
      <c r="BK144" s="72">
        <f t="shared" ca="1" si="135"/>
        <v>1.004867550565343</v>
      </c>
      <c r="BL144" s="72">
        <f t="shared" ca="1" si="135"/>
        <v>1.004867550565343</v>
      </c>
      <c r="BM144" s="72">
        <f t="shared" ca="1" si="114"/>
        <v>6.0000000000000275E-2</v>
      </c>
      <c r="BN144" s="73">
        <f t="shared" ca="1" si="125"/>
        <v>3699.3634580998196</v>
      </c>
    </row>
    <row r="145" spans="5:66">
      <c r="E145">
        <f t="shared" si="95"/>
        <v>142</v>
      </c>
      <c r="F145" s="9">
        <f t="shared" si="126"/>
        <v>80.749999999999332</v>
      </c>
      <c r="G145" s="132">
        <f t="shared" si="102"/>
        <v>0</v>
      </c>
      <c r="H145" s="133">
        <f t="shared" si="134"/>
        <v>1</v>
      </c>
      <c r="I145" s="31">
        <f t="shared" si="115"/>
        <v>1148631.8664687499</v>
      </c>
      <c r="J145" s="31">
        <f t="shared" si="103"/>
        <v>5591.0236910010044</v>
      </c>
      <c r="K145" s="163">
        <f t="shared" si="104"/>
        <v>-20</v>
      </c>
      <c r="L145" s="163">
        <f t="shared" si="116"/>
        <v>-957.19322205729168</v>
      </c>
      <c r="M145" s="163">
        <f t="shared" si="136"/>
        <v>0</v>
      </c>
      <c r="N145" s="163">
        <f t="shared" si="117"/>
        <v>-1091.2002731453126</v>
      </c>
      <c r="O145" s="84">
        <f t="shared" si="105"/>
        <v>-6234.7220095610019</v>
      </c>
      <c r="P145" s="31">
        <f t="shared" si="106"/>
        <v>1145919.7746549875</v>
      </c>
      <c r="Q145" s="5"/>
      <c r="R145">
        <f t="shared" ca="1" si="118"/>
        <v>262</v>
      </c>
      <c r="S145" s="133">
        <f t="shared" ca="1" si="119"/>
        <v>90.28</v>
      </c>
      <c r="T145" s="132">
        <f t="shared" ca="1" si="107"/>
        <v>1.9288575747068104E-2</v>
      </c>
      <c r="U145" s="133">
        <f t="shared" ca="1" si="127"/>
        <v>0.17090071995861256</v>
      </c>
      <c r="V145" s="31">
        <f t="shared" ca="1" si="120"/>
        <v>113597.90132735364</v>
      </c>
      <c r="W145" s="31">
        <f t="shared" ca="1" si="108"/>
        <v>552.94352882774399</v>
      </c>
      <c r="X145" s="163">
        <f t="shared" ca="1" si="128"/>
        <v>-3.4180143991722511</v>
      </c>
      <c r="Y145" s="163">
        <f t="shared" ca="1" si="129"/>
        <v>-94.664917772794709</v>
      </c>
      <c r="Z145" s="163">
        <f t="shared" ca="1" si="121"/>
        <v>0</v>
      </c>
      <c r="AA145" s="163">
        <f t="shared" ca="1" si="130"/>
        <v>-107.91800626098598</v>
      </c>
      <c r="AB145" s="84">
        <f t="shared" ca="1" si="109"/>
        <v>-1065.518480175783</v>
      </c>
      <c r="AC145" s="160">
        <f t="shared" si="110"/>
        <v>0</v>
      </c>
      <c r="AD145" s="31">
        <f t="shared" ca="1" si="111"/>
        <v>112879.32543757265</v>
      </c>
      <c r="AE145" s="5"/>
      <c r="AF145" s="151">
        <f t="shared" ca="1" si="112"/>
        <v>-6234.7220095610028</v>
      </c>
      <c r="AG145" s="151">
        <f t="shared" ca="1" si="113"/>
        <v>660496.48863333592</v>
      </c>
      <c r="AH145" s="5"/>
      <c r="AI145" s="5"/>
      <c r="AS145" s="55">
        <f t="shared" si="122"/>
        <v>12</v>
      </c>
      <c r="AT145" s="56">
        <f t="shared" si="131"/>
        <v>142</v>
      </c>
      <c r="AU145" s="57">
        <f t="shared" si="137"/>
        <v>0.50013367537315034</v>
      </c>
      <c r="AV145" s="58">
        <f t="shared" si="123"/>
        <v>4.8675505653430484E-3</v>
      </c>
      <c r="AW145" s="59">
        <f t="shared" si="124"/>
        <v>1.004867550565343</v>
      </c>
      <c r="AX145" s="60">
        <f>PRODUCT(AW$4:AW145)</f>
        <v>1.992749638265066</v>
      </c>
      <c r="AZ145" s="71">
        <f t="shared" si="133"/>
        <v>142</v>
      </c>
      <c r="BA145" s="72">
        <f t="shared" ref="BA145:BL153" ca="1" si="138">OFFSET($AW$3,($AZ145*12-12)+BA$3,0)</f>
        <v>1.004867550565343</v>
      </c>
      <c r="BB145" s="72">
        <f t="shared" ca="1" si="138"/>
        <v>1.004867550565343</v>
      </c>
      <c r="BC145" s="72">
        <f t="shared" ca="1" si="138"/>
        <v>1.004867550565343</v>
      </c>
      <c r="BD145" s="72">
        <f t="shared" ca="1" si="138"/>
        <v>1.004867550565343</v>
      </c>
      <c r="BE145" s="72">
        <f t="shared" ca="1" si="138"/>
        <v>1.004867550565343</v>
      </c>
      <c r="BF145" s="72">
        <f t="shared" ca="1" si="138"/>
        <v>1.004867550565343</v>
      </c>
      <c r="BG145" s="72">
        <f t="shared" ca="1" si="138"/>
        <v>1.004867550565343</v>
      </c>
      <c r="BH145" s="72">
        <f t="shared" ca="1" si="138"/>
        <v>1.004867550565343</v>
      </c>
      <c r="BI145" s="72">
        <f t="shared" ca="1" si="138"/>
        <v>1.004867550565343</v>
      </c>
      <c r="BJ145" s="72">
        <f t="shared" ca="1" si="138"/>
        <v>1.004867550565343</v>
      </c>
      <c r="BK145" s="72">
        <f t="shared" ca="1" si="138"/>
        <v>1.004867550565343</v>
      </c>
      <c r="BL145" s="72">
        <f t="shared" ca="1" si="138"/>
        <v>1.004867550565343</v>
      </c>
      <c r="BM145" s="72">
        <f t="shared" ca="1" si="114"/>
        <v>6.0000000000000275E-2</v>
      </c>
      <c r="BN145" s="73">
        <f t="shared" ca="1" si="125"/>
        <v>3921.3252655858096</v>
      </c>
    </row>
    <row r="146" spans="5:66">
      <c r="E146">
        <f t="shared" si="95"/>
        <v>143</v>
      </c>
      <c r="F146" s="9">
        <f t="shared" si="126"/>
        <v>80.833333333332661</v>
      </c>
      <c r="G146" s="132">
        <f t="shared" si="102"/>
        <v>0</v>
      </c>
      <c r="H146" s="133">
        <f t="shared" si="134"/>
        <v>1</v>
      </c>
      <c r="I146" s="31">
        <f t="shared" si="115"/>
        <v>1145919.7746549875</v>
      </c>
      <c r="J146" s="31">
        <f t="shared" si="103"/>
        <v>5577.8224469596635</v>
      </c>
      <c r="K146" s="163">
        <f t="shared" si="104"/>
        <v>-20</v>
      </c>
      <c r="L146" s="163">
        <f t="shared" si="116"/>
        <v>-954.93314554582298</v>
      </c>
      <c r="M146" s="163">
        <f t="shared" si="136"/>
        <v>0</v>
      </c>
      <c r="N146" s="163">
        <f t="shared" si="117"/>
        <v>-1088.6237859222383</v>
      </c>
      <c r="O146" s="84">
        <f t="shared" si="105"/>
        <v>-6234.7220095610019</v>
      </c>
      <c r="P146" s="31">
        <f t="shared" si="106"/>
        <v>1143199.3181609178</v>
      </c>
      <c r="Q146" s="5"/>
      <c r="R146">
        <f t="shared" ca="1" si="118"/>
        <v>263</v>
      </c>
      <c r="S146" s="133">
        <f t="shared" ca="1" si="119"/>
        <v>90.36</v>
      </c>
      <c r="T146" s="132">
        <f t="shared" ca="1" si="107"/>
        <v>1.9288575747068104E-2</v>
      </c>
      <c r="U146" s="133">
        <f t="shared" ca="1" si="127"/>
        <v>0.16760428847646239</v>
      </c>
      <c r="V146" s="31">
        <f t="shared" ca="1" si="120"/>
        <v>110702.04401859209</v>
      </c>
      <c r="W146" s="31">
        <f t="shared" ca="1" si="108"/>
        <v>538.8477969473289</v>
      </c>
      <c r="X146" s="163">
        <f t="shared" ca="1" si="128"/>
        <v>-3.3520857695292476</v>
      </c>
      <c r="Y146" s="163">
        <f t="shared" ca="1" si="129"/>
        <v>-92.251703348826751</v>
      </c>
      <c r="Z146" s="163">
        <f t="shared" ca="1" si="121"/>
        <v>0</v>
      </c>
      <c r="AA146" s="163">
        <f t="shared" ca="1" si="130"/>
        <v>-105.1669418176625</v>
      </c>
      <c r="AB146" s="84">
        <f t="shared" ca="1" si="109"/>
        <v>-1044.9661462610113</v>
      </c>
      <c r="AC146" s="160">
        <f t="shared" si="110"/>
        <v>0</v>
      </c>
      <c r="AD146" s="31">
        <f t="shared" ca="1" si="111"/>
        <v>109995.1549383424</v>
      </c>
      <c r="AE146" s="5"/>
      <c r="AF146" s="151">
        <f t="shared" ca="1" si="112"/>
        <v>-6234.722009561001</v>
      </c>
      <c r="AG146" s="151">
        <f t="shared" ca="1" si="113"/>
        <v>656278.88127569982</v>
      </c>
      <c r="AH146" s="5"/>
      <c r="AI146" s="5"/>
      <c r="AS146" s="55">
        <f t="shared" si="122"/>
        <v>12</v>
      </c>
      <c r="AT146" s="56">
        <f t="shared" si="131"/>
        <v>143</v>
      </c>
      <c r="AU146" s="57">
        <f t="shared" si="137"/>
        <v>0.49769924941884069</v>
      </c>
      <c r="AV146" s="58">
        <f t="shared" si="123"/>
        <v>4.8675505653430484E-3</v>
      </c>
      <c r="AW146" s="59">
        <f t="shared" si="124"/>
        <v>1.004867550565343</v>
      </c>
      <c r="AX146" s="60">
        <f>PRODUCT(AW$4:AW146)</f>
        <v>2.0024494478933903</v>
      </c>
      <c r="AZ146" s="71">
        <f t="shared" si="133"/>
        <v>143</v>
      </c>
      <c r="BA146" s="72">
        <f t="shared" ca="1" si="138"/>
        <v>1.004867550565343</v>
      </c>
      <c r="BB146" s="72">
        <f t="shared" ca="1" si="138"/>
        <v>1.004867550565343</v>
      </c>
      <c r="BC146" s="72">
        <f t="shared" ca="1" si="138"/>
        <v>1.004867550565343</v>
      </c>
      <c r="BD146" s="72">
        <f t="shared" ca="1" si="138"/>
        <v>1.004867550565343</v>
      </c>
      <c r="BE146" s="72">
        <f t="shared" ca="1" si="138"/>
        <v>1.004867550565343</v>
      </c>
      <c r="BF146" s="72">
        <f t="shared" ca="1" si="138"/>
        <v>1.004867550565343</v>
      </c>
      <c r="BG146" s="72">
        <f t="shared" ca="1" si="138"/>
        <v>1.004867550565343</v>
      </c>
      <c r="BH146" s="72">
        <f t="shared" ca="1" si="138"/>
        <v>1.004867550565343</v>
      </c>
      <c r="BI146" s="72">
        <f t="shared" ca="1" si="138"/>
        <v>1.004867550565343</v>
      </c>
      <c r="BJ146" s="72">
        <f t="shared" ca="1" si="138"/>
        <v>1.004867550565343</v>
      </c>
      <c r="BK146" s="72">
        <f t="shared" ca="1" si="138"/>
        <v>1.004867550565343</v>
      </c>
      <c r="BL146" s="72">
        <f t="shared" ca="1" si="138"/>
        <v>1.004867550565343</v>
      </c>
      <c r="BM146" s="72">
        <f t="shared" ca="1" si="114"/>
        <v>6.0000000000000275E-2</v>
      </c>
      <c r="BN146" s="73">
        <f t="shared" ca="1" si="125"/>
        <v>4156.6047815209595</v>
      </c>
    </row>
    <row r="147" spans="5:66">
      <c r="E147">
        <f t="shared" si="95"/>
        <v>144</v>
      </c>
      <c r="F147" s="9">
        <f t="shared" si="126"/>
        <v>80.916666666665989</v>
      </c>
      <c r="G147" s="132">
        <f t="shared" si="102"/>
        <v>0</v>
      </c>
      <c r="H147" s="133">
        <f t="shared" si="134"/>
        <v>1</v>
      </c>
      <c r="I147" s="31">
        <f t="shared" si="115"/>
        <v>1143199.3181609178</v>
      </c>
      <c r="J147" s="31">
        <f t="shared" si="103"/>
        <v>5564.5804874139631</v>
      </c>
      <c r="K147" s="163">
        <f t="shared" si="104"/>
        <v>-20</v>
      </c>
      <c r="L147" s="163">
        <f t="shared" si="116"/>
        <v>-952.66609846743165</v>
      </c>
      <c r="M147" s="163">
        <f t="shared" si="136"/>
        <v>0</v>
      </c>
      <c r="N147" s="163">
        <f t="shared" si="117"/>
        <v>-1086.0393522528723</v>
      </c>
      <c r="O147" s="84">
        <f t="shared" si="105"/>
        <v>-6234.7220095610019</v>
      </c>
      <c r="P147" s="31">
        <f t="shared" si="106"/>
        <v>1140470.4711880505</v>
      </c>
      <c r="Q147" s="5"/>
      <c r="R147">
        <f t="shared" ca="1" si="118"/>
        <v>264</v>
      </c>
      <c r="S147" s="133">
        <f t="shared" ca="1" si="119"/>
        <v>90.44</v>
      </c>
      <c r="T147" s="132">
        <f t="shared" ca="1" si="107"/>
        <v>1.9288575747068104E-2</v>
      </c>
      <c r="U147" s="133">
        <f t="shared" ca="1" si="127"/>
        <v>0.16437144046265068</v>
      </c>
      <c r="V147" s="31">
        <f t="shared" ca="1" si="120"/>
        <v>107873.5050605037</v>
      </c>
      <c r="W147" s="31">
        <f t="shared" ca="1" si="108"/>
        <v>525.079740542791</v>
      </c>
      <c r="X147" s="163">
        <f t="shared" ca="1" si="128"/>
        <v>-3.2874288092530133</v>
      </c>
      <c r="Y147" s="163">
        <f t="shared" ca="1" si="129"/>
        <v>-89.894587550419757</v>
      </c>
      <c r="Z147" s="163">
        <f t="shared" ca="1" si="121"/>
        <v>-809.05128795377766</v>
      </c>
      <c r="AA147" s="163">
        <f t="shared" ca="1" si="130"/>
        <v>-102.47982980747854</v>
      </c>
      <c r="AB147" s="84">
        <f t="shared" ca="1" si="109"/>
        <v>-1024.810237595734</v>
      </c>
      <c r="AC147" s="160">
        <f t="shared" si="110"/>
        <v>0</v>
      </c>
      <c r="AD147" s="31">
        <f t="shared" ca="1" si="111"/>
        <v>106369.06142932983</v>
      </c>
      <c r="AE147" s="5"/>
      <c r="AF147" s="151">
        <f t="shared" ca="1" si="112"/>
        <v>-6234.7220095610019</v>
      </c>
      <c r="AG147" s="151">
        <f t="shared" ca="1" si="113"/>
        <v>647126.17429120571</v>
      </c>
      <c r="AH147" s="5"/>
      <c r="AI147" s="5"/>
      <c r="AS147" s="55">
        <f t="shared" si="122"/>
        <v>12</v>
      </c>
      <c r="AT147" s="56">
        <f t="shared" si="131"/>
        <v>144</v>
      </c>
      <c r="AU147" s="57">
        <f t="shared" si="137"/>
        <v>0.49527667315596119</v>
      </c>
      <c r="AV147" s="58">
        <f t="shared" si="123"/>
        <v>4.8675505653430484E-3</v>
      </c>
      <c r="AW147" s="59">
        <f t="shared" si="124"/>
        <v>1.004867550565343</v>
      </c>
      <c r="AX147" s="60">
        <f>PRODUCT(AW$4:AW147)</f>
        <v>2.0121964718355545</v>
      </c>
      <c r="AZ147" s="71">
        <f t="shared" si="133"/>
        <v>144</v>
      </c>
      <c r="BA147" s="72">
        <f t="shared" ca="1" si="138"/>
        <v>1.004867550565343</v>
      </c>
      <c r="BB147" s="72">
        <f t="shared" ca="1" si="138"/>
        <v>1.004867550565343</v>
      </c>
      <c r="BC147" s="72">
        <f t="shared" ca="1" si="138"/>
        <v>1.004867550565343</v>
      </c>
      <c r="BD147" s="72">
        <f t="shared" ca="1" si="138"/>
        <v>1.004867550565343</v>
      </c>
      <c r="BE147" s="72">
        <f t="shared" ca="1" si="138"/>
        <v>1.004867550565343</v>
      </c>
      <c r="BF147" s="72">
        <f t="shared" ca="1" si="138"/>
        <v>1.004867550565343</v>
      </c>
      <c r="BG147" s="72">
        <f t="shared" ca="1" si="138"/>
        <v>1.004867550565343</v>
      </c>
      <c r="BH147" s="72">
        <f t="shared" ca="1" si="138"/>
        <v>1.004867550565343</v>
      </c>
      <c r="BI147" s="72">
        <f t="shared" ca="1" si="138"/>
        <v>1.004867550565343</v>
      </c>
      <c r="BJ147" s="72">
        <f t="shared" ca="1" si="138"/>
        <v>1.004867550565343</v>
      </c>
      <c r="BK147" s="72">
        <f t="shared" ca="1" si="138"/>
        <v>1.004867550565343</v>
      </c>
      <c r="BL147" s="72">
        <f t="shared" ca="1" si="138"/>
        <v>1.004867550565343</v>
      </c>
      <c r="BM147" s="72">
        <f t="shared" ca="1" si="114"/>
        <v>6.0000000000000275E-2</v>
      </c>
      <c r="BN147" s="73">
        <f t="shared" ca="1" si="125"/>
        <v>4406.001068412218</v>
      </c>
    </row>
    <row r="148" spans="5:66">
      <c r="E148">
        <f t="shared" si="95"/>
        <v>145</v>
      </c>
      <c r="F148" s="9">
        <f t="shared" si="126"/>
        <v>80.999999999999318</v>
      </c>
      <c r="G148" s="132">
        <f t="shared" si="102"/>
        <v>0</v>
      </c>
      <c r="H148" s="133">
        <f t="shared" si="134"/>
        <v>1</v>
      </c>
      <c r="I148" s="31">
        <f t="shared" si="115"/>
        <v>1140470.4711880505</v>
      </c>
      <c r="J148" s="31">
        <f t="shared" si="103"/>
        <v>5551.2976867884481</v>
      </c>
      <c r="K148" s="163">
        <f t="shared" si="104"/>
        <v>-20</v>
      </c>
      <c r="L148" s="163">
        <f t="shared" si="116"/>
        <v>-950.39205932337541</v>
      </c>
      <c r="M148" s="163">
        <f t="shared" si="136"/>
        <v>-8553.5285339103775</v>
      </c>
      <c r="N148" s="163">
        <f t="shared" si="117"/>
        <v>-1083.4469476286481</v>
      </c>
      <c r="O148" s="84">
        <f t="shared" si="105"/>
        <v>-6234.7220095610019</v>
      </c>
      <c r="P148" s="31">
        <f t="shared" si="106"/>
        <v>1129179.6793244155</v>
      </c>
      <c r="Q148" s="5"/>
      <c r="R148">
        <f t="shared" ca="1" si="118"/>
        <v>265</v>
      </c>
      <c r="S148" s="133">
        <f t="shared" ca="1" si="119"/>
        <v>90.52</v>
      </c>
      <c r="T148" s="132">
        <f t="shared" ca="1" si="107"/>
        <v>2.1101272590509534E-2</v>
      </c>
      <c r="U148" s="133">
        <f t="shared" ca="1" si="127"/>
        <v>0.16090299389135357</v>
      </c>
      <c r="V148" s="31">
        <f t="shared" ca="1" si="120"/>
        <v>104124.53886891289</v>
      </c>
      <c r="W148" s="31">
        <f t="shared" ca="1" si="108"/>
        <v>506.83145803746118</v>
      </c>
      <c r="X148" s="163">
        <f t="shared" ca="1" si="128"/>
        <v>-3.2180598778270713</v>
      </c>
      <c r="Y148" s="163">
        <f t="shared" ca="1" si="129"/>
        <v>-86.770449057427413</v>
      </c>
      <c r="Z148" s="163">
        <f t="shared" ca="1" si="121"/>
        <v>0</v>
      </c>
      <c r="AA148" s="163">
        <f t="shared" ca="1" si="130"/>
        <v>-98.918311925467265</v>
      </c>
      <c r="AB148" s="84">
        <f t="shared" ca="1" si="109"/>
        <v>-1003.1854374186814</v>
      </c>
      <c r="AC148" s="160">
        <f t="shared" si="110"/>
        <v>0</v>
      </c>
      <c r="AD148" s="31">
        <f t="shared" ca="1" si="111"/>
        <v>103439.27806867094</v>
      </c>
      <c r="AE148" s="5"/>
      <c r="AF148" s="151">
        <f t="shared" ca="1" si="112"/>
        <v>-6234.722009561001</v>
      </c>
      <c r="AG148" s="151">
        <f t="shared" ca="1" si="113"/>
        <v>642867.32997967827</v>
      </c>
      <c r="AH148" s="5"/>
      <c r="AI148" s="5"/>
      <c r="AS148" s="55">
        <f t="shared" si="122"/>
        <v>13</v>
      </c>
      <c r="AT148" s="56">
        <f t="shared" si="131"/>
        <v>145</v>
      </c>
      <c r="AU148" s="57">
        <f t="shared" si="137"/>
        <v>0.49286588890553967</v>
      </c>
      <c r="AV148" s="58">
        <f t="shared" si="123"/>
        <v>4.8675505653430484E-3</v>
      </c>
      <c r="AW148" s="59">
        <f t="shared" si="124"/>
        <v>1.004867550565343</v>
      </c>
      <c r="AX148" s="60">
        <f>PRODUCT(AW$4:AW148)</f>
        <v>2.0219909399096188</v>
      </c>
      <c r="AZ148" s="71">
        <f t="shared" si="133"/>
        <v>145</v>
      </c>
      <c r="BA148" s="72">
        <f t="shared" ca="1" si="138"/>
        <v>1.004867550565343</v>
      </c>
      <c r="BB148" s="72">
        <f t="shared" ca="1" si="138"/>
        <v>1.004867550565343</v>
      </c>
      <c r="BC148" s="72">
        <f t="shared" ca="1" si="138"/>
        <v>1.004867550565343</v>
      </c>
      <c r="BD148" s="72">
        <f t="shared" ca="1" si="138"/>
        <v>1.004867550565343</v>
      </c>
      <c r="BE148" s="72">
        <f t="shared" ca="1" si="138"/>
        <v>1.004867550565343</v>
      </c>
      <c r="BF148" s="72">
        <f t="shared" ca="1" si="138"/>
        <v>1.004867550565343</v>
      </c>
      <c r="BG148" s="72">
        <f t="shared" ca="1" si="138"/>
        <v>1.004867550565343</v>
      </c>
      <c r="BH148" s="72">
        <f t="shared" ca="1" si="138"/>
        <v>1.004867550565343</v>
      </c>
      <c r="BI148" s="72">
        <f t="shared" ca="1" si="138"/>
        <v>1.004867550565343</v>
      </c>
      <c r="BJ148" s="72">
        <f t="shared" ca="1" si="138"/>
        <v>1.004867550565343</v>
      </c>
      <c r="BK148" s="72">
        <f t="shared" ca="1" si="138"/>
        <v>1.004867550565343</v>
      </c>
      <c r="BL148" s="72">
        <f t="shared" ca="1" si="138"/>
        <v>1.004867550565343</v>
      </c>
      <c r="BM148" s="72">
        <f t="shared" ca="1" si="114"/>
        <v>6.0000000000000275E-2</v>
      </c>
      <c r="BN148" s="73">
        <f t="shared" ca="1" si="125"/>
        <v>4670.3611325169522</v>
      </c>
    </row>
    <row r="149" spans="5:66">
      <c r="E149">
        <f t="shared" si="95"/>
        <v>146</v>
      </c>
      <c r="F149" s="9">
        <f t="shared" si="126"/>
        <v>81.083333333332646</v>
      </c>
      <c r="G149" s="132">
        <f t="shared" si="102"/>
        <v>0</v>
      </c>
      <c r="H149" s="133">
        <f t="shared" si="134"/>
        <v>1</v>
      </c>
      <c r="I149" s="31">
        <f t="shared" si="115"/>
        <v>1129179.6793244155</v>
      </c>
      <c r="J149" s="31">
        <f t="shared" si="103"/>
        <v>5496.3391864694413</v>
      </c>
      <c r="K149" s="163">
        <f t="shared" si="104"/>
        <v>-20</v>
      </c>
      <c r="L149" s="163">
        <f t="shared" si="116"/>
        <v>-940.98306610367968</v>
      </c>
      <c r="M149" s="163">
        <f t="shared" si="136"/>
        <v>0</v>
      </c>
      <c r="N149" s="163">
        <f t="shared" si="117"/>
        <v>-1072.7206953581949</v>
      </c>
      <c r="O149" s="84">
        <f t="shared" si="105"/>
        <v>-6234.7220095610019</v>
      </c>
      <c r="P149" s="31">
        <f t="shared" si="106"/>
        <v>1126407.5927398619</v>
      </c>
      <c r="Q149" s="5"/>
      <c r="R149">
        <f t="shared" ca="1" si="118"/>
        <v>266</v>
      </c>
      <c r="S149" s="133">
        <f t="shared" ca="1" si="119"/>
        <v>90.6</v>
      </c>
      <c r="T149" s="132">
        <f t="shared" ca="1" si="107"/>
        <v>2.1101272590509534E-2</v>
      </c>
      <c r="U149" s="133">
        <f t="shared" ca="1" si="127"/>
        <v>0.15750773595662301</v>
      </c>
      <c r="V149" s="31">
        <f t="shared" ca="1" si="120"/>
        <v>101256.5776655784</v>
      </c>
      <c r="W149" s="31">
        <f t="shared" ca="1" si="108"/>
        <v>492.87151186078842</v>
      </c>
      <c r="X149" s="163">
        <f t="shared" ca="1" si="128"/>
        <v>-3.1501547191324604</v>
      </c>
      <c r="Y149" s="163">
        <f t="shared" ca="1" si="129"/>
        <v>-84.380481387982002</v>
      </c>
      <c r="Z149" s="163">
        <f t="shared" ca="1" si="121"/>
        <v>0</v>
      </c>
      <c r="AA149" s="163">
        <f t="shared" ca="1" si="130"/>
        <v>-96.193748782299494</v>
      </c>
      <c r="AB149" s="84">
        <f t="shared" ca="1" si="109"/>
        <v>-982.01694804488022</v>
      </c>
      <c r="AC149" s="160">
        <f t="shared" si="110"/>
        <v>0</v>
      </c>
      <c r="AD149" s="31">
        <f t="shared" ca="1" si="111"/>
        <v>100583.7078445049</v>
      </c>
      <c r="AE149" s="5"/>
      <c r="AF149" s="151">
        <f t="shared" ca="1" si="112"/>
        <v>-6234.722009561001</v>
      </c>
      <c r="AG149" s="151">
        <f t="shared" ca="1" si="113"/>
        <v>638595.35046713671</v>
      </c>
      <c r="AH149" s="5"/>
      <c r="AI149" s="5"/>
      <c r="AS149" s="55">
        <f t="shared" si="122"/>
        <v>13</v>
      </c>
      <c r="AT149" s="56">
        <f t="shared" si="131"/>
        <v>146</v>
      </c>
      <c r="AU149" s="57">
        <f t="shared" si="137"/>
        <v>0.49046683926935919</v>
      </c>
      <c r="AV149" s="58">
        <f t="shared" si="123"/>
        <v>4.8675505653430484E-3</v>
      </c>
      <c r="AW149" s="59">
        <f t="shared" si="124"/>
        <v>1.004867550565343</v>
      </c>
      <c r="AX149" s="60">
        <f>PRODUCT(AW$4:AW149)</f>
        <v>2.0318330830522942</v>
      </c>
      <c r="AZ149" s="71">
        <f t="shared" si="133"/>
        <v>146</v>
      </c>
      <c r="BA149" s="72">
        <f t="shared" ca="1" si="138"/>
        <v>1.004867550565343</v>
      </c>
      <c r="BB149" s="72">
        <f t="shared" ca="1" si="138"/>
        <v>1.004867550565343</v>
      </c>
      <c r="BC149" s="72">
        <f t="shared" ca="1" si="138"/>
        <v>1.004867550565343</v>
      </c>
      <c r="BD149" s="72">
        <f t="shared" ca="1" si="138"/>
        <v>1.004867550565343</v>
      </c>
      <c r="BE149" s="72">
        <f t="shared" ca="1" si="138"/>
        <v>1.004867550565343</v>
      </c>
      <c r="BF149" s="72">
        <f t="shared" ca="1" si="138"/>
        <v>1.004867550565343</v>
      </c>
      <c r="BG149" s="72">
        <f t="shared" ca="1" si="138"/>
        <v>1.004867550565343</v>
      </c>
      <c r="BH149" s="72">
        <f t="shared" ca="1" si="138"/>
        <v>1.004867550565343</v>
      </c>
      <c r="BI149" s="72">
        <f t="shared" ca="1" si="138"/>
        <v>1.004867550565343</v>
      </c>
      <c r="BJ149" s="72">
        <f t="shared" ca="1" si="138"/>
        <v>1.004867550565343</v>
      </c>
      <c r="BK149" s="72">
        <f t="shared" ca="1" si="138"/>
        <v>1.004867550565343</v>
      </c>
      <c r="BL149" s="72">
        <f t="shared" ca="1" si="138"/>
        <v>1.004867550565343</v>
      </c>
      <c r="BM149" s="72">
        <f t="shared" ca="1" si="114"/>
        <v>6.0000000000000275E-2</v>
      </c>
      <c r="BN149" s="73">
        <f t="shared" ca="1" si="125"/>
        <v>4950.5828004679706</v>
      </c>
    </row>
    <row r="150" spans="5:66">
      <c r="E150">
        <f t="shared" si="95"/>
        <v>147</v>
      </c>
      <c r="F150" s="9">
        <f t="shared" si="126"/>
        <v>81.166666666665975</v>
      </c>
      <c r="G150" s="132">
        <f t="shared" si="102"/>
        <v>0</v>
      </c>
      <c r="H150" s="133">
        <f t="shared" si="134"/>
        <v>1</v>
      </c>
      <c r="I150" s="31">
        <f t="shared" si="115"/>
        <v>1126407.5927398619</v>
      </c>
      <c r="J150" s="31">
        <f t="shared" si="103"/>
        <v>5482.8459148476168</v>
      </c>
      <c r="K150" s="163">
        <f t="shared" si="104"/>
        <v>-20</v>
      </c>
      <c r="L150" s="163">
        <f t="shared" si="116"/>
        <v>-938.67299394988504</v>
      </c>
      <c r="M150" s="163">
        <f t="shared" si="136"/>
        <v>0</v>
      </c>
      <c r="N150" s="163">
        <f t="shared" si="117"/>
        <v>-1070.0872131028691</v>
      </c>
      <c r="O150" s="84">
        <f t="shared" si="105"/>
        <v>-6234.7220095610019</v>
      </c>
      <c r="P150" s="31">
        <f t="shared" si="106"/>
        <v>1123626.9564380958</v>
      </c>
      <c r="Q150" s="5"/>
      <c r="R150">
        <f t="shared" ca="1" si="118"/>
        <v>267</v>
      </c>
      <c r="S150" s="133">
        <f t="shared" ca="1" si="119"/>
        <v>90.68</v>
      </c>
      <c r="T150" s="132">
        <f t="shared" ca="1" si="107"/>
        <v>2.1101272590509534E-2</v>
      </c>
      <c r="U150" s="133">
        <f t="shared" ca="1" si="127"/>
        <v>0.15418412228508832</v>
      </c>
      <c r="V150" s="31">
        <f t="shared" ca="1" si="120"/>
        <v>98461.263607113826</v>
      </c>
      <c r="W150" s="31">
        <f t="shared" ca="1" si="108"/>
        <v>479.26517933519784</v>
      </c>
      <c r="X150" s="163">
        <f t="shared" ca="1" si="128"/>
        <v>-3.0836824457017666</v>
      </c>
      <c r="Y150" s="163">
        <f t="shared" ca="1" si="129"/>
        <v>-82.051053005928196</v>
      </c>
      <c r="Z150" s="163">
        <f t="shared" ca="1" si="121"/>
        <v>0</v>
      </c>
      <c r="AA150" s="163">
        <f t="shared" ca="1" si="130"/>
        <v>-93.538200426758166</v>
      </c>
      <c r="AB150" s="84">
        <f t="shared" ca="1" si="109"/>
        <v>-961.2951407356851</v>
      </c>
      <c r="AC150" s="160">
        <f t="shared" si="110"/>
        <v>0</v>
      </c>
      <c r="AD150" s="31">
        <f t="shared" ca="1" si="111"/>
        <v>97800.560709834943</v>
      </c>
      <c r="AE150" s="5"/>
      <c r="AF150" s="151">
        <f t="shared" ca="1" si="112"/>
        <v>-6234.7220095610019</v>
      </c>
      <c r="AG150" s="151">
        <f t="shared" ca="1" si="113"/>
        <v>634310.19524176756</v>
      </c>
      <c r="AH150" s="5"/>
      <c r="AI150" s="5"/>
      <c r="AS150" s="55">
        <f t="shared" si="122"/>
        <v>13</v>
      </c>
      <c r="AT150" s="56">
        <f t="shared" si="131"/>
        <v>147</v>
      </c>
      <c r="AU150" s="57">
        <f t="shared" si="137"/>
        <v>0.48807946712859163</v>
      </c>
      <c r="AV150" s="58">
        <f t="shared" si="123"/>
        <v>4.8675505653430484E-3</v>
      </c>
      <c r="AW150" s="59">
        <f t="shared" si="124"/>
        <v>1.004867550565343</v>
      </c>
      <c r="AX150" s="60">
        <f>PRODUCT(AW$4:AW150)</f>
        <v>2.0417231333243882</v>
      </c>
      <c r="AZ150" s="71">
        <f t="shared" si="133"/>
        <v>147</v>
      </c>
      <c r="BA150" s="72">
        <f t="shared" ca="1" si="138"/>
        <v>1.004867550565343</v>
      </c>
      <c r="BB150" s="72">
        <f t="shared" ca="1" si="138"/>
        <v>1.004867550565343</v>
      </c>
      <c r="BC150" s="72">
        <f t="shared" ca="1" si="138"/>
        <v>1.004867550565343</v>
      </c>
      <c r="BD150" s="72">
        <f t="shared" ca="1" si="138"/>
        <v>1.004867550565343</v>
      </c>
      <c r="BE150" s="72">
        <f t="shared" ca="1" si="138"/>
        <v>1.004867550565343</v>
      </c>
      <c r="BF150" s="72">
        <f t="shared" ca="1" si="138"/>
        <v>1.004867550565343</v>
      </c>
      <c r="BG150" s="72">
        <f t="shared" ca="1" si="138"/>
        <v>1.004867550565343</v>
      </c>
      <c r="BH150" s="72">
        <f t="shared" ca="1" si="138"/>
        <v>1.004867550565343</v>
      </c>
      <c r="BI150" s="72">
        <f t="shared" ca="1" si="138"/>
        <v>1.004867550565343</v>
      </c>
      <c r="BJ150" s="72">
        <f t="shared" ca="1" si="138"/>
        <v>1.004867550565343</v>
      </c>
      <c r="BK150" s="72">
        <f t="shared" ca="1" si="138"/>
        <v>1.004867550565343</v>
      </c>
      <c r="BL150" s="72">
        <f t="shared" ca="1" si="138"/>
        <v>1.004867550565343</v>
      </c>
      <c r="BM150" s="72">
        <f t="shared" ca="1" si="114"/>
        <v>6.0000000000000275E-2</v>
      </c>
      <c r="BN150" s="73">
        <f t="shared" ca="1" si="125"/>
        <v>5247.6177684960503</v>
      </c>
    </row>
    <row r="151" spans="5:66">
      <c r="E151">
        <f t="shared" si="95"/>
        <v>148</v>
      </c>
      <c r="F151" s="9">
        <f t="shared" si="126"/>
        <v>81.249999999999304</v>
      </c>
      <c r="G151" s="132">
        <f t="shared" si="102"/>
        <v>0</v>
      </c>
      <c r="H151" s="133">
        <f t="shared" si="134"/>
        <v>1</v>
      </c>
      <c r="I151" s="31">
        <f t="shared" si="115"/>
        <v>1123626.9564380958</v>
      </c>
      <c r="J151" s="31">
        <f t="shared" si="103"/>
        <v>5469.3110270449415</v>
      </c>
      <c r="K151" s="163">
        <f t="shared" si="104"/>
        <v>-20</v>
      </c>
      <c r="L151" s="163">
        <f t="shared" si="116"/>
        <v>-936.35579703174653</v>
      </c>
      <c r="M151" s="163">
        <f t="shared" si="136"/>
        <v>0</v>
      </c>
      <c r="N151" s="163">
        <f t="shared" si="117"/>
        <v>-1067.4456086161911</v>
      </c>
      <c r="O151" s="84">
        <f t="shared" si="105"/>
        <v>-6234.7220095610019</v>
      </c>
      <c r="P151" s="31">
        <f t="shared" si="106"/>
        <v>1120837.7440499319</v>
      </c>
      <c r="Q151" s="5"/>
      <c r="R151">
        <f t="shared" ca="1" si="118"/>
        <v>268</v>
      </c>
      <c r="S151" s="133">
        <f t="shared" ca="1" si="119"/>
        <v>90.76</v>
      </c>
      <c r="T151" s="132">
        <f t="shared" ca="1" si="107"/>
        <v>2.1101272590509534E-2</v>
      </c>
      <c r="U151" s="133">
        <f t="shared" ca="1" si="127"/>
        <v>0.15093064109162221</v>
      </c>
      <c r="V151" s="31">
        <f t="shared" ca="1" si="120"/>
        <v>95736.84441879204</v>
      </c>
      <c r="W151" s="31">
        <f t="shared" ca="1" si="108"/>
        <v>466.00393117485066</v>
      </c>
      <c r="X151" s="163">
        <f t="shared" ca="1" si="128"/>
        <v>-3.0186128218324444</v>
      </c>
      <c r="Y151" s="163">
        <f t="shared" ca="1" si="129"/>
        <v>-79.780703682326703</v>
      </c>
      <c r="Z151" s="163">
        <f t="shared" ca="1" si="121"/>
        <v>0</v>
      </c>
      <c r="AA151" s="163">
        <f t="shared" ca="1" si="130"/>
        <v>-90.950002197852442</v>
      </c>
      <c r="AB151" s="84">
        <f t="shared" ca="1" si="109"/>
        <v>-941.01058993108916</v>
      </c>
      <c r="AC151" s="160">
        <f t="shared" si="110"/>
        <v>0</v>
      </c>
      <c r="AD151" s="31">
        <f t="shared" ca="1" si="111"/>
        <v>95088.088441333806</v>
      </c>
      <c r="AE151" s="5"/>
      <c r="AF151" s="151">
        <f t="shared" ca="1" si="112"/>
        <v>-6234.7220095610019</v>
      </c>
      <c r="AG151" s="151">
        <f t="shared" ca="1" si="113"/>
        <v>630011.82366681087</v>
      </c>
      <c r="AH151" s="5"/>
      <c r="AI151" s="5"/>
      <c r="AS151" s="55">
        <f t="shared" si="122"/>
        <v>13</v>
      </c>
      <c r="AT151" s="56">
        <f t="shared" si="131"/>
        <v>148</v>
      </c>
      <c r="AU151" s="57">
        <f t="shared" si="137"/>
        <v>0.48570371564243753</v>
      </c>
      <c r="AV151" s="58">
        <f t="shared" si="123"/>
        <v>4.8675505653430484E-3</v>
      </c>
      <c r="AW151" s="59">
        <f t="shared" si="124"/>
        <v>1.004867550565343</v>
      </c>
      <c r="AX151" s="60">
        <f>PRODUCT(AW$4:AW151)</f>
        <v>2.0516613239162753</v>
      </c>
      <c r="AZ151" s="71">
        <f t="shared" si="133"/>
        <v>148</v>
      </c>
      <c r="BA151" s="72">
        <f t="shared" ca="1" si="138"/>
        <v>1.004867550565343</v>
      </c>
      <c r="BB151" s="72">
        <f t="shared" ca="1" si="138"/>
        <v>1.004867550565343</v>
      </c>
      <c r="BC151" s="72">
        <f t="shared" ca="1" si="138"/>
        <v>1.004867550565343</v>
      </c>
      <c r="BD151" s="72">
        <f t="shared" ca="1" si="138"/>
        <v>1.004867550565343</v>
      </c>
      <c r="BE151" s="72">
        <f t="shared" ca="1" si="138"/>
        <v>1.004867550565343</v>
      </c>
      <c r="BF151" s="72">
        <f t="shared" ca="1" si="138"/>
        <v>1.004867550565343</v>
      </c>
      <c r="BG151" s="72">
        <f t="shared" ca="1" si="138"/>
        <v>1.004867550565343</v>
      </c>
      <c r="BH151" s="72">
        <f t="shared" ca="1" si="138"/>
        <v>1.004867550565343</v>
      </c>
      <c r="BI151" s="72">
        <f t="shared" ca="1" si="138"/>
        <v>1.004867550565343</v>
      </c>
      <c r="BJ151" s="72">
        <f t="shared" ca="1" si="138"/>
        <v>1.004867550565343</v>
      </c>
      <c r="BK151" s="72">
        <f t="shared" ca="1" si="138"/>
        <v>1.004867550565343</v>
      </c>
      <c r="BL151" s="72">
        <f t="shared" ca="1" si="138"/>
        <v>1.004867550565343</v>
      </c>
      <c r="BM151" s="72">
        <f t="shared" ca="1" si="114"/>
        <v>6.0000000000000275E-2</v>
      </c>
      <c r="BN151" s="73">
        <f t="shared" ca="1" si="125"/>
        <v>5562.474834605815</v>
      </c>
    </row>
    <row r="152" spans="5:66">
      <c r="E152">
        <f t="shared" si="95"/>
        <v>149</v>
      </c>
      <c r="F152" s="9">
        <f t="shared" si="126"/>
        <v>81.333333333332632</v>
      </c>
      <c r="G152" s="132">
        <f t="shared" si="102"/>
        <v>0</v>
      </c>
      <c r="H152" s="133">
        <f t="shared" si="134"/>
        <v>1</v>
      </c>
      <c r="I152" s="31">
        <f t="shared" si="115"/>
        <v>1120837.7440499319</v>
      </c>
      <c r="J152" s="31">
        <f t="shared" si="103"/>
        <v>5455.7343947080726</v>
      </c>
      <c r="K152" s="163">
        <f t="shared" si="104"/>
        <v>-20</v>
      </c>
      <c r="L152" s="163">
        <f t="shared" si="116"/>
        <v>-934.03145337494334</v>
      </c>
      <c r="M152" s="163">
        <f t="shared" si="136"/>
        <v>0</v>
      </c>
      <c r="N152" s="163">
        <f t="shared" si="117"/>
        <v>-1064.7958568474355</v>
      </c>
      <c r="O152" s="84">
        <f t="shared" si="105"/>
        <v>-6234.7220095610019</v>
      </c>
      <c r="P152" s="31">
        <f t="shared" si="106"/>
        <v>1118039.9291248566</v>
      </c>
      <c r="Q152" s="5"/>
      <c r="R152">
        <f t="shared" ca="1" si="118"/>
        <v>269</v>
      </c>
      <c r="S152" s="133">
        <f t="shared" ca="1" si="119"/>
        <v>90.84</v>
      </c>
      <c r="T152" s="132">
        <f t="shared" ca="1" si="107"/>
        <v>2.1101272590509534E-2</v>
      </c>
      <c r="U152" s="133">
        <f t="shared" ca="1" si="127"/>
        <v>0.14774581249168753</v>
      </c>
      <c r="V152" s="31">
        <f t="shared" ca="1" si="120"/>
        <v>93081.608767022743</v>
      </c>
      <c r="W152" s="31">
        <f t="shared" ca="1" si="108"/>
        <v>453.07943737696201</v>
      </c>
      <c r="X152" s="163">
        <f t="shared" ca="1" si="128"/>
        <v>-2.9549162498337505</v>
      </c>
      <c r="Y152" s="163">
        <f t="shared" ca="1" si="129"/>
        <v>-77.568007305852291</v>
      </c>
      <c r="Z152" s="163">
        <f t="shared" ca="1" si="121"/>
        <v>0</v>
      </c>
      <c r="AA152" s="163">
        <f t="shared" ca="1" si="130"/>
        <v>-88.427528328671613</v>
      </c>
      <c r="AB152" s="84">
        <f t="shared" ca="1" si="109"/>
        <v>-921.15406896239699</v>
      </c>
      <c r="AC152" s="160">
        <f t="shared" si="110"/>
        <v>0</v>
      </c>
      <c r="AD152" s="31">
        <f t="shared" ca="1" si="111"/>
        <v>92444.583683552963</v>
      </c>
      <c r="AE152" s="5"/>
      <c r="AF152" s="151">
        <f t="shared" ca="1" si="112"/>
        <v>-6234.7220095610019</v>
      </c>
      <c r="AG152" s="151">
        <f t="shared" ca="1" si="113"/>
        <v>625700.19498017302</v>
      </c>
      <c r="AH152" s="5"/>
      <c r="AI152" s="5"/>
      <c r="AS152" s="55">
        <f t="shared" si="122"/>
        <v>13</v>
      </c>
      <c r="AT152" s="56">
        <f t="shared" si="131"/>
        <v>149</v>
      </c>
      <c r="AU152" s="57">
        <f t="shared" si="137"/>
        <v>0.48333952824677295</v>
      </c>
      <c r="AV152" s="58">
        <f t="shared" si="123"/>
        <v>4.8675505653430484E-3</v>
      </c>
      <c r="AW152" s="59">
        <f t="shared" si="124"/>
        <v>1.004867550565343</v>
      </c>
      <c r="AX152" s="60">
        <f>PRODUCT(AW$4:AW152)</f>
        <v>2.0616478891533965</v>
      </c>
      <c r="AZ152" s="71">
        <f t="shared" si="133"/>
        <v>149</v>
      </c>
      <c r="BA152" s="72">
        <f t="shared" ca="1" si="138"/>
        <v>1.004867550565343</v>
      </c>
      <c r="BB152" s="72">
        <f t="shared" ca="1" si="138"/>
        <v>1.004867550565343</v>
      </c>
      <c r="BC152" s="72">
        <f t="shared" ca="1" si="138"/>
        <v>1.004867550565343</v>
      </c>
      <c r="BD152" s="72">
        <f t="shared" ca="1" si="138"/>
        <v>1.004867550565343</v>
      </c>
      <c r="BE152" s="72">
        <f t="shared" ca="1" si="138"/>
        <v>1.004867550565343</v>
      </c>
      <c r="BF152" s="72">
        <f t="shared" ca="1" si="138"/>
        <v>1.004867550565343</v>
      </c>
      <c r="BG152" s="72">
        <f t="shared" ca="1" si="138"/>
        <v>1.004867550565343</v>
      </c>
      <c r="BH152" s="72">
        <f t="shared" ca="1" si="138"/>
        <v>1.004867550565343</v>
      </c>
      <c r="BI152" s="72">
        <f t="shared" ca="1" si="138"/>
        <v>1.004867550565343</v>
      </c>
      <c r="BJ152" s="72">
        <f t="shared" ca="1" si="138"/>
        <v>1.004867550565343</v>
      </c>
      <c r="BK152" s="72">
        <f t="shared" ca="1" si="138"/>
        <v>1.004867550565343</v>
      </c>
      <c r="BL152" s="72">
        <f t="shared" ca="1" si="138"/>
        <v>1.004867550565343</v>
      </c>
      <c r="BM152" s="72">
        <f t="shared" ca="1" si="114"/>
        <v>6.0000000000000275E-2</v>
      </c>
      <c r="BN152" s="73">
        <f t="shared" ca="1" si="125"/>
        <v>5896.2233246821652</v>
      </c>
    </row>
    <row r="153" spans="5:66">
      <c r="E153">
        <f t="shared" si="95"/>
        <v>150</v>
      </c>
      <c r="F153" s="9">
        <f t="shared" si="126"/>
        <v>81.416666666665961</v>
      </c>
      <c r="G153" s="132">
        <f t="shared" si="102"/>
        <v>0</v>
      </c>
      <c r="H153" s="133">
        <f t="shared" si="134"/>
        <v>1</v>
      </c>
      <c r="I153" s="31">
        <f t="shared" si="115"/>
        <v>1118039.9291248566</v>
      </c>
      <c r="J153" s="31">
        <f t="shared" si="103"/>
        <v>5442.1158890877978</v>
      </c>
      <c r="K153" s="163">
        <f t="shared" si="104"/>
        <v>-20</v>
      </c>
      <c r="L153" s="163">
        <f t="shared" si="116"/>
        <v>-931.69994093738057</v>
      </c>
      <c r="M153" s="163">
        <f t="shared" si="136"/>
        <v>0</v>
      </c>
      <c r="N153" s="163">
        <f t="shared" si="117"/>
        <v>-1062.137932668614</v>
      </c>
      <c r="O153" s="84">
        <f t="shared" si="105"/>
        <v>-6234.7220095610019</v>
      </c>
      <c r="P153" s="31">
        <f t="shared" si="106"/>
        <v>1115233.4851307773</v>
      </c>
      <c r="Q153" s="5"/>
      <c r="R153">
        <f t="shared" ca="1" si="118"/>
        <v>270</v>
      </c>
      <c r="S153" s="133">
        <f t="shared" ca="1" si="119"/>
        <v>90.92</v>
      </c>
      <c r="T153" s="132">
        <f t="shared" ca="1" si="107"/>
        <v>2.1101272590509534E-2</v>
      </c>
      <c r="U153" s="133">
        <f t="shared" ca="1" si="127"/>
        <v>0.14462818782819412</v>
      </c>
      <c r="V153" s="31">
        <f t="shared" ca="1" si="120"/>
        <v>90493.885323730137</v>
      </c>
      <c r="W153" s="31">
        <f t="shared" ca="1" si="108"/>
        <v>440.48356266761164</v>
      </c>
      <c r="X153" s="163">
        <f t="shared" ca="1" si="128"/>
        <v>-2.8925637565638822</v>
      </c>
      <c r="Y153" s="163">
        <f t="shared" ca="1" si="129"/>
        <v>-75.411571103108457</v>
      </c>
      <c r="Z153" s="163">
        <f t="shared" ca="1" si="121"/>
        <v>0</v>
      </c>
      <c r="AA153" s="163">
        <f t="shared" ca="1" si="130"/>
        <v>-85.96919105754364</v>
      </c>
      <c r="AB153" s="84">
        <f t="shared" ca="1" si="109"/>
        <v>-901.71654585536442</v>
      </c>
      <c r="AC153" s="160">
        <f t="shared" si="110"/>
        <v>0</v>
      </c>
      <c r="AD153" s="31">
        <f t="shared" ca="1" si="111"/>
        <v>89868.379014625156</v>
      </c>
      <c r="AE153" s="5"/>
      <c r="AF153" s="151">
        <f t="shared" ca="1" si="112"/>
        <v>-6234.7220095610019</v>
      </c>
      <c r="AG153" s="151">
        <f t="shared" ca="1" si="113"/>
        <v>621375.26829404151</v>
      </c>
      <c r="AH153" s="5"/>
      <c r="AI153" s="5"/>
      <c r="AS153" s="55">
        <f t="shared" si="122"/>
        <v>13</v>
      </c>
      <c r="AT153" s="56">
        <f t="shared" si="131"/>
        <v>150</v>
      </c>
      <c r="AU153" s="57">
        <f t="shared" si="137"/>
        <v>0.48098684865280272</v>
      </c>
      <c r="AV153" s="58">
        <f t="shared" si="123"/>
        <v>4.8675505653430484E-3</v>
      </c>
      <c r="AW153" s="59">
        <f t="shared" si="124"/>
        <v>1.004867550565343</v>
      </c>
      <c r="AX153" s="60">
        <f>PRODUCT(AW$4:AW153)</f>
        <v>2.0716830645017832</v>
      </c>
      <c r="AZ153" s="74">
        <f t="shared" si="133"/>
        <v>150</v>
      </c>
      <c r="BA153" s="75">
        <f t="shared" ca="1" si="138"/>
        <v>1.004867550565343</v>
      </c>
      <c r="BB153" s="75">
        <f t="shared" ca="1" si="138"/>
        <v>1.004867550565343</v>
      </c>
      <c r="BC153" s="75">
        <f t="shared" ca="1" si="138"/>
        <v>1.004867550565343</v>
      </c>
      <c r="BD153" s="75">
        <f t="shared" ca="1" si="138"/>
        <v>1.004867550565343</v>
      </c>
      <c r="BE153" s="75">
        <f t="shared" ca="1" si="138"/>
        <v>1.004867550565343</v>
      </c>
      <c r="BF153" s="75">
        <f t="shared" ca="1" si="138"/>
        <v>1.004867550565343</v>
      </c>
      <c r="BG153" s="75">
        <f t="shared" ca="1" si="138"/>
        <v>1.004867550565343</v>
      </c>
      <c r="BH153" s="75">
        <f t="shared" ca="1" si="138"/>
        <v>1.004867550565343</v>
      </c>
      <c r="BI153" s="75">
        <f t="shared" ca="1" si="138"/>
        <v>1.004867550565343</v>
      </c>
      <c r="BJ153" s="75">
        <f t="shared" ca="1" si="138"/>
        <v>1.004867550565343</v>
      </c>
      <c r="BK153" s="75">
        <f t="shared" ca="1" si="138"/>
        <v>1.004867550565343</v>
      </c>
      <c r="BL153" s="75">
        <f t="shared" ca="1" si="138"/>
        <v>1.004867550565343</v>
      </c>
      <c r="BM153" s="75">
        <f t="shared" ca="1" si="114"/>
        <v>6.0000000000000275E-2</v>
      </c>
      <c r="BN153" s="76">
        <f t="shared" ca="1" si="125"/>
        <v>6249.9967241630966</v>
      </c>
    </row>
    <row r="154" spans="5:66">
      <c r="E154">
        <f t="shared" si="95"/>
        <v>151</v>
      </c>
      <c r="F154" s="9">
        <f t="shared" si="126"/>
        <v>81.499999999999289</v>
      </c>
      <c r="G154" s="132">
        <f t="shared" si="102"/>
        <v>0</v>
      </c>
      <c r="H154" s="133">
        <f t="shared" si="134"/>
        <v>1</v>
      </c>
      <c r="I154" s="31">
        <f t="shared" si="115"/>
        <v>1115233.4851307773</v>
      </c>
      <c r="J154" s="31">
        <f t="shared" si="103"/>
        <v>5428.4553810378138</v>
      </c>
      <c r="K154" s="163">
        <f t="shared" si="104"/>
        <v>-20</v>
      </c>
      <c r="L154" s="163">
        <f t="shared" si="116"/>
        <v>-929.36123760898113</v>
      </c>
      <c r="M154" s="163">
        <f t="shared" si="136"/>
        <v>0</v>
      </c>
      <c r="N154" s="163">
        <f t="shared" si="117"/>
        <v>-1059.4718108742388</v>
      </c>
      <c r="O154" s="84">
        <f t="shared" si="105"/>
        <v>-6234.7220095610019</v>
      </c>
      <c r="P154" s="31">
        <f t="shared" si="106"/>
        <v>1112418.3854537709</v>
      </c>
      <c r="Q154" s="5"/>
      <c r="R154">
        <f t="shared" ca="1" si="118"/>
        <v>271</v>
      </c>
      <c r="S154" s="133">
        <f t="shared" ca="1" si="119"/>
        <v>91</v>
      </c>
      <c r="T154" s="132">
        <f t="shared" ca="1" si="107"/>
        <v>2.1101272590509534E-2</v>
      </c>
      <c r="U154" s="133">
        <f t="shared" ca="1" si="127"/>
        <v>0.14157634901255997</v>
      </c>
      <c r="V154" s="31">
        <f t="shared" ca="1" si="120"/>
        <v>87972.041851770322</v>
      </c>
      <c r="W154" s="31">
        <f t="shared" ca="1" si="108"/>
        <v>428.20836204996692</v>
      </c>
      <c r="X154" s="163">
        <f t="shared" ca="1" si="128"/>
        <v>-2.8315269802511995</v>
      </c>
      <c r="Y154" s="163">
        <f t="shared" ca="1" si="129"/>
        <v>-73.310034876475271</v>
      </c>
      <c r="Z154" s="163">
        <f t="shared" ca="1" si="121"/>
        <v>0</v>
      </c>
      <c r="AA154" s="163">
        <f t="shared" ca="1" si="130"/>
        <v>-83.573439759181824</v>
      </c>
      <c r="AB154" s="84">
        <f t="shared" ca="1" si="109"/>
        <v>-882.68917922189758</v>
      </c>
      <c r="AC154" s="160">
        <f t="shared" si="110"/>
        <v>0</v>
      </c>
      <c r="AD154" s="31">
        <f t="shared" ca="1" si="111"/>
        <v>87357.846032982474</v>
      </c>
      <c r="AE154" s="5"/>
      <c r="AF154" s="151">
        <f t="shared" ca="1" si="112"/>
        <v>-6234.722009561001</v>
      </c>
      <c r="AG154" s="151">
        <f t="shared" ca="1" si="113"/>
        <v>617037.00259449764</v>
      </c>
      <c r="AH154" s="5"/>
      <c r="AI154" s="5"/>
      <c r="AS154" s="55">
        <f t="shared" si="122"/>
        <v>13</v>
      </c>
      <c r="AT154" s="56">
        <f t="shared" si="131"/>
        <v>151</v>
      </c>
      <c r="AU154" s="57">
        <f t="shared" si="137"/>
        <v>0.47864562084572021</v>
      </c>
      <c r="AV154" s="58">
        <f t="shared" si="123"/>
        <v>4.8675505653430484E-3</v>
      </c>
      <c r="AW154" s="59">
        <f t="shared" si="124"/>
        <v>1.004867550565343</v>
      </c>
      <c r="AX154" s="60">
        <f>PRODUCT(AW$4:AW154)</f>
        <v>2.0817670865736106</v>
      </c>
      <c r="BN154" s="3">
        <f>AX1803</f>
        <v>6249.9967241629884</v>
      </c>
    </row>
    <row r="155" spans="5:66">
      <c r="E155">
        <f t="shared" ref="E155:E218" si="139">E154+1</f>
        <v>152</v>
      </c>
      <c r="F155" s="9">
        <f t="shared" si="126"/>
        <v>81.583333333332618</v>
      </c>
      <c r="G155" s="132">
        <f t="shared" si="102"/>
        <v>0</v>
      </c>
      <c r="H155" s="133">
        <f t="shared" si="134"/>
        <v>1</v>
      </c>
      <c r="I155" s="31">
        <f t="shared" si="115"/>
        <v>1112418.3854537709</v>
      </c>
      <c r="J155" s="31">
        <f t="shared" si="103"/>
        <v>5414.7527410135035</v>
      </c>
      <c r="K155" s="163">
        <f t="shared" si="104"/>
        <v>-20</v>
      </c>
      <c r="L155" s="163">
        <f t="shared" si="116"/>
        <v>-927.01532121147579</v>
      </c>
      <c r="M155" s="163">
        <f t="shared" si="136"/>
        <v>0</v>
      </c>
      <c r="N155" s="163">
        <f t="shared" si="117"/>
        <v>-1056.7974661810824</v>
      </c>
      <c r="O155" s="84">
        <f t="shared" si="105"/>
        <v>-6234.7220095610019</v>
      </c>
      <c r="P155" s="31">
        <f t="shared" si="106"/>
        <v>1109594.6033978309</v>
      </c>
      <c r="Q155" s="5"/>
      <c r="R155">
        <f t="shared" ca="1" si="118"/>
        <v>272</v>
      </c>
      <c r="S155" s="133">
        <f t="shared" ca="1" si="119"/>
        <v>91.08</v>
      </c>
      <c r="T155" s="132">
        <f t="shared" ca="1" si="107"/>
        <v>2.1101272590509534E-2</v>
      </c>
      <c r="U155" s="133">
        <f t="shared" ca="1" si="127"/>
        <v>0.13858890787967681</v>
      </c>
      <c r="V155" s="31">
        <f t="shared" ca="1" si="120"/>
        <v>85514.484310920743</v>
      </c>
      <c r="W155" s="31">
        <f t="shared" ca="1" si="108"/>
        <v>416.24607645264149</v>
      </c>
      <c r="X155" s="163">
        <f t="shared" ca="1" si="128"/>
        <v>-2.7717781575935363</v>
      </c>
      <c r="Y155" s="163">
        <f t="shared" ca="1" si="129"/>
        <v>-71.262070259100625</v>
      </c>
      <c r="Z155" s="163">
        <f t="shared" ca="1" si="121"/>
        <v>0</v>
      </c>
      <c r="AA155" s="163">
        <f t="shared" ca="1" si="130"/>
        <v>-81.23876009537473</v>
      </c>
      <c r="AB155" s="84">
        <f t="shared" ca="1" si="109"/>
        <v>-864.06331423844313</v>
      </c>
      <c r="AC155" s="160">
        <f t="shared" si="110"/>
        <v>0</v>
      </c>
      <c r="AD155" s="31">
        <f t="shared" ca="1" si="111"/>
        <v>84911.394464622877</v>
      </c>
      <c r="AE155" s="5"/>
      <c r="AF155" s="151">
        <f t="shared" ca="1" si="112"/>
        <v>-6234.722009561001</v>
      </c>
      <c r="AG155" s="151">
        <f t="shared" ca="1" si="113"/>
        <v>612685.35674112628</v>
      </c>
      <c r="AH155" s="5"/>
      <c r="AI155" s="5"/>
      <c r="AS155" s="55">
        <f t="shared" si="122"/>
        <v>13</v>
      </c>
      <c r="AT155" s="56">
        <f t="shared" si="131"/>
        <v>152</v>
      </c>
      <c r="AU155" s="57">
        <f t="shared" si="137"/>
        <v>0.47631578908337363</v>
      </c>
      <c r="AV155" s="58">
        <f t="shared" si="123"/>
        <v>4.8675505653430484E-3</v>
      </c>
      <c r="AW155" s="59">
        <f t="shared" si="124"/>
        <v>1.004867550565343</v>
      </c>
      <c r="AX155" s="60">
        <f>PRODUCT(AW$4:AW155)</f>
        <v>2.0919001931327745</v>
      </c>
    </row>
    <row r="156" spans="5:66">
      <c r="E156">
        <f t="shared" si="139"/>
        <v>153</v>
      </c>
      <c r="F156" s="9">
        <f t="shared" si="126"/>
        <v>81.666666666665947</v>
      </c>
      <c r="G156" s="132">
        <f t="shared" si="102"/>
        <v>0</v>
      </c>
      <c r="H156" s="133">
        <f t="shared" si="134"/>
        <v>1</v>
      </c>
      <c r="I156" s="31">
        <f t="shared" si="115"/>
        <v>1109594.6033978309</v>
      </c>
      <c r="J156" s="31">
        <f t="shared" si="103"/>
        <v>5401.0078390707067</v>
      </c>
      <c r="K156" s="163">
        <f t="shared" si="104"/>
        <v>-20</v>
      </c>
      <c r="L156" s="163">
        <f t="shared" si="116"/>
        <v>-924.66216949819238</v>
      </c>
      <c r="M156" s="163">
        <f t="shared" si="136"/>
        <v>0</v>
      </c>
      <c r="N156" s="163">
        <f t="shared" si="117"/>
        <v>-1054.1148732279396</v>
      </c>
      <c r="O156" s="84">
        <f t="shared" si="105"/>
        <v>-6234.7220095610019</v>
      </c>
      <c r="P156" s="31">
        <f t="shared" si="106"/>
        <v>1106762.1121846144</v>
      </c>
      <c r="Q156" s="5"/>
      <c r="R156">
        <f t="shared" ca="1" si="118"/>
        <v>273</v>
      </c>
      <c r="S156" s="133">
        <f t="shared" ca="1" si="119"/>
        <v>91.16</v>
      </c>
      <c r="T156" s="132">
        <f t="shared" ca="1" si="107"/>
        <v>2.1101272590509534E-2</v>
      </c>
      <c r="U156" s="133">
        <f t="shared" ca="1" si="127"/>
        <v>0.13566450555648674</v>
      </c>
      <c r="V156" s="31">
        <f t="shared" ca="1" si="120"/>
        <v>83119.655983984587</v>
      </c>
      <c r="W156" s="31">
        <f t="shared" ca="1" si="108"/>
        <v>404.58912847596389</v>
      </c>
      <c r="X156" s="163">
        <f t="shared" ca="1" si="128"/>
        <v>-2.7132901111297345</v>
      </c>
      <c r="Y156" s="163">
        <f t="shared" ca="1" si="129"/>
        <v>-69.266379986653831</v>
      </c>
      <c r="Z156" s="163">
        <f t="shared" ca="1" si="121"/>
        <v>0</v>
      </c>
      <c r="AA156" s="163">
        <f t="shared" ca="1" si="130"/>
        <v>-78.963673184785378</v>
      </c>
      <c r="AB156" s="84">
        <f t="shared" ca="1" si="109"/>
        <v>-845.83047870923872</v>
      </c>
      <c r="AC156" s="160">
        <f t="shared" si="110"/>
        <v>0</v>
      </c>
      <c r="AD156" s="31">
        <f t="shared" ca="1" si="111"/>
        <v>82527.471290468748</v>
      </c>
      <c r="AE156" s="5"/>
      <c r="AF156" s="151">
        <f t="shared" ca="1" si="112"/>
        <v>-6234.7220095610019</v>
      </c>
      <c r="AG156" s="151">
        <f t="shared" ca="1" si="113"/>
        <v>608320.28946662636</v>
      </c>
      <c r="AH156" s="5"/>
      <c r="AI156" s="5"/>
      <c r="AS156" s="55">
        <f t="shared" si="122"/>
        <v>13</v>
      </c>
      <c r="AT156" s="56">
        <f t="shared" si="131"/>
        <v>153</v>
      </c>
      <c r="AU156" s="57">
        <f t="shared" si="137"/>
        <v>0.47399729789493905</v>
      </c>
      <c r="AV156" s="58">
        <f t="shared" si="123"/>
        <v>4.8675505653430484E-3</v>
      </c>
      <c r="AW156" s="59">
        <f t="shared" si="124"/>
        <v>1.004867550565343</v>
      </c>
      <c r="AX156" s="60">
        <f>PRODUCT(AW$4:AW156)</f>
        <v>2.102082623100499</v>
      </c>
    </row>
    <row r="157" spans="5:66">
      <c r="E157">
        <f t="shared" si="139"/>
        <v>154</v>
      </c>
      <c r="F157" s="9">
        <f t="shared" si="126"/>
        <v>81.749999999999275</v>
      </c>
      <c r="G157" s="132">
        <f t="shared" si="102"/>
        <v>0</v>
      </c>
      <c r="H157" s="133">
        <f t="shared" si="134"/>
        <v>1</v>
      </c>
      <c r="I157" s="31">
        <f t="shared" si="115"/>
        <v>1106762.1121846144</v>
      </c>
      <c r="J157" s="31">
        <f t="shared" si="103"/>
        <v>5387.2205448644863</v>
      </c>
      <c r="K157" s="163">
        <f t="shared" si="104"/>
        <v>-20</v>
      </c>
      <c r="L157" s="163">
        <f t="shared" si="116"/>
        <v>-922.30176015384541</v>
      </c>
      <c r="M157" s="163">
        <f t="shared" si="136"/>
        <v>0</v>
      </c>
      <c r="N157" s="163">
        <f t="shared" si="117"/>
        <v>-1051.4240065753838</v>
      </c>
      <c r="O157" s="84">
        <f t="shared" si="105"/>
        <v>-6234.7220095610019</v>
      </c>
      <c r="P157" s="31">
        <f t="shared" si="106"/>
        <v>1103920.8849531885</v>
      </c>
      <c r="Q157" s="5"/>
      <c r="R157">
        <f t="shared" ca="1" si="118"/>
        <v>274</v>
      </c>
      <c r="S157" s="133">
        <f t="shared" ca="1" si="119"/>
        <v>91.24</v>
      </c>
      <c r="T157" s="132">
        <f t="shared" ca="1" si="107"/>
        <v>2.1101272590509534E-2</v>
      </c>
      <c r="U157" s="133">
        <f t="shared" ca="1" si="127"/>
        <v>0.13280181184388262</v>
      </c>
      <c r="V157" s="31">
        <f t="shared" ca="1" si="120"/>
        <v>80786.036622563115</v>
      </c>
      <c r="W157" s="31">
        <f t="shared" ca="1" si="108"/>
        <v>393.23011823398133</v>
      </c>
      <c r="X157" s="163">
        <f t="shared" ca="1" si="128"/>
        <v>-2.6560362368776524</v>
      </c>
      <c r="Y157" s="163">
        <f t="shared" ca="1" si="129"/>
        <v>-67.321697185469262</v>
      </c>
      <c r="Z157" s="163">
        <f t="shared" ca="1" si="121"/>
        <v>0</v>
      </c>
      <c r="AA157" s="163">
        <f t="shared" ca="1" si="130"/>
        <v>-76.746734791434974</v>
      </c>
      <c r="AB157" s="84">
        <f t="shared" ca="1" si="109"/>
        <v>-827.98237921263387</v>
      </c>
      <c r="AC157" s="160">
        <f t="shared" si="110"/>
        <v>0</v>
      </c>
      <c r="AD157" s="31">
        <f t="shared" ca="1" si="111"/>
        <v>80204.559893370679</v>
      </c>
      <c r="AE157" s="5"/>
      <c r="AF157" s="151">
        <f t="shared" ca="1" si="112"/>
        <v>-6234.7220095610019</v>
      </c>
      <c r="AG157" s="151">
        <f t="shared" ca="1" si="113"/>
        <v>603941.75937641936</v>
      </c>
      <c r="AH157" s="5"/>
      <c r="AI157" s="5"/>
      <c r="AS157" s="55">
        <f t="shared" si="122"/>
        <v>13</v>
      </c>
      <c r="AT157" s="56">
        <f t="shared" si="131"/>
        <v>154</v>
      </c>
      <c r="AU157" s="57">
        <f t="shared" si="137"/>
        <v>0.47169009207959944</v>
      </c>
      <c r="AV157" s="58">
        <f t="shared" si="123"/>
        <v>4.8675505653430484E-3</v>
      </c>
      <c r="AW157" s="59">
        <f t="shared" si="124"/>
        <v>1.004867550565343</v>
      </c>
      <c r="AX157" s="60">
        <f>PRODUCT(AW$4:AW157)</f>
        <v>2.1123146165609694</v>
      </c>
    </row>
    <row r="158" spans="5:66">
      <c r="E158">
        <f t="shared" si="139"/>
        <v>155</v>
      </c>
      <c r="F158" s="9">
        <f t="shared" si="126"/>
        <v>81.833333333332604</v>
      </c>
      <c r="G158" s="132">
        <f t="shared" si="102"/>
        <v>0</v>
      </c>
      <c r="H158" s="133">
        <f t="shared" si="134"/>
        <v>1</v>
      </c>
      <c r="I158" s="31">
        <f t="shared" si="115"/>
        <v>1103920.8849531885</v>
      </c>
      <c r="J158" s="31">
        <f t="shared" si="103"/>
        <v>5373.3907276478913</v>
      </c>
      <c r="K158" s="163">
        <f t="shared" si="104"/>
        <v>-20</v>
      </c>
      <c r="L158" s="163">
        <f t="shared" si="116"/>
        <v>-919.93407079432382</v>
      </c>
      <c r="M158" s="163">
        <f t="shared" si="136"/>
        <v>0</v>
      </c>
      <c r="N158" s="163">
        <f t="shared" si="117"/>
        <v>-1048.7248407055292</v>
      </c>
      <c r="O158" s="84">
        <f t="shared" si="105"/>
        <v>-6234.7220095610019</v>
      </c>
      <c r="P158" s="31">
        <f t="shared" si="106"/>
        <v>1101070.8947597754</v>
      </c>
      <c r="Q158" s="5"/>
      <c r="R158">
        <f t="shared" ca="1" si="118"/>
        <v>275</v>
      </c>
      <c r="S158" s="133">
        <f t="shared" ca="1" si="119"/>
        <v>91.32</v>
      </c>
      <c r="T158" s="132">
        <f t="shared" ca="1" si="107"/>
        <v>2.1101272590509534E-2</v>
      </c>
      <c r="U158" s="133">
        <f t="shared" ca="1" si="127"/>
        <v>0.12999952461165129</v>
      </c>
      <c r="V158" s="31">
        <f t="shared" ca="1" si="120"/>
        <v>78512.141612058811</v>
      </c>
      <c r="W158" s="31">
        <f t="shared" ca="1" si="108"/>
        <v>382.16181929007035</v>
      </c>
      <c r="X158" s="163">
        <f t="shared" ca="1" si="128"/>
        <v>-2.5999904922330259</v>
      </c>
      <c r="Y158" s="163">
        <f t="shared" ca="1" si="129"/>
        <v>-65.426784676715684</v>
      </c>
      <c r="Z158" s="163">
        <f t="shared" ca="1" si="121"/>
        <v>0</v>
      </c>
      <c r="AA158" s="163">
        <f t="shared" ca="1" si="130"/>
        <v>-74.586534531455882</v>
      </c>
      <c r="AB158" s="84">
        <f t="shared" ca="1" si="109"/>
        <v>-810.51089732872936</v>
      </c>
      <c r="AC158" s="160">
        <f t="shared" si="110"/>
        <v>0</v>
      </c>
      <c r="AD158" s="31">
        <f t="shared" ca="1" si="111"/>
        <v>77941.179224319741</v>
      </c>
      <c r="AE158" s="5"/>
      <c r="AF158" s="151">
        <f t="shared" ca="1" si="112"/>
        <v>-6234.722009561001</v>
      </c>
      <c r="AG158" s="151">
        <f t="shared" ca="1" si="113"/>
        <v>599549.72494825732</v>
      </c>
      <c r="AH158" s="5"/>
      <c r="AI158" s="5"/>
      <c r="AS158" s="55">
        <f t="shared" si="122"/>
        <v>13</v>
      </c>
      <c r="AT158" s="56">
        <f t="shared" si="131"/>
        <v>155</v>
      </c>
      <c r="AU158" s="57">
        <f t="shared" si="137"/>
        <v>0.46939411670523068</v>
      </c>
      <c r="AV158" s="58">
        <f t="shared" si="123"/>
        <v>4.8675505653430484E-3</v>
      </c>
      <c r="AW158" s="59">
        <f t="shared" si="124"/>
        <v>1.004867550565343</v>
      </c>
      <c r="AX158" s="60">
        <f>PRODUCT(AW$4:AW158)</f>
        <v>2.1225964147669933</v>
      </c>
    </row>
    <row r="159" spans="5:66">
      <c r="E159">
        <f t="shared" si="139"/>
        <v>156</v>
      </c>
      <c r="F159" s="9">
        <f t="shared" si="126"/>
        <v>81.916666666665932</v>
      </c>
      <c r="G159" s="132">
        <f t="shared" si="102"/>
        <v>0</v>
      </c>
      <c r="H159" s="133">
        <f t="shared" si="134"/>
        <v>1</v>
      </c>
      <c r="I159" s="31">
        <f t="shared" si="115"/>
        <v>1101070.8947597754</v>
      </c>
      <c r="J159" s="31">
        <f t="shared" si="103"/>
        <v>5359.5182562707205</v>
      </c>
      <c r="K159" s="163">
        <f t="shared" si="104"/>
        <v>-20</v>
      </c>
      <c r="L159" s="163">
        <f t="shared" si="116"/>
        <v>-917.55907896647955</v>
      </c>
      <c r="M159" s="163">
        <f t="shared" si="136"/>
        <v>0</v>
      </c>
      <c r="N159" s="163">
        <f t="shared" si="117"/>
        <v>-1046.0173500217868</v>
      </c>
      <c r="O159" s="84">
        <f t="shared" si="105"/>
        <v>-6234.7220095610019</v>
      </c>
      <c r="P159" s="31">
        <f t="shared" si="106"/>
        <v>1098212.1145774969</v>
      </c>
      <c r="Q159" s="5"/>
      <c r="R159">
        <f t="shared" ca="1" si="118"/>
        <v>276</v>
      </c>
      <c r="S159" s="133">
        <f t="shared" ca="1" si="119"/>
        <v>91.4</v>
      </c>
      <c r="T159" s="132">
        <f t="shared" ca="1" si="107"/>
        <v>2.1101272590509534E-2</v>
      </c>
      <c r="U159" s="133">
        <f t="shared" ca="1" si="127"/>
        <v>0.12725636920618419</v>
      </c>
      <c r="V159" s="31">
        <f t="shared" ca="1" si="120"/>
        <v>76296.521155481605</v>
      </c>
      <c r="W159" s="31">
        <f t="shared" ca="1" si="108"/>
        <v>371.37717468407232</v>
      </c>
      <c r="X159" s="163">
        <f t="shared" ca="1" si="128"/>
        <v>-2.5451273841236839</v>
      </c>
      <c r="Y159" s="163">
        <f t="shared" ca="1" si="129"/>
        <v>-63.580434296234678</v>
      </c>
      <c r="Z159" s="163">
        <f t="shared" ca="1" si="121"/>
        <v>-572.22390866611204</v>
      </c>
      <c r="AA159" s="163">
        <f t="shared" ca="1" si="130"/>
        <v>-72.481695097707544</v>
      </c>
      <c r="AB159" s="84">
        <f t="shared" ca="1" si="109"/>
        <v>-793.40808594661746</v>
      </c>
      <c r="AC159" s="160">
        <f t="shared" si="110"/>
        <v>0</v>
      </c>
      <c r="AD159" s="31">
        <f t="shared" ca="1" si="111"/>
        <v>75163.659078774886</v>
      </c>
      <c r="AE159" s="5"/>
      <c r="AF159" s="151">
        <f t="shared" ca="1" si="112"/>
        <v>-6234.7220095610019</v>
      </c>
      <c r="AG159" s="151">
        <f t="shared" ca="1" si="113"/>
        <v>590647.52159471647</v>
      </c>
      <c r="AH159" s="5"/>
      <c r="AI159" s="5"/>
      <c r="AS159" s="55">
        <f t="shared" si="122"/>
        <v>13</v>
      </c>
      <c r="AT159" s="56">
        <f t="shared" si="131"/>
        <v>156</v>
      </c>
      <c r="AU159" s="57">
        <f t="shared" si="137"/>
        <v>0.46710931710709341</v>
      </c>
      <c r="AV159" s="58">
        <f t="shared" si="123"/>
        <v>4.8675505653430484E-3</v>
      </c>
      <c r="AW159" s="59">
        <f t="shared" si="124"/>
        <v>1.004867550565343</v>
      </c>
      <c r="AX159" s="60">
        <f>PRODUCT(AW$4:AW159)</f>
        <v>2.1329282601456874</v>
      </c>
    </row>
    <row r="160" spans="5:66">
      <c r="E160">
        <f t="shared" si="139"/>
        <v>157</v>
      </c>
      <c r="F160" s="9">
        <f t="shared" si="126"/>
        <v>81.999999999999261</v>
      </c>
      <c r="G160" s="132">
        <f t="shared" si="102"/>
        <v>0</v>
      </c>
      <c r="H160" s="133">
        <f t="shared" si="134"/>
        <v>1</v>
      </c>
      <c r="I160" s="31">
        <f t="shared" si="115"/>
        <v>1098212.1145774969</v>
      </c>
      <c r="J160" s="31">
        <f t="shared" si="103"/>
        <v>5345.6029991782798</v>
      </c>
      <c r="K160" s="163">
        <f t="shared" si="104"/>
        <v>-20</v>
      </c>
      <c r="L160" s="163">
        <f t="shared" si="116"/>
        <v>-915.17676214791413</v>
      </c>
      <c r="M160" s="163">
        <f t="shared" si="136"/>
        <v>-8236.590859331227</v>
      </c>
      <c r="N160" s="163">
        <f t="shared" si="117"/>
        <v>-1043.3015088486222</v>
      </c>
      <c r="O160" s="84">
        <f t="shared" si="105"/>
        <v>-6234.7220095610019</v>
      </c>
      <c r="P160" s="31">
        <f t="shared" si="106"/>
        <v>1087107.9264367865</v>
      </c>
      <c r="Q160" s="5"/>
      <c r="R160">
        <f t="shared" ca="1" si="118"/>
        <v>277</v>
      </c>
      <c r="S160" s="133">
        <f t="shared" ca="1" si="119"/>
        <v>91.48</v>
      </c>
      <c r="T160" s="132">
        <f t="shared" ca="1" si="107"/>
        <v>2.1101272590509534E-2</v>
      </c>
      <c r="U160" s="133">
        <f t="shared" ca="1" si="127"/>
        <v>0.12457109787068597</v>
      </c>
      <c r="V160" s="31">
        <f t="shared" ca="1" si="120"/>
        <v>73577.610219653536</v>
      </c>
      <c r="W160" s="31">
        <f t="shared" ca="1" si="108"/>
        <v>358.14273822126501</v>
      </c>
      <c r="X160" s="163">
        <f t="shared" ca="1" si="128"/>
        <v>-2.4914219574137193</v>
      </c>
      <c r="Y160" s="163">
        <f t="shared" ca="1" si="129"/>
        <v>-61.314675183044621</v>
      </c>
      <c r="Z160" s="163">
        <f t="shared" ca="1" si="121"/>
        <v>0</v>
      </c>
      <c r="AA160" s="163">
        <f t="shared" ca="1" si="130"/>
        <v>-69.898729708670871</v>
      </c>
      <c r="AB160" s="84">
        <f t="shared" ca="1" si="109"/>
        <v>-776.66616564954347</v>
      </c>
      <c r="AC160" s="160">
        <f t="shared" si="110"/>
        <v>0</v>
      </c>
      <c r="AD160" s="31">
        <f t="shared" ca="1" si="111"/>
        <v>73025.381965376131</v>
      </c>
      <c r="AE160" s="5"/>
      <c r="AF160" s="151">
        <f t="shared" ca="1" si="112"/>
        <v>-6234.7220095610019</v>
      </c>
      <c r="AG160" s="151">
        <f t="shared" ca="1" si="113"/>
        <v>586214.48484930175</v>
      </c>
      <c r="AH160" s="5"/>
      <c r="AI160" s="5"/>
      <c r="AS160" s="55">
        <f t="shared" si="122"/>
        <v>14</v>
      </c>
      <c r="AT160" s="56">
        <f t="shared" si="131"/>
        <v>157</v>
      </c>
      <c r="AU160" s="57">
        <f t="shared" si="137"/>
        <v>0.46483563888653179</v>
      </c>
      <c r="AV160" s="58">
        <f t="shared" si="123"/>
        <v>4.8675505653430484E-3</v>
      </c>
      <c r="AW160" s="59">
        <f t="shared" si="124"/>
        <v>1.004867550565343</v>
      </c>
      <c r="AX160" s="60">
        <f>PRODUCT(AW$4:AW160)</f>
        <v>2.1433103963041957</v>
      </c>
    </row>
    <row r="161" spans="5:50">
      <c r="E161">
        <f t="shared" si="139"/>
        <v>158</v>
      </c>
      <c r="F161" s="9">
        <f t="shared" si="126"/>
        <v>82.08333333333259</v>
      </c>
      <c r="G161" s="132">
        <f t="shared" si="102"/>
        <v>0</v>
      </c>
      <c r="H161" s="133">
        <f t="shared" si="134"/>
        <v>1</v>
      </c>
      <c r="I161" s="31">
        <f t="shared" si="115"/>
        <v>1087107.9264367865</v>
      </c>
      <c r="J161" s="31">
        <f t="shared" si="103"/>
        <v>5291.5528019162894</v>
      </c>
      <c r="K161" s="163">
        <f t="shared" si="104"/>
        <v>-20</v>
      </c>
      <c r="L161" s="163">
        <f t="shared" si="116"/>
        <v>-905.92327203065554</v>
      </c>
      <c r="M161" s="163">
        <f t="shared" si="136"/>
        <v>0</v>
      </c>
      <c r="N161" s="163">
        <f t="shared" si="117"/>
        <v>-1032.7525301149474</v>
      </c>
      <c r="O161" s="84">
        <f t="shared" si="105"/>
        <v>-6234.7220095610019</v>
      </c>
      <c r="P161" s="31">
        <f t="shared" si="106"/>
        <v>1084206.0814269963</v>
      </c>
      <c r="Q161" s="5"/>
      <c r="R161">
        <f t="shared" ca="1" si="118"/>
        <v>278</v>
      </c>
      <c r="S161" s="133">
        <f t="shared" ca="1" si="119"/>
        <v>91.56</v>
      </c>
      <c r="T161" s="132">
        <f t="shared" ca="1" si="107"/>
        <v>2.3083010541702143E-2</v>
      </c>
      <c r="U161" s="133">
        <f t="shared" ca="1" si="127"/>
        <v>0.12169562190534552</v>
      </c>
      <c r="V161" s="31">
        <f t="shared" ca="1" si="120"/>
        <v>71339.736303657526</v>
      </c>
      <c r="W161" s="31">
        <f t="shared" ca="1" si="108"/>
        <v>347.24977377629216</v>
      </c>
      <c r="X161" s="163">
        <f t="shared" ca="1" si="128"/>
        <v>-2.4339124381069106</v>
      </c>
      <c r="Y161" s="163">
        <f t="shared" ca="1" si="129"/>
        <v>-59.44978025304794</v>
      </c>
      <c r="Z161" s="163">
        <f t="shared" ca="1" si="121"/>
        <v>0</v>
      </c>
      <c r="AA161" s="163">
        <f t="shared" ca="1" si="130"/>
        <v>-67.772749488474659</v>
      </c>
      <c r="AB161" s="84">
        <f t="shared" ca="1" si="109"/>
        <v>-758.73837236047166</v>
      </c>
      <c r="AC161" s="160">
        <f t="shared" si="110"/>
        <v>0</v>
      </c>
      <c r="AD161" s="31">
        <f t="shared" ca="1" si="111"/>
        <v>70798.591262893708</v>
      </c>
      <c r="AE161" s="5"/>
      <c r="AF161" s="151">
        <f t="shared" ca="1" si="112"/>
        <v>-6234.722009561001</v>
      </c>
      <c r="AG161" s="151">
        <f t="shared" ca="1" si="113"/>
        <v>581767.7756555666</v>
      </c>
      <c r="AH161" s="5"/>
      <c r="AI161" s="5"/>
      <c r="AS161" s="55">
        <f t="shared" si="122"/>
        <v>14</v>
      </c>
      <c r="AT161" s="56">
        <f t="shared" si="131"/>
        <v>158</v>
      </c>
      <c r="AU161" s="57">
        <f t="shared" si="137"/>
        <v>0.46257302790967808</v>
      </c>
      <c r="AV161" s="58">
        <f t="shared" si="123"/>
        <v>4.8675505653430484E-3</v>
      </c>
      <c r="AW161" s="59">
        <f t="shared" si="124"/>
        <v>1.004867550565343</v>
      </c>
      <c r="AX161" s="60">
        <f>PRODUCT(AW$4:AW161)</f>
        <v>2.1537430680354319</v>
      </c>
    </row>
    <row r="162" spans="5:50">
      <c r="E162">
        <f t="shared" si="139"/>
        <v>159</v>
      </c>
      <c r="F162" s="9">
        <f t="shared" si="126"/>
        <v>82.166666666665918</v>
      </c>
      <c r="G162" s="132">
        <f t="shared" si="102"/>
        <v>0</v>
      </c>
      <c r="H162" s="133">
        <f t="shared" si="134"/>
        <v>1</v>
      </c>
      <c r="I162" s="31">
        <f t="shared" si="115"/>
        <v>1084206.0814269963</v>
      </c>
      <c r="J162" s="31">
        <f t="shared" si="103"/>
        <v>5277.4279245983471</v>
      </c>
      <c r="K162" s="163">
        <f t="shared" si="104"/>
        <v>-20</v>
      </c>
      <c r="L162" s="163">
        <f t="shared" si="116"/>
        <v>-903.50506785583025</v>
      </c>
      <c r="M162" s="163">
        <f t="shared" si="136"/>
        <v>0</v>
      </c>
      <c r="N162" s="163">
        <f t="shared" si="117"/>
        <v>-1029.9957773556466</v>
      </c>
      <c r="O162" s="84">
        <f t="shared" si="105"/>
        <v>-6234.7220095610019</v>
      </c>
      <c r="P162" s="31">
        <f t="shared" si="106"/>
        <v>1081295.286496822</v>
      </c>
      <c r="Q162" s="5"/>
      <c r="R162">
        <f t="shared" ca="1" si="118"/>
        <v>279</v>
      </c>
      <c r="S162" s="133">
        <f t="shared" ca="1" si="119"/>
        <v>91.64</v>
      </c>
      <c r="T162" s="132">
        <f t="shared" ca="1" si="107"/>
        <v>2.3083010541702143E-2</v>
      </c>
      <c r="U162" s="133">
        <f t="shared" ca="1" si="127"/>
        <v>0.11888652058202544</v>
      </c>
      <c r="V162" s="31">
        <f t="shared" ca="1" si="120"/>
        <v>69164.346634434667</v>
      </c>
      <c r="W162" s="31">
        <f t="shared" ca="1" si="108"/>
        <v>336.66095456202504</v>
      </c>
      <c r="X162" s="163">
        <f t="shared" ca="1" si="128"/>
        <v>-2.3777304116405089</v>
      </c>
      <c r="Y162" s="163">
        <f t="shared" ca="1" si="129"/>
        <v>-57.636955528695559</v>
      </c>
      <c r="Z162" s="163">
        <f t="shared" ca="1" si="121"/>
        <v>0</v>
      </c>
      <c r="AA162" s="163">
        <f t="shared" ca="1" si="130"/>
        <v>-65.706129302712938</v>
      </c>
      <c r="AB162" s="84">
        <f t="shared" ca="1" si="109"/>
        <v>-741.22440651288105</v>
      </c>
      <c r="AC162" s="160">
        <f t="shared" si="110"/>
        <v>0</v>
      </c>
      <c r="AD162" s="31">
        <f t="shared" ca="1" si="111"/>
        <v>68634.062367240782</v>
      </c>
      <c r="AE162" s="5"/>
      <c r="AF162" s="151">
        <f t="shared" ca="1" si="112"/>
        <v>-6234.7220095610019</v>
      </c>
      <c r="AG162" s="151">
        <f t="shared" ca="1" si="113"/>
        <v>577307.35184471053</v>
      </c>
      <c r="AH162" s="5"/>
      <c r="AI162" s="5"/>
      <c r="AS162" s="55">
        <f t="shared" si="122"/>
        <v>14</v>
      </c>
      <c r="AT162" s="56">
        <f t="shared" si="131"/>
        <v>159</v>
      </c>
      <c r="AU162" s="57">
        <f t="shared" si="137"/>
        <v>0.4603214303061639</v>
      </c>
      <c r="AV162" s="58">
        <f t="shared" si="123"/>
        <v>4.8675505653430484E-3</v>
      </c>
      <c r="AW162" s="59">
        <f t="shared" si="124"/>
        <v>1.004867550565343</v>
      </c>
      <c r="AX162" s="60">
        <f>PRODUCT(AW$4:AW162)</f>
        <v>2.1642265213238514</v>
      </c>
    </row>
    <row r="163" spans="5:50">
      <c r="E163">
        <f t="shared" si="139"/>
        <v>160</v>
      </c>
      <c r="F163" s="9">
        <f t="shared" si="126"/>
        <v>82.249999999999247</v>
      </c>
      <c r="G163" s="132">
        <f t="shared" si="102"/>
        <v>0</v>
      </c>
      <c r="H163" s="133">
        <f t="shared" si="134"/>
        <v>1</v>
      </c>
      <c r="I163" s="31">
        <f t="shared" si="115"/>
        <v>1081295.286496822</v>
      </c>
      <c r="J163" s="31">
        <f t="shared" si="103"/>
        <v>5263.2594830903799</v>
      </c>
      <c r="K163" s="163">
        <f t="shared" si="104"/>
        <v>-20</v>
      </c>
      <c r="L163" s="163">
        <f t="shared" si="116"/>
        <v>-901.07940541401842</v>
      </c>
      <c r="M163" s="163">
        <f t="shared" si="136"/>
        <v>0</v>
      </c>
      <c r="N163" s="163">
        <f t="shared" si="117"/>
        <v>-1027.230522171981</v>
      </c>
      <c r="O163" s="84">
        <f t="shared" si="105"/>
        <v>-6234.7220095610019</v>
      </c>
      <c r="P163" s="31">
        <f t="shared" si="106"/>
        <v>1078375.5140427654</v>
      </c>
      <c r="Q163" s="5"/>
      <c r="R163">
        <f t="shared" ca="1" si="118"/>
        <v>280</v>
      </c>
      <c r="S163" s="133">
        <f t="shared" ca="1" si="119"/>
        <v>91.72</v>
      </c>
      <c r="T163" s="132">
        <f t="shared" ca="1" si="107"/>
        <v>2.3083010541702143E-2</v>
      </c>
      <c r="U163" s="133">
        <f t="shared" ca="1" si="127"/>
        <v>0.11614226177416426</v>
      </c>
      <c r="V163" s="31">
        <f t="shared" ca="1" si="120"/>
        <v>67049.781582097916</v>
      </c>
      <c r="W163" s="31">
        <f t="shared" ca="1" si="108"/>
        <v>326.36820224606862</v>
      </c>
      <c r="X163" s="163">
        <f t="shared" ca="1" si="128"/>
        <v>-2.3228452354832854</v>
      </c>
      <c r="Y163" s="163">
        <f t="shared" ca="1" si="129"/>
        <v>-55.874817985081599</v>
      </c>
      <c r="Z163" s="163">
        <f t="shared" ca="1" si="121"/>
        <v>0</v>
      </c>
      <c r="AA163" s="163">
        <f t="shared" ca="1" si="130"/>
        <v>-63.697292502993037</v>
      </c>
      <c r="AB163" s="84">
        <f t="shared" ca="1" si="109"/>
        <v>-724.11471572357732</v>
      </c>
      <c r="AC163" s="160">
        <f t="shared" si="110"/>
        <v>0</v>
      </c>
      <c r="AD163" s="31">
        <f t="shared" ca="1" si="111"/>
        <v>66530.140112896843</v>
      </c>
      <c r="AE163" s="5"/>
      <c r="AF163" s="151">
        <f t="shared" ca="1" si="112"/>
        <v>-6234.7220095610019</v>
      </c>
      <c r="AG163" s="151">
        <f t="shared" ca="1" si="113"/>
        <v>572833.17111787479</v>
      </c>
      <c r="AH163" s="5"/>
      <c r="AI163" s="5"/>
      <c r="AS163" s="55">
        <f t="shared" si="122"/>
        <v>14</v>
      </c>
      <c r="AT163" s="56">
        <f t="shared" si="131"/>
        <v>160</v>
      </c>
      <c r="AU163" s="57">
        <f t="shared" si="137"/>
        <v>0.45808079246783762</v>
      </c>
      <c r="AV163" s="58">
        <f t="shared" si="123"/>
        <v>4.8675505653430484E-3</v>
      </c>
      <c r="AW163" s="59">
        <f t="shared" si="124"/>
        <v>1.004867550565343</v>
      </c>
      <c r="AX163" s="60">
        <f>PRODUCT(AW$4:AW163)</f>
        <v>2.1747610033512519</v>
      </c>
    </row>
    <row r="164" spans="5:50">
      <c r="E164">
        <f t="shared" si="139"/>
        <v>161</v>
      </c>
      <c r="F164" s="9">
        <f t="shared" si="126"/>
        <v>82.333333333332575</v>
      </c>
      <c r="G164" s="132">
        <f t="shared" si="102"/>
        <v>0</v>
      </c>
      <c r="H164" s="133">
        <f t="shared" si="134"/>
        <v>1</v>
      </c>
      <c r="I164" s="31">
        <f t="shared" si="115"/>
        <v>1078375.5140427654</v>
      </c>
      <c r="J164" s="31">
        <f t="shared" si="103"/>
        <v>5249.047343030963</v>
      </c>
      <c r="K164" s="163">
        <f t="shared" si="104"/>
        <v>-20</v>
      </c>
      <c r="L164" s="163">
        <f t="shared" si="116"/>
        <v>-898.64626170230451</v>
      </c>
      <c r="M164" s="163">
        <f t="shared" si="136"/>
        <v>0</v>
      </c>
      <c r="N164" s="163">
        <f t="shared" si="117"/>
        <v>-1024.4567383406272</v>
      </c>
      <c r="O164" s="84">
        <f t="shared" si="105"/>
        <v>-6234.7220095610019</v>
      </c>
      <c r="P164" s="31">
        <f t="shared" si="106"/>
        <v>1075446.7363761924</v>
      </c>
      <c r="Q164" s="5"/>
      <c r="R164">
        <f t="shared" ca="1" si="118"/>
        <v>281</v>
      </c>
      <c r="S164" s="133">
        <f t="shared" ca="1" si="119"/>
        <v>91.8</v>
      </c>
      <c r="T164" s="132">
        <f t="shared" ca="1" si="107"/>
        <v>2.3083010541702143E-2</v>
      </c>
      <c r="U164" s="133">
        <f t="shared" ca="1" si="127"/>
        <v>0.1134613487212941</v>
      </c>
      <c r="V164" s="31">
        <f t="shared" ca="1" si="120"/>
        <v>64994.424187329925</v>
      </c>
      <c r="W164" s="31">
        <f t="shared" ca="1" si="108"/>
        <v>316.3636461971837</v>
      </c>
      <c r="X164" s="163">
        <f t="shared" ca="1" si="128"/>
        <v>-2.2692269744258819</v>
      </c>
      <c r="Y164" s="163">
        <f t="shared" ca="1" si="129"/>
        <v>-54.162020156108277</v>
      </c>
      <c r="Z164" s="163">
        <f t="shared" ca="1" si="121"/>
        <v>0</v>
      </c>
      <c r="AA164" s="163">
        <f t="shared" ca="1" si="130"/>
        <v>-61.744702977963442</v>
      </c>
      <c r="AB164" s="84">
        <f t="shared" ca="1" si="109"/>
        <v>-707.3999681071283</v>
      </c>
      <c r="AC164" s="160">
        <f t="shared" si="110"/>
        <v>0</v>
      </c>
      <c r="AD164" s="31">
        <f t="shared" ca="1" si="111"/>
        <v>64485.211915311476</v>
      </c>
      <c r="AE164" s="5"/>
      <c r="AF164" s="151">
        <f t="shared" ca="1" si="112"/>
        <v>-6234.7220095610019</v>
      </c>
      <c r="AG164" s="151">
        <f t="shared" ca="1" si="113"/>
        <v>568345.19104574225</v>
      </c>
      <c r="AH164" s="5"/>
      <c r="AI164" s="5"/>
      <c r="AS164" s="55">
        <f t="shared" si="122"/>
        <v>14</v>
      </c>
      <c r="AT164" s="56">
        <f t="shared" si="131"/>
        <v>161</v>
      </c>
      <c r="AU164" s="57">
        <f t="shared" si="137"/>
        <v>0.45585106104748802</v>
      </c>
      <c r="AV164" s="58">
        <f t="shared" si="123"/>
        <v>4.8675505653430484E-3</v>
      </c>
      <c r="AW164" s="59">
        <f t="shared" si="124"/>
        <v>1.004867550565343</v>
      </c>
      <c r="AX164" s="60">
        <f>PRODUCT(AW$4:AW164)</f>
        <v>2.1853467625026002</v>
      </c>
    </row>
    <row r="165" spans="5:50">
      <c r="E165">
        <f t="shared" si="139"/>
        <v>162</v>
      </c>
      <c r="F165" s="9">
        <f t="shared" si="126"/>
        <v>82.416666666665904</v>
      </c>
      <c r="G165" s="132">
        <f t="shared" si="102"/>
        <v>0</v>
      </c>
      <c r="H165" s="133">
        <f t="shared" si="134"/>
        <v>1</v>
      </c>
      <c r="I165" s="31">
        <f t="shared" si="115"/>
        <v>1075446.7363761924</v>
      </c>
      <c r="J165" s="31">
        <f t="shared" si="103"/>
        <v>5234.791369644272</v>
      </c>
      <c r="K165" s="163">
        <f t="shared" si="104"/>
        <v>-20</v>
      </c>
      <c r="L165" s="163">
        <f t="shared" si="116"/>
        <v>-896.20561364682703</v>
      </c>
      <c r="M165" s="163">
        <f t="shared" si="136"/>
        <v>0</v>
      </c>
      <c r="N165" s="163">
        <f t="shared" si="117"/>
        <v>-1021.674399557383</v>
      </c>
      <c r="O165" s="84">
        <f t="shared" si="105"/>
        <v>-6234.7220095610019</v>
      </c>
      <c r="P165" s="31">
        <f t="shared" si="106"/>
        <v>1072508.9257230714</v>
      </c>
      <c r="Q165" s="5"/>
      <c r="R165">
        <f t="shared" ca="1" si="118"/>
        <v>282</v>
      </c>
      <c r="S165" s="133">
        <f t="shared" ca="1" si="119"/>
        <v>91.88</v>
      </c>
      <c r="T165" s="132">
        <f t="shared" ca="1" si="107"/>
        <v>2.3083010541702143E-2</v>
      </c>
      <c r="U165" s="133">
        <f t="shared" ca="1" si="127"/>
        <v>0.11084231921268473</v>
      </c>
      <c r="V165" s="31">
        <f t="shared" ca="1" si="120"/>
        <v>62996.699088886446</v>
      </c>
      <c r="W165" s="31">
        <f t="shared" ca="1" si="108"/>
        <v>306.63961826485513</v>
      </c>
      <c r="X165" s="163">
        <f t="shared" ca="1" si="128"/>
        <v>-2.2168463842536945</v>
      </c>
      <c r="Y165" s="163">
        <f t="shared" ca="1" si="129"/>
        <v>-52.497249240738711</v>
      </c>
      <c r="Z165" s="163">
        <f t="shared" ca="1" si="121"/>
        <v>0</v>
      </c>
      <c r="AA165" s="163">
        <f t="shared" ca="1" si="130"/>
        <v>-59.846864134442136</v>
      </c>
      <c r="AB165" s="84">
        <f t="shared" ca="1" si="109"/>
        <v>-691.07104718611174</v>
      </c>
      <c r="AC165" s="160">
        <f t="shared" si="110"/>
        <v>0</v>
      </c>
      <c r="AD165" s="31">
        <f t="shared" ca="1" si="111"/>
        <v>62497.706700205752</v>
      </c>
      <c r="AE165" s="5"/>
      <c r="AF165" s="151">
        <f t="shared" ca="1" si="112"/>
        <v>-6234.7220095610019</v>
      </c>
      <c r="AG165" s="151">
        <f t="shared" ca="1" si="113"/>
        <v>563843.36906813434</v>
      </c>
      <c r="AH165" s="5"/>
      <c r="AI165" s="5"/>
      <c r="AS165" s="55">
        <f t="shared" si="122"/>
        <v>14</v>
      </c>
      <c r="AT165" s="56">
        <f t="shared" si="131"/>
        <v>162</v>
      </c>
      <c r="AU165" s="57">
        <f t="shared" si="137"/>
        <v>0.45363218295757407</v>
      </c>
      <c r="AV165" s="58">
        <f t="shared" si="123"/>
        <v>4.8675505653430484E-3</v>
      </c>
      <c r="AW165" s="59">
        <f t="shared" si="124"/>
        <v>1.004867550565343</v>
      </c>
      <c r="AX165" s="60">
        <f>PRODUCT(AW$4:AW165)</f>
        <v>2.1959840483718902</v>
      </c>
    </row>
    <row r="166" spans="5:50">
      <c r="E166">
        <f t="shared" si="139"/>
        <v>163</v>
      </c>
      <c r="F166" s="9">
        <f t="shared" si="126"/>
        <v>82.499999999999233</v>
      </c>
      <c r="G166" s="132">
        <f t="shared" si="102"/>
        <v>0</v>
      </c>
      <c r="H166" s="133">
        <f t="shared" si="134"/>
        <v>1</v>
      </c>
      <c r="I166" s="31">
        <f t="shared" si="115"/>
        <v>1072508.9257230714</v>
      </c>
      <c r="J166" s="31">
        <f t="shared" si="103"/>
        <v>5220.4914277388016</v>
      </c>
      <c r="K166" s="163">
        <f t="shared" si="104"/>
        <v>-20</v>
      </c>
      <c r="L166" s="163">
        <f t="shared" si="116"/>
        <v>-893.7574381025596</v>
      </c>
      <c r="M166" s="163">
        <f t="shared" si="136"/>
        <v>0</v>
      </c>
      <c r="N166" s="163">
        <f t="shared" si="117"/>
        <v>-1018.883479436918</v>
      </c>
      <c r="O166" s="84">
        <f t="shared" si="105"/>
        <v>-6234.7220095610019</v>
      </c>
      <c r="P166" s="31">
        <f t="shared" si="106"/>
        <v>1069562.05422371</v>
      </c>
      <c r="Q166" s="5"/>
      <c r="R166">
        <f t="shared" ca="1" si="118"/>
        <v>283</v>
      </c>
      <c r="S166" s="133">
        <f t="shared" ca="1" si="119"/>
        <v>91.96</v>
      </c>
      <c r="T166" s="132">
        <f t="shared" ca="1" si="107"/>
        <v>2.3083010541702143E-2</v>
      </c>
      <c r="U166" s="133">
        <f t="shared" ca="1" si="127"/>
        <v>0.1082837447898316</v>
      </c>
      <c r="V166" s="31">
        <f t="shared" ca="1" si="120"/>
        <v>61055.071477612692</v>
      </c>
      <c r="W166" s="31">
        <f t="shared" ca="1" si="108"/>
        <v>297.18864768791389</v>
      </c>
      <c r="X166" s="163">
        <f t="shared" ca="1" si="128"/>
        <v>-2.1656748957966321</v>
      </c>
      <c r="Y166" s="163">
        <f t="shared" ca="1" si="129"/>
        <v>-50.879226231343914</v>
      </c>
      <c r="Z166" s="163">
        <f t="shared" ca="1" si="121"/>
        <v>0</v>
      </c>
      <c r="AA166" s="163">
        <f t="shared" ca="1" si="130"/>
        <v>-58.00231790373207</v>
      </c>
      <c r="AB166" s="84">
        <f t="shared" ca="1" si="109"/>
        <v>-675.11904691884956</v>
      </c>
      <c r="AC166" s="160">
        <f t="shared" si="110"/>
        <v>0</v>
      </c>
      <c r="AD166" s="31">
        <f t="shared" ca="1" si="111"/>
        <v>60566.093859350884</v>
      </c>
      <c r="AE166" s="5"/>
      <c r="AF166" s="151">
        <f t="shared" ca="1" si="112"/>
        <v>-6234.7220095610019</v>
      </c>
      <c r="AG166" s="151">
        <f t="shared" ca="1" si="113"/>
        <v>559327.66249360773</v>
      </c>
      <c r="AH166" s="5"/>
      <c r="AI166" s="5"/>
      <c r="AS166" s="55">
        <f t="shared" si="122"/>
        <v>14</v>
      </c>
      <c r="AT166" s="56">
        <f t="shared" si="131"/>
        <v>163</v>
      </c>
      <c r="AU166" s="57">
        <f t="shared" si="137"/>
        <v>0.4514241053689611</v>
      </c>
      <c r="AV166" s="58">
        <f t="shared" si="123"/>
        <v>4.8675505653430484E-3</v>
      </c>
      <c r="AW166" s="59">
        <f t="shared" si="124"/>
        <v>1.004867550565343</v>
      </c>
      <c r="AX166" s="60">
        <f>PRODUCT(AW$4:AW166)</f>
        <v>2.2066731117680272</v>
      </c>
    </row>
    <row r="167" spans="5:50">
      <c r="E167">
        <f t="shared" si="139"/>
        <v>164</v>
      </c>
      <c r="F167" s="9">
        <f t="shared" si="126"/>
        <v>82.583333333332561</v>
      </c>
      <c r="G167" s="132">
        <f t="shared" si="102"/>
        <v>0</v>
      </c>
      <c r="H167" s="133">
        <f t="shared" si="134"/>
        <v>1</v>
      </c>
      <c r="I167" s="31">
        <f t="shared" si="115"/>
        <v>1069562.05422371</v>
      </c>
      <c r="J167" s="31">
        <f t="shared" si="103"/>
        <v>5206.1473817060914</v>
      </c>
      <c r="K167" s="163">
        <f t="shared" si="104"/>
        <v>-20</v>
      </c>
      <c r="L167" s="163">
        <f t="shared" si="116"/>
        <v>-891.30171185309166</v>
      </c>
      <c r="M167" s="163">
        <f t="shared" si="136"/>
        <v>0</v>
      </c>
      <c r="N167" s="163">
        <f t="shared" si="117"/>
        <v>-1016.0839515125248</v>
      </c>
      <c r="O167" s="84">
        <f t="shared" si="105"/>
        <v>-6234.7220095610019</v>
      </c>
      <c r="P167" s="31">
        <f t="shared" si="106"/>
        <v>1066606.0939324894</v>
      </c>
      <c r="Q167" s="5"/>
      <c r="R167">
        <f t="shared" ca="1" si="118"/>
        <v>284</v>
      </c>
      <c r="S167" s="133">
        <f t="shared" ca="1" si="119"/>
        <v>92.04</v>
      </c>
      <c r="T167" s="132">
        <f t="shared" ca="1" si="107"/>
        <v>2.3083010541702143E-2</v>
      </c>
      <c r="U167" s="133">
        <f t="shared" ca="1" si="127"/>
        <v>0.10578422996735294</v>
      </c>
      <c r="V167" s="31">
        <f t="shared" ca="1" si="120"/>
        <v>59168.046076325765</v>
      </c>
      <c r="W167" s="31">
        <f t="shared" ca="1" si="108"/>
        <v>288.00345612906301</v>
      </c>
      <c r="X167" s="163">
        <f t="shared" ca="1" si="128"/>
        <v>-2.115684599347059</v>
      </c>
      <c r="Y167" s="163">
        <f t="shared" ca="1" si="129"/>
        <v>-49.306705063604809</v>
      </c>
      <c r="Z167" s="163">
        <f t="shared" ca="1" si="121"/>
        <v>0</v>
      </c>
      <c r="AA167" s="163">
        <f t="shared" ca="1" si="130"/>
        <v>-56.209643772509487</v>
      </c>
      <c r="AB167" s="84">
        <f t="shared" ca="1" si="109"/>
        <v>-659.53526684191786</v>
      </c>
      <c r="AC167" s="160">
        <f t="shared" si="110"/>
        <v>0</v>
      </c>
      <c r="AD167" s="31">
        <f t="shared" ca="1" si="111"/>
        <v>58688.88223217745</v>
      </c>
      <c r="AE167" s="5"/>
      <c r="AF167" s="151">
        <f t="shared" ca="1" si="112"/>
        <v>-6234.7220095610019</v>
      </c>
      <c r="AG167" s="151">
        <f t="shared" ca="1" si="113"/>
        <v>554798.02849904913</v>
      </c>
      <c r="AH167" s="5"/>
      <c r="AI167" s="5"/>
      <c r="AS167" s="55">
        <f t="shared" si="122"/>
        <v>14</v>
      </c>
      <c r="AT167" s="56">
        <f t="shared" si="131"/>
        <v>164</v>
      </c>
      <c r="AU167" s="57">
        <f t="shared" si="137"/>
        <v>0.44922677570966296</v>
      </c>
      <c r="AV167" s="58">
        <f t="shared" si="123"/>
        <v>4.8675505653430484E-3</v>
      </c>
      <c r="AW167" s="59">
        <f t="shared" si="124"/>
        <v>1.004867550565343</v>
      </c>
      <c r="AX167" s="60">
        <f>PRODUCT(AW$4:AW167)</f>
        <v>2.217414204720741</v>
      </c>
    </row>
    <row r="168" spans="5:50">
      <c r="E168">
        <f t="shared" si="139"/>
        <v>165</v>
      </c>
      <c r="F168" s="9">
        <f t="shared" si="126"/>
        <v>82.66666666666589</v>
      </c>
      <c r="G168" s="132">
        <f t="shared" si="102"/>
        <v>0</v>
      </c>
      <c r="H168" s="133">
        <f t="shared" si="134"/>
        <v>1</v>
      </c>
      <c r="I168" s="31">
        <f t="shared" si="115"/>
        <v>1066606.0939324894</v>
      </c>
      <c r="J168" s="31">
        <f t="shared" si="103"/>
        <v>5191.7590955194291</v>
      </c>
      <c r="K168" s="163">
        <f t="shared" si="104"/>
        <v>-20</v>
      </c>
      <c r="L168" s="163">
        <f t="shared" si="116"/>
        <v>-888.83841161040789</v>
      </c>
      <c r="M168" s="163">
        <f t="shared" si="136"/>
        <v>0</v>
      </c>
      <c r="N168" s="163">
        <f t="shared" si="117"/>
        <v>-1013.2757892358651</v>
      </c>
      <c r="O168" s="84">
        <f t="shared" si="105"/>
        <v>-6234.7220095610019</v>
      </c>
      <c r="P168" s="31">
        <f t="shared" si="106"/>
        <v>1063641.0168176014</v>
      </c>
      <c r="Q168" s="5"/>
      <c r="R168">
        <f t="shared" ca="1" si="118"/>
        <v>285</v>
      </c>
      <c r="S168" s="133">
        <f t="shared" ca="1" si="119"/>
        <v>92.12</v>
      </c>
      <c r="T168" s="132">
        <f t="shared" ca="1" si="107"/>
        <v>2.3083010541702143E-2</v>
      </c>
      <c r="U168" s="133">
        <f t="shared" ca="1" si="127"/>
        <v>0.10334241147187069</v>
      </c>
      <c r="V168" s="31">
        <f t="shared" ca="1" si="120"/>
        <v>57334.166144931383</v>
      </c>
      <c r="W168" s="31">
        <f t="shared" ca="1" si="108"/>
        <v>279.07695283223302</v>
      </c>
      <c r="X168" s="163">
        <f t="shared" ca="1" si="128"/>
        <v>-2.0668482294374138</v>
      </c>
      <c r="Y168" s="163">
        <f t="shared" ca="1" si="129"/>
        <v>-47.778471787442825</v>
      </c>
      <c r="Z168" s="163">
        <f t="shared" ca="1" si="121"/>
        <v>0</v>
      </c>
      <c r="AA168" s="163">
        <f t="shared" ca="1" si="130"/>
        <v>-54.467457837684826</v>
      </c>
      <c r="AB168" s="84">
        <f t="shared" ca="1" si="109"/>
        <v>-644.31120732478155</v>
      </c>
      <c r="AC168" s="160">
        <f t="shared" si="110"/>
        <v>0</v>
      </c>
      <c r="AD168" s="31">
        <f t="shared" ca="1" si="111"/>
        <v>56864.619112584267</v>
      </c>
      <c r="AE168" s="5"/>
      <c r="AF168" s="151">
        <f t="shared" ca="1" si="112"/>
        <v>-6234.7220095610019</v>
      </c>
      <c r="AG168" s="151">
        <f t="shared" ca="1" si="113"/>
        <v>550254.4241292699</v>
      </c>
      <c r="AH168" s="5"/>
      <c r="AI168" s="5"/>
      <c r="AS168" s="55">
        <f t="shared" si="122"/>
        <v>14</v>
      </c>
      <c r="AT168" s="56">
        <f t="shared" si="131"/>
        <v>165</v>
      </c>
      <c r="AU168" s="57">
        <f t="shared" si="137"/>
        <v>0.44704014166359018</v>
      </c>
      <c r="AV168" s="58">
        <f t="shared" si="123"/>
        <v>4.8675505653430484E-3</v>
      </c>
      <c r="AW168" s="59">
        <f t="shared" si="124"/>
        <v>1.004867550565343</v>
      </c>
      <c r="AX168" s="60">
        <f>PRODUCT(AW$4:AW168)</f>
        <v>2.2282075804865293</v>
      </c>
    </row>
    <row r="169" spans="5:50">
      <c r="E169">
        <f t="shared" si="139"/>
        <v>166</v>
      </c>
      <c r="F169" s="9">
        <f t="shared" si="126"/>
        <v>82.749999999999218</v>
      </c>
      <c r="G169" s="132">
        <f t="shared" si="102"/>
        <v>0</v>
      </c>
      <c r="H169" s="133">
        <f t="shared" si="134"/>
        <v>1</v>
      </c>
      <c r="I169" s="31">
        <f t="shared" si="115"/>
        <v>1063641.0168176014</v>
      </c>
      <c r="J169" s="31">
        <f t="shared" si="103"/>
        <v>5177.3264327325705</v>
      </c>
      <c r="K169" s="163">
        <f t="shared" si="104"/>
        <v>-20</v>
      </c>
      <c r="L169" s="163">
        <f t="shared" si="116"/>
        <v>-886.3675140146679</v>
      </c>
      <c r="M169" s="163">
        <f t="shared" si="136"/>
        <v>0</v>
      </c>
      <c r="N169" s="163">
        <f t="shared" si="117"/>
        <v>-1010.4589659767215</v>
      </c>
      <c r="O169" s="84">
        <f t="shared" si="105"/>
        <v>-6234.7220095610019</v>
      </c>
      <c r="P169" s="31">
        <f t="shared" si="106"/>
        <v>1060666.7947607816</v>
      </c>
      <c r="Q169" s="5"/>
      <c r="R169">
        <f t="shared" ca="1" si="118"/>
        <v>286</v>
      </c>
      <c r="S169" s="133">
        <f t="shared" ca="1" si="119"/>
        <v>92.2</v>
      </c>
      <c r="T169" s="132">
        <f t="shared" ca="1" si="107"/>
        <v>2.3083010541702143E-2</v>
      </c>
      <c r="U169" s="133">
        <f t="shared" ca="1" si="127"/>
        <v>0.10095695749846058</v>
      </c>
      <c r="V169" s="31">
        <f t="shared" ca="1" si="120"/>
        <v>55552.012510158609</v>
      </c>
      <c r="W169" s="31">
        <f t="shared" ca="1" si="108"/>
        <v>270.40222989976661</v>
      </c>
      <c r="X169" s="163">
        <f t="shared" ca="1" si="128"/>
        <v>-2.0191391499692117</v>
      </c>
      <c r="Y169" s="163">
        <f t="shared" ca="1" si="129"/>
        <v>-46.293343758465511</v>
      </c>
      <c r="Z169" s="163">
        <f t="shared" ca="1" si="121"/>
        <v>0</v>
      </c>
      <c r="AA169" s="163">
        <f t="shared" ca="1" si="130"/>
        <v>-52.774411884650682</v>
      </c>
      <c r="AB169" s="84">
        <f t="shared" ca="1" si="109"/>
        <v>-629.43856493396675</v>
      </c>
      <c r="AC169" s="160">
        <f t="shared" si="110"/>
        <v>0</v>
      </c>
      <c r="AD169" s="31">
        <f t="shared" ca="1" si="111"/>
        <v>55091.889280331321</v>
      </c>
      <c r="AE169" s="5"/>
      <c r="AF169" s="151">
        <f t="shared" ca="1" si="112"/>
        <v>-6234.722009561001</v>
      </c>
      <c r="AG169" s="151">
        <f t="shared" ca="1" si="113"/>
        <v>545696.80629659805</v>
      </c>
      <c r="AH169" s="5"/>
      <c r="AI169" s="5"/>
      <c r="AS169" s="55">
        <f t="shared" si="122"/>
        <v>14</v>
      </c>
      <c r="AT169" s="56">
        <f t="shared" si="131"/>
        <v>166</v>
      </c>
      <c r="AU169" s="57">
        <f t="shared" si="137"/>
        <v>0.44486415116930456</v>
      </c>
      <c r="AV169" s="58">
        <f t="shared" si="123"/>
        <v>4.8675505653430484E-3</v>
      </c>
      <c r="AW169" s="59">
        <f t="shared" si="124"/>
        <v>1.004867550565343</v>
      </c>
      <c r="AX169" s="60">
        <f>PRODUCT(AW$4:AW169)</f>
        <v>2.239053493554628</v>
      </c>
    </row>
    <row r="170" spans="5:50">
      <c r="E170">
        <f t="shared" si="139"/>
        <v>167</v>
      </c>
      <c r="F170" s="9">
        <f t="shared" si="126"/>
        <v>82.833333333332547</v>
      </c>
      <c r="G170" s="132">
        <f t="shared" si="102"/>
        <v>0</v>
      </c>
      <c r="H170" s="133">
        <f t="shared" si="134"/>
        <v>1</v>
      </c>
      <c r="I170" s="31">
        <f t="shared" si="115"/>
        <v>1060666.7947607816</v>
      </c>
      <c r="J170" s="31">
        <f t="shared" si="103"/>
        <v>5162.849256478441</v>
      </c>
      <c r="K170" s="163">
        <f t="shared" si="104"/>
        <v>-20</v>
      </c>
      <c r="L170" s="163">
        <f t="shared" si="116"/>
        <v>-883.88899563398468</v>
      </c>
      <c r="M170" s="163">
        <f t="shared" si="136"/>
        <v>0</v>
      </c>
      <c r="N170" s="163">
        <f t="shared" si="117"/>
        <v>-1007.6334550227426</v>
      </c>
      <c r="O170" s="84">
        <f t="shared" si="105"/>
        <v>-6234.7220095610019</v>
      </c>
      <c r="P170" s="31">
        <f t="shared" si="106"/>
        <v>1057683.3995570424</v>
      </c>
      <c r="Q170" s="5"/>
      <c r="R170">
        <f t="shared" ca="1" si="118"/>
        <v>287</v>
      </c>
      <c r="S170" s="133">
        <f t="shared" ca="1" si="119"/>
        <v>92.28</v>
      </c>
      <c r="T170" s="132">
        <f t="shared" ca="1" si="107"/>
        <v>2.3083010541702143E-2</v>
      </c>
      <c r="U170" s="133">
        <f t="shared" ca="1" si="127"/>
        <v>9.8626566984265432E-2</v>
      </c>
      <c r="V170" s="31">
        <f t="shared" ca="1" si="120"/>
        <v>53820.202619311145</v>
      </c>
      <c r="W170" s="31">
        <f t="shared" ca="1" si="108"/>
        <v>261.97255768650535</v>
      </c>
      <c r="X170" s="163">
        <f t="shared" ca="1" si="128"/>
        <v>-1.9725313396853086</v>
      </c>
      <c r="Y170" s="163">
        <f t="shared" ca="1" si="129"/>
        <v>-44.850168849425955</v>
      </c>
      <c r="Z170" s="163">
        <f t="shared" ca="1" si="121"/>
        <v>0</v>
      </c>
      <c r="AA170" s="163">
        <f t="shared" ca="1" si="130"/>
        <v>-51.129192488345602</v>
      </c>
      <c r="AB170" s="84">
        <f t="shared" ca="1" si="109"/>
        <v>-614.90922790424213</v>
      </c>
      <c r="AC170" s="160">
        <f t="shared" si="110"/>
        <v>0</v>
      </c>
      <c r="AD170" s="31">
        <f t="shared" ca="1" si="111"/>
        <v>53369.31405641594</v>
      </c>
      <c r="AE170" s="5"/>
      <c r="AF170" s="151">
        <f t="shared" ca="1" si="112"/>
        <v>-6234.7220095610019</v>
      </c>
      <c r="AG170" s="151">
        <f t="shared" ca="1" si="113"/>
        <v>541125.13178046956</v>
      </c>
      <c r="AH170" s="5"/>
      <c r="AI170" s="5"/>
      <c r="AS170" s="55">
        <f t="shared" si="122"/>
        <v>14</v>
      </c>
      <c r="AT170" s="56">
        <f t="shared" si="131"/>
        <v>167</v>
      </c>
      <c r="AU170" s="57">
        <f t="shared" si="137"/>
        <v>0.44269875241877954</v>
      </c>
      <c r="AV170" s="58">
        <f t="shared" si="123"/>
        <v>4.8675505653430484E-3</v>
      </c>
      <c r="AW170" s="59">
        <f t="shared" si="124"/>
        <v>1.004867550565343</v>
      </c>
      <c r="AX170" s="60">
        <f>PRODUCT(AW$4:AW170)</f>
        <v>2.2499521996530132</v>
      </c>
    </row>
    <row r="171" spans="5:50">
      <c r="E171">
        <f t="shared" si="139"/>
        <v>168</v>
      </c>
      <c r="F171" s="9">
        <f t="shared" si="126"/>
        <v>82.916666666665876</v>
      </c>
      <c r="G171" s="132">
        <f t="shared" si="102"/>
        <v>0</v>
      </c>
      <c r="H171" s="133">
        <f t="shared" si="134"/>
        <v>1</v>
      </c>
      <c r="I171" s="31">
        <f t="shared" si="115"/>
        <v>1057683.3995570424</v>
      </c>
      <c r="J171" s="31">
        <f t="shared" si="103"/>
        <v>5148.3274294678395</v>
      </c>
      <c r="K171" s="163">
        <f t="shared" si="104"/>
        <v>-20</v>
      </c>
      <c r="L171" s="163">
        <f t="shared" si="116"/>
        <v>-881.40283296420205</v>
      </c>
      <c r="M171" s="163">
        <f t="shared" si="136"/>
        <v>0</v>
      </c>
      <c r="N171" s="163">
        <f t="shared" si="117"/>
        <v>-1004.7992295791905</v>
      </c>
      <c r="O171" s="84">
        <f t="shared" si="105"/>
        <v>-6234.7220095610019</v>
      </c>
      <c r="P171" s="31">
        <f t="shared" si="106"/>
        <v>1054690.8029144057</v>
      </c>
      <c r="Q171" s="5"/>
      <c r="R171">
        <f t="shared" ca="1" si="118"/>
        <v>288</v>
      </c>
      <c r="S171" s="133">
        <f t="shared" ca="1" si="119"/>
        <v>92.36</v>
      </c>
      <c r="T171" s="132">
        <f t="shared" ca="1" si="107"/>
        <v>2.3083010541702143E-2</v>
      </c>
      <c r="U171" s="133">
        <f t="shared" ca="1" si="127"/>
        <v>9.6349968898875746E-2</v>
      </c>
      <c r="V171" s="31">
        <f t="shared" ca="1" si="120"/>
        <v>52137.38961744828</v>
      </c>
      <c r="W171" s="31">
        <f t="shared" ca="1" si="108"/>
        <v>253.78138030792115</v>
      </c>
      <c r="X171" s="163">
        <f t="shared" ca="1" si="128"/>
        <v>-1.926999377977515</v>
      </c>
      <c r="Y171" s="163">
        <f t="shared" ca="1" si="129"/>
        <v>-43.447824681206903</v>
      </c>
      <c r="Z171" s="163">
        <f t="shared" ca="1" si="121"/>
        <v>-391.03042213086206</v>
      </c>
      <c r="AA171" s="163">
        <f t="shared" ca="1" si="130"/>
        <v>-49.53052013657588</v>
      </c>
      <c r="AB171" s="84">
        <f t="shared" ca="1" si="109"/>
        <v>-600.71527171433866</v>
      </c>
      <c r="AC171" s="160">
        <f t="shared" si="110"/>
        <v>0</v>
      </c>
      <c r="AD171" s="31">
        <f t="shared" ca="1" si="111"/>
        <v>51304.519959715239</v>
      </c>
      <c r="AE171" s="5"/>
      <c r="AF171" s="151">
        <f t="shared" ca="1" si="112"/>
        <v>-6234.7220095610019</v>
      </c>
      <c r="AG171" s="151">
        <f t="shared" ca="1" si="113"/>
        <v>532480.91873866587</v>
      </c>
      <c r="AH171" s="5"/>
      <c r="AI171" s="5"/>
      <c r="AS171" s="55">
        <f t="shared" si="122"/>
        <v>14</v>
      </c>
      <c r="AT171" s="56">
        <f t="shared" si="131"/>
        <v>168</v>
      </c>
      <c r="AU171" s="57">
        <f t="shared" si="137"/>
        <v>0.44054389385616682</v>
      </c>
      <c r="AV171" s="58">
        <f t="shared" si="123"/>
        <v>4.8675505653430484E-3</v>
      </c>
      <c r="AW171" s="59">
        <f t="shared" si="124"/>
        <v>1.004867550565343</v>
      </c>
      <c r="AX171" s="60">
        <f>PRODUCT(AW$4:AW171)</f>
        <v>2.2609039557544293</v>
      </c>
    </row>
    <row r="172" spans="5:50">
      <c r="E172">
        <f t="shared" si="139"/>
        <v>169</v>
      </c>
      <c r="F172" s="9">
        <f t="shared" si="126"/>
        <v>82.999999999999204</v>
      </c>
      <c r="G172" s="132">
        <f t="shared" si="102"/>
        <v>0</v>
      </c>
      <c r="H172" s="133">
        <f t="shared" si="134"/>
        <v>1</v>
      </c>
      <c r="I172" s="31">
        <f t="shared" si="115"/>
        <v>1054690.8029144057</v>
      </c>
      <c r="J172" s="31">
        <f t="shared" si="103"/>
        <v>5133.7608139881295</v>
      </c>
      <c r="K172" s="163">
        <f t="shared" si="104"/>
        <v>-20</v>
      </c>
      <c r="L172" s="163">
        <f t="shared" si="116"/>
        <v>-878.90900242867144</v>
      </c>
      <c r="M172" s="163">
        <f t="shared" si="136"/>
        <v>-7910.1810218580422</v>
      </c>
      <c r="N172" s="163">
        <f t="shared" si="117"/>
        <v>-1001.9562627686856</v>
      </c>
      <c r="O172" s="84">
        <f t="shared" si="105"/>
        <v>-6234.7220095610019</v>
      </c>
      <c r="P172" s="31">
        <f t="shared" si="106"/>
        <v>1043778.7954317774</v>
      </c>
      <c r="Q172" s="5"/>
      <c r="R172">
        <f t="shared" ca="1" si="118"/>
        <v>289</v>
      </c>
      <c r="S172" s="133">
        <f t="shared" ca="1" si="119"/>
        <v>92.44</v>
      </c>
      <c r="T172" s="132">
        <f t="shared" ca="1" si="107"/>
        <v>2.3083010541702143E-2</v>
      </c>
      <c r="U172" s="133">
        <f t="shared" ca="1" si="127"/>
        <v>9.4125921551090327E-2</v>
      </c>
      <c r="V172" s="31">
        <f t="shared" ca="1" si="120"/>
        <v>50120.257184648166</v>
      </c>
      <c r="W172" s="31">
        <f t="shared" ca="1" si="108"/>
        <v>243.96288619427315</v>
      </c>
      <c r="X172" s="163">
        <f t="shared" ca="1" si="128"/>
        <v>-1.8825184310218066</v>
      </c>
      <c r="Y172" s="163">
        <f t="shared" ca="1" si="129"/>
        <v>-41.766880987206811</v>
      </c>
      <c r="Z172" s="163">
        <f t="shared" ca="1" si="121"/>
        <v>0</v>
      </c>
      <c r="AA172" s="163">
        <f t="shared" ca="1" si="130"/>
        <v>-47.614244325415768</v>
      </c>
      <c r="AB172" s="84">
        <f t="shared" ca="1" si="109"/>
        <v>-586.84895476479505</v>
      </c>
      <c r="AC172" s="160">
        <f t="shared" si="110"/>
        <v>0</v>
      </c>
      <c r="AD172" s="31">
        <f t="shared" ca="1" si="111"/>
        <v>49686.107472334013</v>
      </c>
      <c r="AE172" s="5"/>
      <c r="AF172" s="151">
        <f t="shared" ca="1" si="112"/>
        <v>-6234.722009561001</v>
      </c>
      <c r="AG172" s="151">
        <f t="shared" ca="1" si="113"/>
        <v>527868.48355439515</v>
      </c>
      <c r="AI172" s="5"/>
      <c r="AS172" s="55">
        <f t="shared" si="122"/>
        <v>15</v>
      </c>
      <c r="AT172" s="56">
        <f t="shared" si="131"/>
        <v>169</v>
      </c>
      <c r="AU172" s="57">
        <f t="shared" si="137"/>
        <v>0.4383995241765688</v>
      </c>
      <c r="AV172" s="58">
        <f t="shared" si="123"/>
        <v>4.8675505653430484E-3</v>
      </c>
      <c r="AW172" s="59">
        <f t="shared" si="124"/>
        <v>1.004867550565343</v>
      </c>
      <c r="AX172" s="60">
        <f>PRODUCT(AW$4:AW172)</f>
        <v>2.2719090200824481</v>
      </c>
    </row>
    <row r="173" spans="5:50">
      <c r="E173">
        <f t="shared" si="139"/>
        <v>170</v>
      </c>
      <c r="F173" s="9">
        <f t="shared" si="126"/>
        <v>83.083333333332533</v>
      </c>
      <c r="G173" s="132">
        <f t="shared" si="102"/>
        <v>0</v>
      </c>
      <c r="H173" s="133">
        <f t="shared" si="134"/>
        <v>1</v>
      </c>
      <c r="I173" s="31">
        <f t="shared" si="115"/>
        <v>1043778.7954317774</v>
      </c>
      <c r="J173" s="31">
        <f t="shared" si="103"/>
        <v>5080.6460657970338</v>
      </c>
      <c r="K173" s="163">
        <f t="shared" si="104"/>
        <v>-20</v>
      </c>
      <c r="L173" s="163">
        <f t="shared" si="116"/>
        <v>-869.81566285981455</v>
      </c>
      <c r="M173" s="163">
        <f t="shared" si="136"/>
        <v>0</v>
      </c>
      <c r="N173" s="163">
        <f t="shared" si="117"/>
        <v>-991.58985566018873</v>
      </c>
      <c r="O173" s="84">
        <f t="shared" si="105"/>
        <v>-6234.7220095610019</v>
      </c>
      <c r="P173" s="31">
        <f t="shared" si="106"/>
        <v>1040743.3139694933</v>
      </c>
      <c r="Q173" s="5"/>
      <c r="R173">
        <f t="shared" ca="1" si="118"/>
        <v>290</v>
      </c>
      <c r="S173" s="133">
        <f t="shared" ca="1" si="119"/>
        <v>92.52</v>
      </c>
      <c r="T173" s="132">
        <f t="shared" ca="1" si="107"/>
        <v>2.5247878164765369E-2</v>
      </c>
      <c r="U173" s="133">
        <f t="shared" ca="1" si="127"/>
        <v>9.1749441751622141E-2</v>
      </c>
      <c r="V173" s="31">
        <f t="shared" ca="1" si="120"/>
        <v>48431.638684391088</v>
      </c>
      <c r="W173" s="31">
        <f t="shared" ca="1" si="108"/>
        <v>235.74345025869809</v>
      </c>
      <c r="X173" s="163">
        <f t="shared" ca="1" si="128"/>
        <v>-1.8349888350324428</v>
      </c>
      <c r="Y173" s="163">
        <f t="shared" ca="1" si="129"/>
        <v>-40.359698903659243</v>
      </c>
      <c r="Z173" s="163">
        <f t="shared" ca="1" si="121"/>
        <v>0</v>
      </c>
      <c r="AA173" s="163">
        <f t="shared" ca="1" si="130"/>
        <v>-46.010056750171543</v>
      </c>
      <c r="AB173" s="84">
        <f t="shared" ca="1" si="109"/>
        <v>-572.03226385377366</v>
      </c>
      <c r="AC173" s="160">
        <f t="shared" si="110"/>
        <v>0</v>
      </c>
      <c r="AD173" s="31">
        <f t="shared" ca="1" si="111"/>
        <v>48007.145126307143</v>
      </c>
      <c r="AE173" s="5"/>
      <c r="AF173" s="151">
        <f t="shared" ca="1" si="112"/>
        <v>-6234.7220095610019</v>
      </c>
      <c r="AG173" s="151">
        <f t="shared" ca="1" si="113"/>
        <v>523241.82261804742</v>
      </c>
      <c r="AH173" s="5"/>
      <c r="AI173" s="5"/>
      <c r="AS173" s="55">
        <f t="shared" si="122"/>
        <v>15</v>
      </c>
      <c r="AT173" s="56">
        <f t="shared" si="131"/>
        <v>170</v>
      </c>
      <c r="AU173" s="57">
        <f t="shared" si="137"/>
        <v>0.43626559232481704</v>
      </c>
      <c r="AV173" s="58">
        <f t="shared" si="123"/>
        <v>4.8675505653430484E-3</v>
      </c>
      <c r="AW173" s="59">
        <f t="shared" si="124"/>
        <v>1.004867550565343</v>
      </c>
      <c r="AX173" s="60">
        <f>PRODUCT(AW$4:AW173)</f>
        <v>2.2829676521175584</v>
      </c>
    </row>
    <row r="174" spans="5:50">
      <c r="E174">
        <f t="shared" si="139"/>
        <v>171</v>
      </c>
      <c r="F174" s="9">
        <f t="shared" si="126"/>
        <v>83.166666666665861</v>
      </c>
      <c r="G174" s="132">
        <f t="shared" si="102"/>
        <v>0</v>
      </c>
      <c r="H174" s="133">
        <f t="shared" si="134"/>
        <v>1</v>
      </c>
      <c r="I174" s="31">
        <f t="shared" si="115"/>
        <v>1040743.3139694933</v>
      </c>
      <c r="J174" s="31">
        <f t="shared" si="103"/>
        <v>5065.8707062892045</v>
      </c>
      <c r="K174" s="163">
        <f t="shared" si="104"/>
        <v>-20</v>
      </c>
      <c r="L174" s="163">
        <f t="shared" si="116"/>
        <v>-867.28609497457774</v>
      </c>
      <c r="M174" s="163">
        <f t="shared" si="136"/>
        <v>0</v>
      </c>
      <c r="N174" s="163">
        <f t="shared" si="117"/>
        <v>-988.70614827101872</v>
      </c>
      <c r="O174" s="84">
        <f t="shared" si="105"/>
        <v>-6234.7220095610019</v>
      </c>
      <c r="P174" s="31">
        <f t="shared" si="106"/>
        <v>1037698.4704229758</v>
      </c>
      <c r="Q174" s="5"/>
      <c r="R174">
        <f t="shared" ca="1" si="118"/>
        <v>291</v>
      </c>
      <c r="S174" s="133">
        <f t="shared" ca="1" si="119"/>
        <v>92.6</v>
      </c>
      <c r="T174" s="132">
        <f t="shared" ca="1" si="107"/>
        <v>2.5247878164765369E-2</v>
      </c>
      <c r="U174" s="133">
        <f t="shared" ca="1" si="127"/>
        <v>8.9432963024591944E-2</v>
      </c>
      <c r="V174" s="31">
        <f t="shared" ca="1" si="120"/>
        <v>46795.066575119934</v>
      </c>
      <c r="W174" s="31">
        <f t="shared" ca="1" si="108"/>
        <v>227.77735276299063</v>
      </c>
      <c r="X174" s="163">
        <f t="shared" ca="1" si="128"/>
        <v>-1.7886592604918388</v>
      </c>
      <c r="Y174" s="163">
        <f t="shared" ca="1" si="129"/>
        <v>-38.995888812599951</v>
      </c>
      <c r="Z174" s="163">
        <f t="shared" ca="1" si="121"/>
        <v>0</v>
      </c>
      <c r="AA174" s="163">
        <f t="shared" ca="1" si="130"/>
        <v>-44.455313246363943</v>
      </c>
      <c r="AB174" s="84">
        <f t="shared" ca="1" si="109"/>
        <v>-557.58966294967865</v>
      </c>
      <c r="AC174" s="160">
        <f t="shared" si="110"/>
        <v>0</v>
      </c>
      <c r="AD174" s="31">
        <f t="shared" ca="1" si="111"/>
        <v>46380.014403613794</v>
      </c>
      <c r="AE174" s="5"/>
      <c r="AF174" s="151">
        <f t="shared" ca="1" si="112"/>
        <v>-6234.7220095610019</v>
      </c>
      <c r="AG174" s="151">
        <f t="shared" ca="1" si="113"/>
        <v>518600.89205431321</v>
      </c>
      <c r="AH174" s="5"/>
      <c r="AI174" s="5"/>
      <c r="AS174" s="55">
        <f t="shared" si="122"/>
        <v>15</v>
      </c>
      <c r="AT174" s="56">
        <f t="shared" si="131"/>
        <v>171</v>
      </c>
      <c r="AU174" s="57">
        <f t="shared" si="137"/>
        <v>0.43414204749425667</v>
      </c>
      <c r="AV174" s="58">
        <f t="shared" si="123"/>
        <v>4.8675505653430484E-3</v>
      </c>
      <c r="AW174" s="59">
        <f t="shared" si="124"/>
        <v>1.004867550565343</v>
      </c>
      <c r="AX174" s="60">
        <f>PRODUCT(AW$4:AW174)</f>
        <v>2.2940801126032833</v>
      </c>
    </row>
    <row r="175" spans="5:50">
      <c r="E175">
        <f t="shared" si="139"/>
        <v>172</v>
      </c>
      <c r="F175" s="9">
        <f t="shared" si="126"/>
        <v>83.24999999999919</v>
      </c>
      <c r="G175" s="132">
        <f t="shared" si="102"/>
        <v>0</v>
      </c>
      <c r="H175" s="133">
        <f t="shared" si="134"/>
        <v>1</v>
      </c>
      <c r="I175" s="31">
        <f t="shared" si="115"/>
        <v>1037698.4704229758</v>
      </c>
      <c r="J175" s="31">
        <f t="shared" si="103"/>
        <v>5051.0497763629728</v>
      </c>
      <c r="K175" s="163">
        <f t="shared" si="104"/>
        <v>-20</v>
      </c>
      <c r="L175" s="163">
        <f t="shared" si="116"/>
        <v>-864.74872535247994</v>
      </c>
      <c r="M175" s="163">
        <f t="shared" si="136"/>
        <v>0</v>
      </c>
      <c r="N175" s="163">
        <f t="shared" si="117"/>
        <v>-985.81354690182718</v>
      </c>
      <c r="O175" s="84">
        <f t="shared" si="105"/>
        <v>-6234.7220095610019</v>
      </c>
      <c r="P175" s="31">
        <f t="shared" si="106"/>
        <v>1034644.2359175235</v>
      </c>
      <c r="Q175" s="5"/>
      <c r="R175">
        <f t="shared" ca="1" si="118"/>
        <v>292</v>
      </c>
      <c r="S175" s="133">
        <f t="shared" ca="1" si="119"/>
        <v>92.68</v>
      </c>
      <c r="T175" s="132">
        <f t="shared" ca="1" si="107"/>
        <v>2.5247878164765369E-2</v>
      </c>
      <c r="U175" s="133">
        <f t="shared" ca="1" si="127"/>
        <v>8.7174970470233079E-2</v>
      </c>
      <c r="V175" s="31">
        <f t="shared" ca="1" si="120"/>
        <v>45209.017450671286</v>
      </c>
      <c r="W175" s="31">
        <f t="shared" ca="1" si="108"/>
        <v>220.05717845061875</v>
      </c>
      <c r="X175" s="163">
        <f t="shared" ca="1" si="128"/>
        <v>-1.7434994094046616</v>
      </c>
      <c r="Y175" s="163">
        <f t="shared" ca="1" si="129"/>
        <v>-37.67418120889274</v>
      </c>
      <c r="Z175" s="163">
        <f t="shared" ca="1" si="121"/>
        <v>0</v>
      </c>
      <c r="AA175" s="163">
        <f t="shared" ca="1" si="130"/>
        <v>-42.948566578137729</v>
      </c>
      <c r="AB175" s="84">
        <f t="shared" ca="1" si="109"/>
        <v>-543.51170707359256</v>
      </c>
      <c r="AC175" s="160">
        <f t="shared" si="110"/>
        <v>0</v>
      </c>
      <c r="AD175" s="31">
        <f t="shared" ca="1" si="111"/>
        <v>44803.196674851868</v>
      </c>
      <c r="AE175" s="5"/>
      <c r="AF175" s="151">
        <f t="shared" ca="1" si="112"/>
        <v>-6234.7220095610019</v>
      </c>
      <c r="AG175" s="151">
        <f t="shared" ca="1" si="113"/>
        <v>513945.64785256161</v>
      </c>
      <c r="AH175" s="5"/>
      <c r="AI175" s="5"/>
      <c r="AS175" s="55">
        <f t="shared" si="122"/>
        <v>15</v>
      </c>
      <c r="AT175" s="56">
        <f t="shared" si="131"/>
        <v>172</v>
      </c>
      <c r="AU175" s="57">
        <f t="shared" si="137"/>
        <v>0.4320288391255368</v>
      </c>
      <c r="AV175" s="58">
        <f t="shared" si="123"/>
        <v>4.8675505653430484E-3</v>
      </c>
      <c r="AW175" s="59">
        <f t="shared" si="124"/>
        <v>1.004867550565343</v>
      </c>
      <c r="AX175" s="60">
        <f>PRODUCT(AW$4:AW175)</f>
        <v>2.3052466635523277</v>
      </c>
    </row>
    <row r="176" spans="5:50">
      <c r="E176">
        <f t="shared" si="139"/>
        <v>173</v>
      </c>
      <c r="F176" s="9">
        <f t="shared" si="126"/>
        <v>83.333333333332519</v>
      </c>
      <c r="G176" s="132">
        <f t="shared" si="102"/>
        <v>0</v>
      </c>
      <c r="H176" s="133">
        <f t="shared" si="134"/>
        <v>1</v>
      </c>
      <c r="I176" s="31">
        <f t="shared" si="115"/>
        <v>1034644.2359175235</v>
      </c>
      <c r="J176" s="31">
        <f t="shared" si="103"/>
        <v>5036.1831354692677</v>
      </c>
      <c r="K176" s="163">
        <f t="shared" si="104"/>
        <v>-20</v>
      </c>
      <c r="L176" s="163">
        <f t="shared" si="116"/>
        <v>-862.2035299312696</v>
      </c>
      <c r="M176" s="163">
        <f t="shared" si="136"/>
        <v>0</v>
      </c>
      <c r="N176" s="163">
        <f t="shared" si="117"/>
        <v>-982.91202412164751</v>
      </c>
      <c r="O176" s="84">
        <f t="shared" si="105"/>
        <v>-6234.7220095610019</v>
      </c>
      <c r="P176" s="31">
        <f t="shared" si="106"/>
        <v>1031580.5814893788</v>
      </c>
      <c r="Q176" s="5"/>
      <c r="R176">
        <f t="shared" ca="1" si="118"/>
        <v>293</v>
      </c>
      <c r="S176" s="133">
        <f t="shared" ca="1" si="119"/>
        <v>92.76</v>
      </c>
      <c r="T176" s="132">
        <f t="shared" ca="1" si="107"/>
        <v>2.5247878164765369E-2</v>
      </c>
      <c r="U176" s="133">
        <f t="shared" ca="1" si="127"/>
        <v>8.497398743678361E-2</v>
      </c>
      <c r="V176" s="31">
        <f t="shared" ca="1" si="120"/>
        <v>43672.011023813189</v>
      </c>
      <c r="W176" s="31">
        <f t="shared" ca="1" si="108"/>
        <v>212.57572194862973</v>
      </c>
      <c r="X176" s="163">
        <f t="shared" ca="1" si="128"/>
        <v>-1.6994797487356723</v>
      </c>
      <c r="Y176" s="163">
        <f t="shared" ca="1" si="129"/>
        <v>-36.393342519844325</v>
      </c>
      <c r="Z176" s="163">
        <f t="shared" ca="1" si="121"/>
        <v>0</v>
      </c>
      <c r="AA176" s="163">
        <f t="shared" ca="1" si="130"/>
        <v>-41.48841047262254</v>
      </c>
      <c r="AB176" s="84">
        <f t="shared" ca="1" si="109"/>
        <v>-529.78918971227483</v>
      </c>
      <c r="AC176" s="160">
        <f t="shared" si="110"/>
        <v>0</v>
      </c>
      <c r="AD176" s="31">
        <f t="shared" ca="1" si="111"/>
        <v>43275.216323308348</v>
      </c>
      <c r="AE176" s="5"/>
      <c r="AF176" s="151">
        <f t="shared" ca="1" si="112"/>
        <v>-6234.7220095610019</v>
      </c>
      <c r="AG176" s="151">
        <f t="shared" ca="1" si="113"/>
        <v>509276.04586642404</v>
      </c>
      <c r="AH176" s="5"/>
      <c r="AI176" s="5"/>
      <c r="AS176" s="55">
        <f t="shared" si="122"/>
        <v>15</v>
      </c>
      <c r="AT176" s="56">
        <f t="shared" si="131"/>
        <v>173</v>
      </c>
      <c r="AU176" s="57">
        <f t="shared" si="137"/>
        <v>0.42992591690540677</v>
      </c>
      <c r="AV176" s="58">
        <f t="shared" si="123"/>
        <v>4.8675505653430484E-3</v>
      </c>
      <c r="AW176" s="59">
        <f t="shared" si="124"/>
        <v>1.004867550565343</v>
      </c>
      <c r="AX176" s="60">
        <f>PRODUCT(AW$4:AW176)</f>
        <v>2.3164675682527571</v>
      </c>
    </row>
    <row r="177" spans="5:50">
      <c r="E177">
        <f t="shared" si="139"/>
        <v>174</v>
      </c>
      <c r="F177" s="9">
        <f t="shared" si="126"/>
        <v>83.416666666665847</v>
      </c>
      <c r="G177" s="132">
        <f t="shared" si="102"/>
        <v>0</v>
      </c>
      <c r="H177" s="133">
        <f t="shared" si="134"/>
        <v>1</v>
      </c>
      <c r="I177" s="31">
        <f t="shared" si="115"/>
        <v>1031580.5814893788</v>
      </c>
      <c r="J177" s="31">
        <f t="shared" si="103"/>
        <v>5021.2706426255363</v>
      </c>
      <c r="K177" s="163">
        <f t="shared" si="104"/>
        <v>-20</v>
      </c>
      <c r="L177" s="163">
        <f t="shared" si="116"/>
        <v>-859.65048457448245</v>
      </c>
      <c r="M177" s="163">
        <f t="shared" si="136"/>
        <v>0</v>
      </c>
      <c r="N177" s="163">
        <f t="shared" si="117"/>
        <v>-980.00155241490995</v>
      </c>
      <c r="O177" s="84">
        <f t="shared" si="105"/>
        <v>-6234.7220095610019</v>
      </c>
      <c r="P177" s="31">
        <f t="shared" si="106"/>
        <v>1028507.4780854539</v>
      </c>
      <c r="Q177" s="5"/>
      <c r="R177">
        <f t="shared" ca="1" si="118"/>
        <v>294</v>
      </c>
      <c r="S177" s="133">
        <f t="shared" ca="1" si="119"/>
        <v>92.84</v>
      </c>
      <c r="T177" s="132">
        <f t="shared" ca="1" si="107"/>
        <v>2.5247878164765369E-2</v>
      </c>
      <c r="U177" s="133">
        <f t="shared" ca="1" si="127"/>
        <v>8.2828574554805398E-2</v>
      </c>
      <c r="V177" s="31">
        <f t="shared" ca="1" si="120"/>
        <v>42182.608934023592</v>
      </c>
      <c r="W177" s="31">
        <f t="shared" ca="1" si="108"/>
        <v>205.32598196445127</v>
      </c>
      <c r="X177" s="163">
        <f t="shared" ca="1" si="128"/>
        <v>-1.656571491096108</v>
      </c>
      <c r="Y177" s="163">
        <f t="shared" ca="1" si="129"/>
        <v>-35.152174111686328</v>
      </c>
      <c r="Z177" s="163">
        <f t="shared" ca="1" si="121"/>
        <v>0</v>
      </c>
      <c r="AA177" s="163">
        <f t="shared" ca="1" si="130"/>
        <v>-40.073478487322419</v>
      </c>
      <c r="AB177" s="84">
        <f t="shared" ca="1" si="109"/>
        <v>-516.41313679740949</v>
      </c>
      <c r="AC177" s="160">
        <f t="shared" si="110"/>
        <v>0</v>
      </c>
      <c r="AD177" s="31">
        <f t="shared" ca="1" si="111"/>
        <v>41794.639555100526</v>
      </c>
      <c r="AE177" s="5"/>
      <c r="AF177" s="151">
        <f t="shared" ca="1" si="112"/>
        <v>-6234.722009561001</v>
      </c>
      <c r="AG177" s="151">
        <f t="shared" ca="1" si="113"/>
        <v>504592.04181337391</v>
      </c>
      <c r="AH177" s="5"/>
      <c r="AI177" s="5"/>
      <c r="AS177" s="55">
        <f t="shared" si="122"/>
        <v>15</v>
      </c>
      <c r="AT177" s="56">
        <f t="shared" si="131"/>
        <v>174</v>
      </c>
      <c r="AU177" s="57">
        <f t="shared" si="137"/>
        <v>0.42783323076551821</v>
      </c>
      <c r="AV177" s="58">
        <f t="shared" si="123"/>
        <v>4.8675505653430484E-3</v>
      </c>
      <c r="AW177" s="59">
        <f t="shared" si="124"/>
        <v>1.004867550565343</v>
      </c>
      <c r="AX177" s="60">
        <f>PRODUCT(AW$4:AW177)</f>
        <v>2.3277430912742045</v>
      </c>
    </row>
    <row r="178" spans="5:50">
      <c r="E178">
        <f t="shared" si="139"/>
        <v>175</v>
      </c>
      <c r="F178" s="9">
        <f t="shared" si="126"/>
        <v>83.499999999999176</v>
      </c>
      <c r="G178" s="132">
        <f t="shared" si="102"/>
        <v>0</v>
      </c>
      <c r="H178" s="133">
        <f t="shared" si="134"/>
        <v>1</v>
      </c>
      <c r="I178" s="31">
        <f t="shared" si="115"/>
        <v>1028507.4780854539</v>
      </c>
      <c r="J178" s="31">
        <f t="shared" si="103"/>
        <v>5006.3121564144039</v>
      </c>
      <c r="K178" s="163">
        <f t="shared" si="104"/>
        <v>-20</v>
      </c>
      <c r="L178" s="163">
        <f t="shared" si="116"/>
        <v>-857.08956507121161</v>
      </c>
      <c r="M178" s="163">
        <f t="shared" si="136"/>
        <v>0</v>
      </c>
      <c r="N178" s="163">
        <f t="shared" si="117"/>
        <v>-977.08210418118142</v>
      </c>
      <c r="O178" s="84">
        <f t="shared" si="105"/>
        <v>-6234.7220095610019</v>
      </c>
      <c r="P178" s="31">
        <f t="shared" si="106"/>
        <v>1025424.8965630549</v>
      </c>
      <c r="Q178" s="5"/>
      <c r="R178">
        <f t="shared" ca="1" si="118"/>
        <v>295</v>
      </c>
      <c r="S178" s="133">
        <f t="shared" ca="1" si="119"/>
        <v>92.92</v>
      </c>
      <c r="T178" s="132">
        <f t="shared" ca="1" si="107"/>
        <v>2.5247878164765369E-2</v>
      </c>
      <c r="U178" s="133">
        <f t="shared" ca="1" si="127"/>
        <v>8.073732879588448E-2</v>
      </c>
      <c r="V178" s="31">
        <f t="shared" ca="1" si="120"/>
        <v>40739.413587673065</v>
      </c>
      <c r="W178" s="31">
        <f t="shared" ca="1" si="108"/>
        <v>198.30115564042231</v>
      </c>
      <c r="X178" s="163">
        <f t="shared" ca="1" si="128"/>
        <v>-1.6147465759176896</v>
      </c>
      <c r="Y178" s="163">
        <f t="shared" ca="1" si="129"/>
        <v>-33.949511323060889</v>
      </c>
      <c r="Z178" s="163">
        <f t="shared" ca="1" si="121"/>
        <v>0</v>
      </c>
      <c r="AA178" s="163">
        <f t="shared" ca="1" si="130"/>
        <v>-38.70244290828942</v>
      </c>
      <c r="AB178" s="84">
        <f t="shared" ca="1" si="109"/>
        <v>-503.37480083686415</v>
      </c>
      <c r="AC178" s="160">
        <f t="shared" si="110"/>
        <v>0</v>
      </c>
      <c r="AD178" s="31">
        <f t="shared" ca="1" si="111"/>
        <v>40360.073241669357</v>
      </c>
      <c r="AE178" s="5"/>
      <c r="AF178" s="151">
        <f t="shared" ca="1" si="112"/>
        <v>-6234.722009561001</v>
      </c>
      <c r="AG178" s="151">
        <f t="shared" ca="1" si="113"/>
        <v>499893.5912743088</v>
      </c>
      <c r="AH178" s="5"/>
      <c r="AI178" s="5"/>
      <c r="AS178" s="55">
        <f t="shared" si="122"/>
        <v>15</v>
      </c>
      <c r="AT178" s="56">
        <f t="shared" si="131"/>
        <v>175</v>
      </c>
      <c r="AU178" s="57">
        <f t="shared" si="137"/>
        <v>0.425750730881233</v>
      </c>
      <c r="AV178" s="58">
        <f t="shared" si="123"/>
        <v>4.8675505653430484E-3</v>
      </c>
      <c r="AW178" s="59">
        <f t="shared" si="124"/>
        <v>1.004867550565343</v>
      </c>
      <c r="AX178" s="60">
        <f>PRODUCT(AW$4:AW178)</f>
        <v>2.3390734984741095</v>
      </c>
    </row>
    <row r="179" spans="5:50">
      <c r="E179">
        <f t="shared" si="139"/>
        <v>176</v>
      </c>
      <c r="F179" s="9">
        <f t="shared" si="126"/>
        <v>83.583333333332504</v>
      </c>
      <c r="G179" s="132">
        <f t="shared" si="102"/>
        <v>0</v>
      </c>
      <c r="H179" s="133">
        <f t="shared" si="134"/>
        <v>1</v>
      </c>
      <c r="I179" s="31">
        <f t="shared" si="115"/>
        <v>1025424.8965630549</v>
      </c>
      <c r="J179" s="31">
        <f t="shared" si="103"/>
        <v>4991.3075349823348</v>
      </c>
      <c r="K179" s="163">
        <f t="shared" si="104"/>
        <v>-20</v>
      </c>
      <c r="L179" s="163">
        <f t="shared" si="116"/>
        <v>-854.52074713587911</v>
      </c>
      <c r="M179" s="163">
        <f t="shared" si="136"/>
        <v>0</v>
      </c>
      <c r="N179" s="163">
        <f t="shared" si="117"/>
        <v>-974.15365173490227</v>
      </c>
      <c r="O179" s="84">
        <f t="shared" si="105"/>
        <v>-6234.7220095610019</v>
      </c>
      <c r="P179" s="31">
        <f t="shared" si="106"/>
        <v>1022332.8076896054</v>
      </c>
      <c r="Q179" s="5"/>
      <c r="R179">
        <f t="shared" ca="1" si="118"/>
        <v>296</v>
      </c>
      <c r="S179" s="133">
        <f t="shared" ca="1" si="119"/>
        <v>93</v>
      </c>
      <c r="T179" s="132">
        <f t="shared" ca="1" si="107"/>
        <v>2.5247878164765369E-2</v>
      </c>
      <c r="U179" s="133">
        <f t="shared" ca="1" si="127"/>
        <v>7.8698882555097383E-2</v>
      </c>
      <c r="V179" s="31">
        <f t="shared" ca="1" si="120"/>
        <v>39341.067029742684</v>
      </c>
      <c r="W179" s="31">
        <f t="shared" ca="1" si="108"/>
        <v>191.49463306182275</v>
      </c>
      <c r="X179" s="163">
        <f t="shared" ca="1" si="128"/>
        <v>-1.5739776511019477</v>
      </c>
      <c r="Y179" s="163">
        <f t="shared" ca="1" si="129"/>
        <v>-32.784222524785569</v>
      </c>
      <c r="Z179" s="163">
        <f t="shared" ca="1" si="121"/>
        <v>0</v>
      </c>
      <c r="AA179" s="163">
        <f t="shared" ca="1" si="130"/>
        <v>-37.374013678255558</v>
      </c>
      <c r="AB179" s="84">
        <f t="shared" ca="1" si="109"/>
        <v>-490.66565519412205</v>
      </c>
      <c r="AC179" s="160">
        <f t="shared" si="110"/>
        <v>0</v>
      </c>
      <c r="AD179" s="31">
        <f t="shared" ca="1" si="111"/>
        <v>38970.163793756241</v>
      </c>
      <c r="AE179" s="5"/>
      <c r="AF179" s="151">
        <f t="shared" ca="1" si="112"/>
        <v>-6234.7220095610019</v>
      </c>
      <c r="AG179" s="151">
        <f t="shared" ca="1" si="113"/>
        <v>495180.64969312726</v>
      </c>
      <c r="AH179" s="5"/>
      <c r="AI179" s="5"/>
      <c r="AS179" s="55">
        <f t="shared" si="122"/>
        <v>15</v>
      </c>
      <c r="AT179" s="56">
        <f t="shared" si="131"/>
        <v>176</v>
      </c>
      <c r="AU179" s="57">
        <f t="shared" si="137"/>
        <v>0.42367836767043682</v>
      </c>
      <c r="AV179" s="58">
        <f t="shared" si="123"/>
        <v>4.8675505653430484E-3</v>
      </c>
      <c r="AW179" s="59">
        <f t="shared" si="124"/>
        <v>1.004867550565343</v>
      </c>
      <c r="AX179" s="60">
        <f>PRODUCT(AW$4:AW179)</f>
        <v>2.3504590570039863</v>
      </c>
    </row>
    <row r="180" spans="5:50">
      <c r="E180">
        <f t="shared" si="139"/>
        <v>177</v>
      </c>
      <c r="F180" s="9">
        <f t="shared" si="126"/>
        <v>83.666666666665833</v>
      </c>
      <c r="G180" s="132">
        <f t="shared" si="102"/>
        <v>0</v>
      </c>
      <c r="H180" s="133">
        <f t="shared" si="134"/>
        <v>1</v>
      </c>
      <c r="I180" s="31">
        <f t="shared" si="115"/>
        <v>1022332.8076896054</v>
      </c>
      <c r="J180" s="31">
        <f t="shared" si="103"/>
        <v>4976.2566360382843</v>
      </c>
      <c r="K180" s="163">
        <f t="shared" si="104"/>
        <v>-20</v>
      </c>
      <c r="L180" s="163">
        <f t="shared" si="116"/>
        <v>-851.9440064080045</v>
      </c>
      <c r="M180" s="163">
        <f t="shared" si="136"/>
        <v>0</v>
      </c>
      <c r="N180" s="163">
        <f t="shared" si="117"/>
        <v>-971.2161673051254</v>
      </c>
      <c r="O180" s="84">
        <f t="shared" si="105"/>
        <v>-6234.7220095610019</v>
      </c>
      <c r="P180" s="31">
        <f t="shared" si="106"/>
        <v>1019231.1821423696</v>
      </c>
      <c r="Q180" s="5"/>
      <c r="R180">
        <f t="shared" ca="1" si="118"/>
        <v>297</v>
      </c>
      <c r="S180" s="133">
        <f t="shared" ca="1" si="119"/>
        <v>93.08</v>
      </c>
      <c r="T180" s="132">
        <f t="shared" ca="1" si="107"/>
        <v>2.5247878164765369E-2</v>
      </c>
      <c r="U180" s="133">
        <f t="shared" ca="1" si="127"/>
        <v>7.6711902756643108E-2</v>
      </c>
      <c r="V180" s="31">
        <f t="shared" ca="1" si="120"/>
        <v>37986.24984623053</v>
      </c>
      <c r="W180" s="31">
        <f t="shared" ca="1" si="108"/>
        <v>184.89999191428171</v>
      </c>
      <c r="X180" s="163">
        <f t="shared" ca="1" si="128"/>
        <v>-1.534238055132862</v>
      </c>
      <c r="Y180" s="163">
        <f t="shared" ca="1" si="129"/>
        <v>-31.65520820519211</v>
      </c>
      <c r="Z180" s="163">
        <f t="shared" ca="1" si="121"/>
        <v>0</v>
      </c>
      <c r="AA180" s="163">
        <f t="shared" ca="1" si="130"/>
        <v>-36.086937353919012</v>
      </c>
      <c r="AB180" s="84">
        <f t="shared" ca="1" si="109"/>
        <v>-478.27738851214605</v>
      </c>
      <c r="AC180" s="160">
        <f t="shared" si="110"/>
        <v>0</v>
      </c>
      <c r="AD180" s="31">
        <f t="shared" ca="1" si="111"/>
        <v>37623.596066018421</v>
      </c>
      <c r="AE180" s="5"/>
      <c r="AF180" s="151">
        <f t="shared" ca="1" si="112"/>
        <v>-6234.7220095610019</v>
      </c>
      <c r="AG180" s="151">
        <f t="shared" ca="1" si="113"/>
        <v>490453.17237630748</v>
      </c>
      <c r="AH180" s="5"/>
      <c r="AI180" s="5"/>
      <c r="AS180" s="55">
        <f t="shared" si="122"/>
        <v>15</v>
      </c>
      <c r="AT180" s="56">
        <f t="shared" si="131"/>
        <v>177</v>
      </c>
      <c r="AU180" s="57">
        <f t="shared" si="137"/>
        <v>0.42161609179235898</v>
      </c>
      <c r="AV180" s="58">
        <f t="shared" si="123"/>
        <v>4.8675505653430484E-3</v>
      </c>
      <c r="AW180" s="59">
        <f t="shared" si="124"/>
        <v>1.004867550565343</v>
      </c>
      <c r="AX180" s="60">
        <f>PRODUCT(AW$4:AW180)</f>
        <v>2.3619000353157218</v>
      </c>
    </row>
    <row r="181" spans="5:50">
      <c r="E181">
        <f t="shared" si="139"/>
        <v>178</v>
      </c>
      <c r="F181" s="9">
        <f t="shared" si="126"/>
        <v>83.749999999999162</v>
      </c>
      <c r="G181" s="132">
        <f t="shared" si="102"/>
        <v>0</v>
      </c>
      <c r="H181" s="133">
        <f t="shared" si="134"/>
        <v>1</v>
      </c>
      <c r="I181" s="31">
        <f t="shared" si="115"/>
        <v>1019231.1821423696</v>
      </c>
      <c r="J181" s="31">
        <f t="shared" si="103"/>
        <v>4961.1593168523541</v>
      </c>
      <c r="K181" s="163">
        <f t="shared" si="104"/>
        <v>-20</v>
      </c>
      <c r="L181" s="163">
        <f t="shared" si="116"/>
        <v>-849.35931845197467</v>
      </c>
      <c r="M181" s="163">
        <f t="shared" si="136"/>
        <v>0</v>
      </c>
      <c r="N181" s="163">
        <f t="shared" si="117"/>
        <v>-968.26962303525124</v>
      </c>
      <c r="O181" s="84">
        <f t="shared" si="105"/>
        <v>-6234.7220095610019</v>
      </c>
      <c r="P181" s="31">
        <f t="shared" si="106"/>
        <v>1016119.9905081737</v>
      </c>
      <c r="Q181" s="5"/>
      <c r="R181">
        <f t="shared" ca="1" si="118"/>
        <v>298</v>
      </c>
      <c r="S181" s="133">
        <f t="shared" ca="1" si="119"/>
        <v>93.16</v>
      </c>
      <c r="T181" s="132">
        <f t="shared" ca="1" si="107"/>
        <v>2.5247878164765369E-2</v>
      </c>
      <c r="U181" s="133">
        <f t="shared" ca="1" si="127"/>
        <v>7.4775089982056051E-2</v>
      </c>
      <c r="V181" s="31">
        <f t="shared" ca="1" si="120"/>
        <v>36673.680096423239</v>
      </c>
      <c r="W181" s="31">
        <f t="shared" ca="1" si="108"/>
        <v>178.51099228655505</v>
      </c>
      <c r="X181" s="163">
        <f t="shared" ca="1" si="128"/>
        <v>-1.4955017996411211</v>
      </c>
      <c r="Y181" s="163">
        <f t="shared" ca="1" si="129"/>
        <v>-30.561400080352701</v>
      </c>
      <c r="Z181" s="163">
        <f t="shared" ca="1" si="121"/>
        <v>0</v>
      </c>
      <c r="AA181" s="163">
        <f t="shared" ca="1" si="130"/>
        <v>-34.839996091602082</v>
      </c>
      <c r="AB181" s="84">
        <f t="shared" ca="1" si="109"/>
        <v>-466.2018992780292</v>
      </c>
      <c r="AC181" s="160">
        <f t="shared" si="110"/>
        <v>0</v>
      </c>
      <c r="AD181" s="31">
        <f t="shared" ca="1" si="111"/>
        <v>36319.092291460169</v>
      </c>
      <c r="AE181" s="5"/>
      <c r="AF181" s="151">
        <f t="shared" ca="1" si="112"/>
        <v>-6234.722009561001</v>
      </c>
      <c r="AG181" s="151">
        <f t="shared" ca="1" si="113"/>
        <v>485711.11449248332</v>
      </c>
      <c r="AH181" s="5"/>
      <c r="AI181" s="5"/>
      <c r="AS181" s="55">
        <f t="shared" si="122"/>
        <v>15</v>
      </c>
      <c r="AT181" s="56">
        <f t="shared" si="131"/>
        <v>178</v>
      </c>
      <c r="AU181" s="57">
        <f t="shared" si="137"/>
        <v>0.41956385414639735</v>
      </c>
      <c r="AV181" s="58">
        <f t="shared" si="123"/>
        <v>4.8675505653430484E-3</v>
      </c>
      <c r="AW181" s="59">
        <f t="shared" si="124"/>
        <v>1.004867550565343</v>
      </c>
      <c r="AX181" s="60">
        <f>PRODUCT(AW$4:AW181)</f>
        <v>2.3733967031679066</v>
      </c>
    </row>
    <row r="182" spans="5:50">
      <c r="E182">
        <f t="shared" si="139"/>
        <v>179</v>
      </c>
      <c r="F182" s="9">
        <f t="shared" si="126"/>
        <v>83.83333333333249</v>
      </c>
      <c r="G182" s="132">
        <f t="shared" si="102"/>
        <v>0</v>
      </c>
      <c r="H182" s="133">
        <f t="shared" si="134"/>
        <v>1</v>
      </c>
      <c r="I182" s="31">
        <f t="shared" si="115"/>
        <v>1016119.9905081737</v>
      </c>
      <c r="J182" s="31">
        <f t="shared" si="103"/>
        <v>4946.0154342544338</v>
      </c>
      <c r="K182" s="163">
        <f t="shared" si="104"/>
        <v>-20</v>
      </c>
      <c r="L182" s="163">
        <f t="shared" si="116"/>
        <v>-846.76665875681147</v>
      </c>
      <c r="M182" s="163">
        <f t="shared" si="136"/>
        <v>0</v>
      </c>
      <c r="N182" s="163">
        <f t="shared" si="117"/>
        <v>-965.31399098276518</v>
      </c>
      <c r="O182" s="84">
        <f t="shared" si="105"/>
        <v>-6234.7220095610019</v>
      </c>
      <c r="P182" s="31">
        <f t="shared" si="106"/>
        <v>1012999.2032831276</v>
      </c>
      <c r="Q182" s="5"/>
      <c r="R182">
        <f t="shared" ca="1" si="118"/>
        <v>299</v>
      </c>
      <c r="S182" s="133">
        <f t="shared" ca="1" si="119"/>
        <v>93.24</v>
      </c>
      <c r="T182" s="132">
        <f t="shared" ca="1" si="107"/>
        <v>2.5247878164765369E-2</v>
      </c>
      <c r="U182" s="133">
        <f t="shared" ca="1" si="127"/>
        <v>7.2887177620429733E-2</v>
      </c>
      <c r="V182" s="31">
        <f t="shared" ca="1" si="120"/>
        <v>35402.112274230516</v>
      </c>
      <c r="W182" s="31">
        <f t="shared" ca="1" si="108"/>
        <v>172.32157161476883</v>
      </c>
      <c r="X182" s="163">
        <f t="shared" ca="1" si="128"/>
        <v>-1.4577435524085947</v>
      </c>
      <c r="Y182" s="163">
        <f t="shared" ca="1" si="129"/>
        <v>-29.501760228525431</v>
      </c>
      <c r="Z182" s="163">
        <f t="shared" ca="1" si="121"/>
        <v>0</v>
      </c>
      <c r="AA182" s="163">
        <f t="shared" ca="1" si="130"/>
        <v>-33.632006660518996</v>
      </c>
      <c r="AB182" s="84">
        <f t="shared" ca="1" si="109"/>
        <v>-454.43129052487529</v>
      </c>
      <c r="AC182" s="160">
        <f t="shared" si="110"/>
        <v>0</v>
      </c>
      <c r="AD182" s="31">
        <f t="shared" ca="1" si="111"/>
        <v>35055.411044878958</v>
      </c>
      <c r="AE182" s="5"/>
      <c r="AF182" s="151">
        <f t="shared" ca="1" si="112"/>
        <v>-6234.722009561001</v>
      </c>
      <c r="AG182" s="151">
        <f t="shared" ca="1" si="113"/>
        <v>480954.43107201875</v>
      </c>
      <c r="AH182" s="5"/>
      <c r="AI182" s="5"/>
      <c r="AS182" s="55">
        <f t="shared" si="122"/>
        <v>15</v>
      </c>
      <c r="AT182" s="56">
        <f t="shared" si="131"/>
        <v>179</v>
      </c>
      <c r="AU182" s="57">
        <f t="shared" si="137"/>
        <v>0.41752160587094955</v>
      </c>
      <c r="AV182" s="58">
        <f t="shared" si="123"/>
        <v>4.8675505653430484E-3</v>
      </c>
      <c r="AW182" s="59">
        <f t="shared" si="124"/>
        <v>1.004867550565343</v>
      </c>
      <c r="AX182" s="60">
        <f>PRODUCT(AW$4:AW182)</f>
        <v>2.3849493316321948</v>
      </c>
    </row>
    <row r="183" spans="5:50">
      <c r="E183">
        <f t="shared" si="139"/>
        <v>180</v>
      </c>
      <c r="F183" s="9">
        <f t="shared" si="126"/>
        <v>83.916666666665819</v>
      </c>
      <c r="G183" s="132">
        <f t="shared" si="102"/>
        <v>0</v>
      </c>
      <c r="H183" s="133">
        <f t="shared" si="134"/>
        <v>1</v>
      </c>
      <c r="I183" s="31">
        <f t="shared" si="115"/>
        <v>1012999.2032831276</v>
      </c>
      <c r="J183" s="31">
        <f t="shared" si="103"/>
        <v>4930.8248446328453</v>
      </c>
      <c r="K183" s="163">
        <f t="shared" si="104"/>
        <v>-20</v>
      </c>
      <c r="L183" s="163">
        <f t="shared" si="116"/>
        <v>-844.16600273593974</v>
      </c>
      <c r="M183" s="163">
        <f t="shared" si="136"/>
        <v>0</v>
      </c>
      <c r="N183" s="163">
        <f t="shared" si="117"/>
        <v>-962.34924311897146</v>
      </c>
      <c r="O183" s="84">
        <f t="shared" si="105"/>
        <v>-6234.7220095610019</v>
      </c>
      <c r="P183" s="31">
        <f t="shared" si="106"/>
        <v>1009868.7908723445</v>
      </c>
      <c r="Q183" s="5"/>
      <c r="R183">
        <f t="shared" ca="1" si="118"/>
        <v>300</v>
      </c>
      <c r="S183" s="133">
        <f t="shared" ca="1" si="119"/>
        <v>93.32</v>
      </c>
      <c r="T183" s="132">
        <f t="shared" ca="1" si="107"/>
        <v>2.5247878164765369E-2</v>
      </c>
      <c r="U183" s="133">
        <f t="shared" ca="1" si="127"/>
        <v>7.1046931040095504E-2</v>
      </c>
      <c r="V183" s="31">
        <f t="shared" ca="1" si="120"/>
        <v>34170.336297802081</v>
      </c>
      <c r="W183" s="31">
        <f t="shared" ca="1" si="108"/>
        <v>166.32583976432861</v>
      </c>
      <c r="X183" s="163">
        <f t="shared" ca="1" si="128"/>
        <v>-1.4209386208019101</v>
      </c>
      <c r="Y183" s="163">
        <f t="shared" ca="1" si="129"/>
        <v>-28.475280248168403</v>
      </c>
      <c r="Z183" s="163">
        <f t="shared" ca="1" si="121"/>
        <v>-256.27752223351558</v>
      </c>
      <c r="AA183" s="163">
        <f t="shared" ca="1" si="130"/>
        <v>-32.461819482911984</v>
      </c>
      <c r="AB183" s="84">
        <f t="shared" ca="1" si="109"/>
        <v>-442.95786466744613</v>
      </c>
      <c r="AC183" s="160">
        <f t="shared" si="110"/>
        <v>0</v>
      </c>
      <c r="AD183" s="31">
        <f t="shared" ca="1" si="111"/>
        <v>33575.068712313565</v>
      </c>
      <c r="AE183" s="5"/>
      <c r="AF183" s="151">
        <f t="shared" ca="1" si="112"/>
        <v>-6234.7220095610019</v>
      </c>
      <c r="AG183" s="151">
        <f t="shared" ca="1" si="113"/>
        <v>472575.91877354134</v>
      </c>
      <c r="AH183" s="5"/>
      <c r="AI183" s="5"/>
      <c r="AS183" s="55">
        <f t="shared" si="122"/>
        <v>15</v>
      </c>
      <c r="AT183" s="56">
        <f t="shared" si="131"/>
        <v>180</v>
      </c>
      <c r="AU183" s="57">
        <f t="shared" si="137"/>
        <v>0.41548929834224946</v>
      </c>
      <c r="AV183" s="58">
        <f t="shared" si="123"/>
        <v>4.8675505653430484E-3</v>
      </c>
      <c r="AW183" s="59">
        <f t="shared" si="124"/>
        <v>1.004867550565343</v>
      </c>
      <c r="AX183" s="60">
        <f>PRODUCT(AW$4:AW183)</f>
        <v>2.3965581930996955</v>
      </c>
    </row>
    <row r="184" spans="5:50">
      <c r="E184">
        <f t="shared" si="139"/>
        <v>181</v>
      </c>
      <c r="F184" s="9">
        <f t="shared" si="126"/>
        <v>83.999999999999147</v>
      </c>
      <c r="G184" s="132">
        <f t="shared" si="102"/>
        <v>0</v>
      </c>
      <c r="H184" s="133">
        <f t="shared" si="134"/>
        <v>1</v>
      </c>
      <c r="I184" s="31">
        <f t="shared" si="115"/>
        <v>1009868.7908723445</v>
      </c>
      <c r="J184" s="31">
        <f t="shared" si="103"/>
        <v>4915.587403932981</v>
      </c>
      <c r="K184" s="163">
        <f t="shared" si="104"/>
        <v>-20</v>
      </c>
      <c r="L184" s="163">
        <f t="shared" si="116"/>
        <v>-841.55732572695376</v>
      </c>
      <c r="M184" s="163">
        <f t="shared" si="136"/>
        <v>-7574.0159315425835</v>
      </c>
      <c r="N184" s="163">
        <f t="shared" si="117"/>
        <v>-959.37535132872745</v>
      </c>
      <c r="O184" s="84">
        <f t="shared" si="105"/>
        <v>-6234.7220095610019</v>
      </c>
      <c r="P184" s="31">
        <f t="shared" si="106"/>
        <v>999154.7076581181</v>
      </c>
      <c r="Q184" s="5"/>
      <c r="R184">
        <f t="shared" ca="1" si="118"/>
        <v>301</v>
      </c>
      <c r="S184" s="133">
        <f t="shared" ca="1" si="119"/>
        <v>93.4</v>
      </c>
      <c r="T184" s="132">
        <f t="shared" ca="1" si="107"/>
        <v>2.5247878164765369E-2</v>
      </c>
      <c r="U184" s="133">
        <f t="shared" ca="1" si="127"/>
        <v>6.9253146781214692E-2</v>
      </c>
      <c r="V184" s="31">
        <f t="shared" ca="1" si="120"/>
        <v>32727.369468091445</v>
      </c>
      <c r="W184" s="31">
        <f t="shared" ca="1" si="108"/>
        <v>159.30212575659934</v>
      </c>
      <c r="X184" s="163">
        <f t="shared" ca="1" si="128"/>
        <v>-1.3850629356242938</v>
      </c>
      <c r="Y184" s="163">
        <f t="shared" ca="1" si="129"/>
        <v>-27.272807890076205</v>
      </c>
      <c r="Z184" s="163">
        <f t="shared" ca="1" si="121"/>
        <v>0</v>
      </c>
      <c r="AA184" s="163">
        <f t="shared" ca="1" si="130"/>
        <v>-31.09100099468688</v>
      </c>
      <c r="AB184" s="84">
        <f t="shared" ca="1" si="109"/>
        <v>-431.77411846819786</v>
      </c>
      <c r="AC184" s="160">
        <f t="shared" si="110"/>
        <v>0</v>
      </c>
      <c r="AD184" s="31">
        <f t="shared" ca="1" si="111"/>
        <v>32395.148603559453</v>
      </c>
      <c r="AE184" s="5"/>
      <c r="AF184" s="151">
        <f t="shared" ca="1" si="112"/>
        <v>-6234.722009561001</v>
      </c>
      <c r="AG184" s="151">
        <f t="shared" ca="1" si="113"/>
        <v>467778.72355609434</v>
      </c>
      <c r="AH184" s="5"/>
      <c r="AI184" s="5"/>
      <c r="AS184" s="55">
        <f t="shared" si="122"/>
        <v>16</v>
      </c>
      <c r="AT184" s="56">
        <f t="shared" si="131"/>
        <v>181</v>
      </c>
      <c r="AU184" s="57">
        <f t="shared" si="137"/>
        <v>0.41346688317320968</v>
      </c>
      <c r="AV184" s="58">
        <f t="shared" si="123"/>
        <v>4.8675505653430484E-3</v>
      </c>
      <c r="AW184" s="59">
        <f t="shared" si="124"/>
        <v>1.004867550565343</v>
      </c>
      <c r="AX184" s="60">
        <f>PRODUCT(AW$4:AW184)</f>
        <v>2.4082235612873957</v>
      </c>
    </row>
    <row r="185" spans="5:50">
      <c r="E185">
        <f t="shared" si="139"/>
        <v>182</v>
      </c>
      <c r="F185" s="9">
        <f t="shared" si="126"/>
        <v>84.083333333332476</v>
      </c>
      <c r="G185" s="132">
        <f t="shared" si="102"/>
        <v>0</v>
      </c>
      <c r="H185" s="133">
        <f t="shared" si="134"/>
        <v>1</v>
      </c>
      <c r="I185" s="31">
        <f t="shared" si="115"/>
        <v>999154.7076581181</v>
      </c>
      <c r="J185" s="31">
        <f t="shared" si="103"/>
        <v>4863.4360621264414</v>
      </c>
      <c r="K185" s="163">
        <f t="shared" si="104"/>
        <v>-20</v>
      </c>
      <c r="L185" s="163">
        <f t="shared" si="116"/>
        <v>-832.62892304843183</v>
      </c>
      <c r="M185" s="163">
        <f t="shared" si="136"/>
        <v>0</v>
      </c>
      <c r="N185" s="163">
        <f t="shared" si="117"/>
        <v>-949.19697227521237</v>
      </c>
      <c r="O185" s="84">
        <f t="shared" si="105"/>
        <v>-6234.7220095610019</v>
      </c>
      <c r="P185" s="31">
        <f t="shared" si="106"/>
        <v>995981.59581535985</v>
      </c>
      <c r="Q185" s="5"/>
      <c r="R185">
        <f t="shared" ca="1" si="118"/>
        <v>302</v>
      </c>
      <c r="S185" s="133">
        <f t="shared" ca="1" si="119"/>
        <v>93.48</v>
      </c>
      <c r="T185" s="132">
        <f t="shared" ca="1" si="107"/>
        <v>2.5247878164765369E-2</v>
      </c>
      <c r="U185" s="133">
        <f t="shared" ca="1" si="127"/>
        <v>6.7504651768755974E-2</v>
      </c>
      <c r="V185" s="31">
        <f t="shared" ca="1" si="120"/>
        <v>31577.239838487316</v>
      </c>
      <c r="W185" s="31">
        <f t="shared" ca="1" si="108"/>
        <v>153.70381162780197</v>
      </c>
      <c r="X185" s="163">
        <f t="shared" ca="1" si="128"/>
        <v>-1.3500930353751195</v>
      </c>
      <c r="Y185" s="163">
        <f t="shared" ca="1" si="129"/>
        <v>-26.314366532072764</v>
      </c>
      <c r="Z185" s="163">
        <f t="shared" ca="1" si="121"/>
        <v>0</v>
      </c>
      <c r="AA185" s="163">
        <f t="shared" ca="1" si="130"/>
        <v>-29.998377846562956</v>
      </c>
      <c r="AB185" s="84">
        <f t="shared" ca="1" si="109"/>
        <v>-420.87273813041384</v>
      </c>
      <c r="AC185" s="160">
        <f t="shared" si="110"/>
        <v>0</v>
      </c>
      <c r="AD185" s="31">
        <f t="shared" ca="1" si="111"/>
        <v>31252.408074570696</v>
      </c>
      <c r="AE185" s="5"/>
      <c r="AF185" s="151">
        <f t="shared" ca="1" si="112"/>
        <v>-6234.722009561001</v>
      </c>
      <c r="AG185" s="151">
        <f t="shared" ca="1" si="113"/>
        <v>462966.73274649261</v>
      </c>
      <c r="AH185" s="5"/>
      <c r="AI185" s="5"/>
      <c r="AS185" s="55">
        <f t="shared" si="122"/>
        <v>16</v>
      </c>
      <c r="AT185" s="56">
        <f t="shared" si="131"/>
        <v>182</v>
      </c>
      <c r="AU185" s="57">
        <f t="shared" si="137"/>
        <v>0.4114543122122693</v>
      </c>
      <c r="AV185" s="58">
        <f t="shared" si="123"/>
        <v>4.8675505653430484E-3</v>
      </c>
      <c r="AW185" s="59">
        <f t="shared" si="124"/>
        <v>1.004867550565343</v>
      </c>
      <c r="AX185" s="60">
        <f>PRODUCT(AW$4:AW185)</f>
        <v>2.4199457112446128</v>
      </c>
    </row>
    <row r="186" spans="5:50">
      <c r="E186">
        <f t="shared" si="139"/>
        <v>183</v>
      </c>
      <c r="F186" s="9">
        <f t="shared" si="126"/>
        <v>84.166666666665805</v>
      </c>
      <c r="G186" s="132">
        <f t="shared" si="102"/>
        <v>0</v>
      </c>
      <c r="H186" s="133">
        <f t="shared" si="134"/>
        <v>1</v>
      </c>
      <c r="I186" s="31">
        <f t="shared" si="115"/>
        <v>995981.59581535985</v>
      </c>
      <c r="J186" s="31">
        <f t="shared" si="103"/>
        <v>4847.9907797823262</v>
      </c>
      <c r="K186" s="163">
        <f t="shared" si="104"/>
        <v>-20</v>
      </c>
      <c r="L186" s="163">
        <f t="shared" si="116"/>
        <v>-829.98466317946657</v>
      </c>
      <c r="M186" s="163">
        <f t="shared" si="136"/>
        <v>0</v>
      </c>
      <c r="N186" s="163">
        <f t="shared" si="117"/>
        <v>-946.18251602459202</v>
      </c>
      <c r="O186" s="84">
        <f t="shared" si="105"/>
        <v>-6234.7220095610019</v>
      </c>
      <c r="P186" s="31">
        <f t="shared" si="106"/>
        <v>992798.69740637706</v>
      </c>
      <c r="Q186" s="5"/>
      <c r="R186">
        <f t="shared" ca="1" si="118"/>
        <v>303</v>
      </c>
      <c r="S186" s="133">
        <f t="shared" ca="1" si="119"/>
        <v>93.56</v>
      </c>
      <c r="T186" s="132">
        <f t="shared" ca="1" si="107"/>
        <v>2.761198537336973E-2</v>
      </c>
      <c r="U186" s="133">
        <f t="shared" ca="1" si="127"/>
        <v>6.5640714311482662E-2</v>
      </c>
      <c r="V186" s="31">
        <f t="shared" ca="1" si="120"/>
        <v>30389.467039933068</v>
      </c>
      <c r="W186" s="31">
        <f t="shared" ca="1" si="108"/>
        <v>147.92226747070015</v>
      </c>
      <c r="X186" s="163">
        <f t="shared" ca="1" si="128"/>
        <v>-1.3128142862296532</v>
      </c>
      <c r="Y186" s="163">
        <f t="shared" ca="1" si="129"/>
        <v>-25.32455586661089</v>
      </c>
      <c r="Z186" s="163">
        <f t="shared" ca="1" si="121"/>
        <v>0</v>
      </c>
      <c r="AA186" s="163">
        <f t="shared" ca="1" si="130"/>
        <v>-28.869993687936418</v>
      </c>
      <c r="AB186" s="84">
        <f t="shared" ca="1" si="109"/>
        <v>-409.2516062411068</v>
      </c>
      <c r="AC186" s="160">
        <f t="shared" si="110"/>
        <v>0</v>
      </c>
      <c r="AD186" s="31">
        <f t="shared" ca="1" si="111"/>
        <v>30072.630337321891</v>
      </c>
      <c r="AE186" s="5"/>
      <c r="AF186" s="151">
        <f t="shared" ca="1" si="112"/>
        <v>-6234.7220095610019</v>
      </c>
      <c r="AG186" s="151">
        <f t="shared" ca="1" si="113"/>
        <v>458139.90071191569</v>
      </c>
      <c r="AH186" s="5"/>
      <c r="AI186" s="5"/>
      <c r="AS186" s="55">
        <f t="shared" si="122"/>
        <v>16</v>
      </c>
      <c r="AT186" s="56">
        <f t="shared" si="131"/>
        <v>183</v>
      </c>
      <c r="AU186" s="57">
        <f t="shared" si="137"/>
        <v>0.40945153754224761</v>
      </c>
      <c r="AV186" s="58">
        <f t="shared" si="123"/>
        <v>4.8675505653430484E-3</v>
      </c>
      <c r="AW186" s="59">
        <f t="shared" si="124"/>
        <v>1.004867550565343</v>
      </c>
      <c r="AX186" s="60">
        <f>PRODUCT(AW$4:AW186)</f>
        <v>2.431724919359481</v>
      </c>
    </row>
    <row r="187" spans="5:50">
      <c r="E187">
        <f t="shared" si="139"/>
        <v>184</v>
      </c>
      <c r="F187" s="9">
        <f t="shared" si="126"/>
        <v>84.249999999999133</v>
      </c>
      <c r="G187" s="132">
        <f t="shared" si="102"/>
        <v>0</v>
      </c>
      <c r="H187" s="133">
        <f t="shared" si="134"/>
        <v>1</v>
      </c>
      <c r="I187" s="31">
        <f t="shared" si="115"/>
        <v>992798.69740637706</v>
      </c>
      <c r="J187" s="31">
        <f t="shared" si="103"/>
        <v>4832.4978608322526</v>
      </c>
      <c r="K187" s="163">
        <f t="shared" si="104"/>
        <v>-20</v>
      </c>
      <c r="L187" s="163">
        <f t="shared" si="116"/>
        <v>-827.33224783864762</v>
      </c>
      <c r="M187" s="163">
        <f t="shared" si="136"/>
        <v>0</v>
      </c>
      <c r="N187" s="163">
        <f t="shared" si="117"/>
        <v>-943.15876253605836</v>
      </c>
      <c r="O187" s="84">
        <f t="shared" si="105"/>
        <v>-6234.7220095610019</v>
      </c>
      <c r="P187" s="31">
        <f t="shared" si="106"/>
        <v>989605.98224727367</v>
      </c>
      <c r="Q187" s="5"/>
      <c r="R187">
        <f t="shared" ca="1" si="118"/>
        <v>304</v>
      </c>
      <c r="S187" s="133">
        <f t="shared" ca="1" si="119"/>
        <v>93.64</v>
      </c>
      <c r="T187" s="132">
        <f t="shared" ca="1" si="107"/>
        <v>2.761198537336973E-2</v>
      </c>
      <c r="U187" s="133">
        <f t="shared" ca="1" si="127"/>
        <v>6.3828243868016457E-2</v>
      </c>
      <c r="V187" s="31">
        <f t="shared" ca="1" si="120"/>
        <v>29242.265308309004</v>
      </c>
      <c r="W187" s="31">
        <f t="shared" ca="1" si="108"/>
        <v>142.33820503337091</v>
      </c>
      <c r="X187" s="163">
        <f t="shared" ca="1" si="128"/>
        <v>-1.2765648773603291</v>
      </c>
      <c r="Y187" s="163">
        <f t="shared" ca="1" si="129"/>
        <v>-24.36855442359084</v>
      </c>
      <c r="Z187" s="163">
        <f t="shared" ca="1" si="121"/>
        <v>0</v>
      </c>
      <c r="AA187" s="163">
        <f t="shared" ca="1" si="130"/>
        <v>-27.780152042893562</v>
      </c>
      <c r="AB187" s="84">
        <f t="shared" ca="1" si="109"/>
        <v>-397.95135687554921</v>
      </c>
      <c r="AC187" s="160">
        <f t="shared" si="110"/>
        <v>0</v>
      </c>
      <c r="AD187" s="31">
        <f t="shared" ca="1" si="111"/>
        <v>28933.226885122978</v>
      </c>
      <c r="AE187" s="5"/>
      <c r="AF187" s="151">
        <f t="shared" ca="1" si="112"/>
        <v>-6234.722009561001</v>
      </c>
      <c r="AG187" s="151">
        <f t="shared" ca="1" si="113"/>
        <v>453298.1816788016</v>
      </c>
      <c r="AH187" s="5"/>
      <c r="AI187" s="5"/>
      <c r="AS187" s="55">
        <f t="shared" si="122"/>
        <v>16</v>
      </c>
      <c r="AT187" s="56">
        <f t="shared" si="131"/>
        <v>184</v>
      </c>
      <c r="AU187" s="57">
        <f t="shared" si="137"/>
        <v>0.40745851147920326</v>
      </c>
      <c r="AV187" s="58">
        <f t="shared" si="123"/>
        <v>4.8675505653430484E-3</v>
      </c>
      <c r="AW187" s="59">
        <f t="shared" si="124"/>
        <v>1.004867550565343</v>
      </c>
      <c r="AX187" s="60">
        <f>PRODUCT(AW$4:AW187)</f>
        <v>2.4435614633654681</v>
      </c>
    </row>
    <row r="188" spans="5:50">
      <c r="E188">
        <f t="shared" si="139"/>
        <v>185</v>
      </c>
      <c r="F188" s="9">
        <f t="shared" si="126"/>
        <v>84.333333333332462</v>
      </c>
      <c r="G188" s="132">
        <f t="shared" si="102"/>
        <v>0</v>
      </c>
      <c r="H188" s="133">
        <f t="shared" si="134"/>
        <v>1</v>
      </c>
      <c r="I188" s="31">
        <f t="shared" si="115"/>
        <v>989605.98224727367</v>
      </c>
      <c r="J188" s="31">
        <f t="shared" si="103"/>
        <v>4816.9571583545794</v>
      </c>
      <c r="K188" s="163">
        <f t="shared" si="104"/>
        <v>-20</v>
      </c>
      <c r="L188" s="163">
        <f t="shared" si="116"/>
        <v>-824.67165187272815</v>
      </c>
      <c r="M188" s="163">
        <f t="shared" si="136"/>
        <v>0</v>
      </c>
      <c r="N188" s="163">
        <f t="shared" si="117"/>
        <v>-940.1256831349101</v>
      </c>
      <c r="O188" s="84">
        <f t="shared" si="105"/>
        <v>-6234.7220095610019</v>
      </c>
      <c r="P188" s="31">
        <f t="shared" si="106"/>
        <v>986403.42006105965</v>
      </c>
      <c r="Q188" s="5"/>
      <c r="R188">
        <f t="shared" ca="1" si="118"/>
        <v>305</v>
      </c>
      <c r="S188" s="133">
        <f t="shared" ca="1" si="119"/>
        <v>93.72</v>
      </c>
      <c r="T188" s="132">
        <f t="shared" ca="1" si="107"/>
        <v>2.761198537336973E-2</v>
      </c>
      <c r="U188" s="133">
        <f t="shared" ca="1" si="127"/>
        <v>6.2065819331924912E-2</v>
      </c>
      <c r="V188" s="31">
        <f t="shared" ca="1" si="120"/>
        <v>28134.323047566573</v>
      </c>
      <c r="W188" s="31">
        <f t="shared" ca="1" si="108"/>
        <v>136.94524005572663</v>
      </c>
      <c r="X188" s="163">
        <f t="shared" ca="1" si="128"/>
        <v>-1.2413163866384982</v>
      </c>
      <c r="Y188" s="163">
        <f t="shared" ca="1" si="129"/>
        <v>-23.445269206305479</v>
      </c>
      <c r="Z188" s="163">
        <f t="shared" ca="1" si="121"/>
        <v>0</v>
      </c>
      <c r="AA188" s="163">
        <f t="shared" ca="1" si="130"/>
        <v>-26.727606895188249</v>
      </c>
      <c r="AB188" s="84">
        <f t="shared" ca="1" si="109"/>
        <v>-386.96312983018896</v>
      </c>
      <c r="AC188" s="160">
        <f t="shared" si="110"/>
        <v>0</v>
      </c>
      <c r="AD188" s="31">
        <f t="shared" ca="1" si="111"/>
        <v>27832.890965303981</v>
      </c>
      <c r="AE188" s="5"/>
      <c r="AF188" s="151">
        <f t="shared" ca="1" si="112"/>
        <v>-6234.7220095610019</v>
      </c>
      <c r="AG188" s="151">
        <f t="shared" ca="1" si="113"/>
        <v>448441.52973241301</v>
      </c>
      <c r="AH188" s="5"/>
      <c r="AI188" s="5"/>
      <c r="AS188" s="55">
        <f t="shared" si="122"/>
        <v>16</v>
      </c>
      <c r="AT188" s="56">
        <f t="shared" si="131"/>
        <v>185</v>
      </c>
      <c r="AU188" s="57">
        <f t="shared" si="137"/>
        <v>0.40547518657129883</v>
      </c>
      <c r="AV188" s="58">
        <f t="shared" si="123"/>
        <v>4.8675505653430484E-3</v>
      </c>
      <c r="AW188" s="59">
        <f t="shared" si="124"/>
        <v>1.004867550565343</v>
      </c>
      <c r="AX188" s="60">
        <f>PRODUCT(AW$4:AW188)</f>
        <v>2.4554556223479231</v>
      </c>
    </row>
    <row r="189" spans="5:50">
      <c r="E189">
        <f t="shared" si="139"/>
        <v>186</v>
      </c>
      <c r="F189" s="9">
        <f t="shared" si="126"/>
        <v>84.41666666666579</v>
      </c>
      <c r="G189" s="132">
        <f t="shared" si="102"/>
        <v>0</v>
      </c>
      <c r="H189" s="133">
        <f t="shared" si="134"/>
        <v>1</v>
      </c>
      <c r="I189" s="31">
        <f t="shared" si="115"/>
        <v>986403.42006105965</v>
      </c>
      <c r="J189" s="31">
        <f t="shared" si="103"/>
        <v>4801.3685249745276</v>
      </c>
      <c r="K189" s="163">
        <f t="shared" si="104"/>
        <v>-20</v>
      </c>
      <c r="L189" s="163">
        <f t="shared" si="116"/>
        <v>-822.00285005088313</v>
      </c>
      <c r="M189" s="163">
        <f t="shared" si="136"/>
        <v>0</v>
      </c>
      <c r="N189" s="163">
        <f t="shared" si="117"/>
        <v>-937.08324905800691</v>
      </c>
      <c r="O189" s="84">
        <f t="shared" si="105"/>
        <v>-6234.7220095610019</v>
      </c>
      <c r="P189" s="31">
        <f t="shared" si="106"/>
        <v>983190.98047736427</v>
      </c>
      <c r="Q189" s="5"/>
      <c r="R189">
        <f t="shared" ca="1" si="118"/>
        <v>306</v>
      </c>
      <c r="S189" s="133">
        <f t="shared" ca="1" si="119"/>
        <v>93.8</v>
      </c>
      <c r="T189" s="132">
        <f t="shared" ca="1" si="107"/>
        <v>2.761198537336973E-2</v>
      </c>
      <c r="U189" s="133">
        <f t="shared" ca="1" si="127"/>
        <v>6.035205883634559E-2</v>
      </c>
      <c r="V189" s="31">
        <f t="shared" ca="1" si="120"/>
        <v>27064.369587071415</v>
      </c>
      <c r="W189" s="31">
        <f t="shared" ca="1" si="108"/>
        <v>131.73718748420268</v>
      </c>
      <c r="X189" s="163">
        <f t="shared" ca="1" si="128"/>
        <v>-1.2070411767269118</v>
      </c>
      <c r="Y189" s="163">
        <f t="shared" ca="1" si="129"/>
        <v>-22.553641322559514</v>
      </c>
      <c r="Z189" s="163">
        <f t="shared" ca="1" si="121"/>
        <v>0</v>
      </c>
      <c r="AA189" s="163">
        <f t="shared" ca="1" si="130"/>
        <v>-25.71115110771785</v>
      </c>
      <c r="AB189" s="84">
        <f t="shared" ca="1" si="109"/>
        <v>-376.27830954928436</v>
      </c>
      <c r="AC189" s="160">
        <f t="shared" si="110"/>
        <v>0</v>
      </c>
      <c r="AD189" s="31">
        <f t="shared" ca="1" si="111"/>
        <v>26770.356631399329</v>
      </c>
      <c r="AE189" s="5"/>
      <c r="AF189" s="151">
        <f t="shared" ca="1" si="112"/>
        <v>-6234.722009561001</v>
      </c>
      <c r="AG189" s="151">
        <f t="shared" ca="1" si="113"/>
        <v>443569.8988164016</v>
      </c>
      <c r="AH189" s="5"/>
      <c r="AI189" s="5"/>
      <c r="AS189" s="55">
        <f t="shared" si="122"/>
        <v>16</v>
      </c>
      <c r="AT189" s="56">
        <f t="shared" si="131"/>
        <v>186</v>
      </c>
      <c r="AU189" s="57">
        <f t="shared" si="137"/>
        <v>0.40350151559767111</v>
      </c>
      <c r="AV189" s="58">
        <f t="shared" si="123"/>
        <v>4.8675505653430484E-3</v>
      </c>
      <c r="AW189" s="59">
        <f t="shared" si="124"/>
        <v>1.004867550565343</v>
      </c>
      <c r="AX189" s="60">
        <f>PRODUCT(AW$4:AW189)</f>
        <v>2.4674076767506574</v>
      </c>
    </row>
    <row r="190" spans="5:50">
      <c r="E190">
        <f t="shared" si="139"/>
        <v>187</v>
      </c>
      <c r="F190" s="9">
        <f t="shared" si="126"/>
        <v>84.499999999999119</v>
      </c>
      <c r="G190" s="132">
        <f t="shared" si="102"/>
        <v>0</v>
      </c>
      <c r="H190" s="133">
        <f t="shared" si="134"/>
        <v>1</v>
      </c>
      <c r="I190" s="31">
        <f t="shared" si="115"/>
        <v>983190.98047736427</v>
      </c>
      <c r="J190" s="31">
        <f t="shared" si="103"/>
        <v>4785.7318128627803</v>
      </c>
      <c r="K190" s="163">
        <f t="shared" si="104"/>
        <v>-20</v>
      </c>
      <c r="L190" s="163">
        <f t="shared" si="116"/>
        <v>-819.32581706447024</v>
      </c>
      <c r="M190" s="163">
        <f t="shared" si="136"/>
        <v>0</v>
      </c>
      <c r="N190" s="163">
        <f t="shared" si="117"/>
        <v>-934.03143145349623</v>
      </c>
      <c r="O190" s="84">
        <f t="shared" si="105"/>
        <v>-6234.7220095610019</v>
      </c>
      <c r="P190" s="31">
        <f t="shared" si="106"/>
        <v>979968.63303214801</v>
      </c>
      <c r="Q190" s="5"/>
      <c r="R190">
        <f t="shared" ca="1" si="118"/>
        <v>307</v>
      </c>
      <c r="S190" s="133">
        <f t="shared" ca="1" si="119"/>
        <v>93.88</v>
      </c>
      <c r="T190" s="132">
        <f t="shared" ca="1" si="107"/>
        <v>2.761198537336973E-2</v>
      </c>
      <c r="U190" s="133">
        <f t="shared" ca="1" si="127"/>
        <v>5.8685618670503668E-2</v>
      </c>
      <c r="V190" s="31">
        <f t="shared" ca="1" si="120"/>
        <v>26031.173935653238</v>
      </c>
      <c r="W190" s="31">
        <f t="shared" ca="1" si="108"/>
        <v>126.70805540703215</v>
      </c>
      <c r="X190" s="163">
        <f t="shared" ca="1" si="128"/>
        <v>-1.1737123734100734</v>
      </c>
      <c r="Y190" s="163">
        <f t="shared" ca="1" si="129"/>
        <v>-21.692644946377701</v>
      </c>
      <c r="Z190" s="163">
        <f t="shared" ca="1" si="121"/>
        <v>0</v>
      </c>
      <c r="AA190" s="163">
        <f t="shared" ca="1" si="130"/>
        <v>-24.729615238870579</v>
      </c>
      <c r="AB190" s="84">
        <f t="shared" ca="1" si="109"/>
        <v>-365.88851836969326</v>
      </c>
      <c r="AC190" s="160">
        <f t="shared" si="110"/>
        <v>0</v>
      </c>
      <c r="AD190" s="31">
        <f t="shared" ca="1" si="111"/>
        <v>25744.397500131916</v>
      </c>
      <c r="AE190" s="5"/>
      <c r="AF190" s="151">
        <f t="shared" ca="1" si="112"/>
        <v>-6234.7220095610019</v>
      </c>
      <c r="AG190" s="151">
        <f t="shared" ca="1" si="113"/>
        <v>438683.24273237085</v>
      </c>
      <c r="AH190" s="5"/>
      <c r="AI190" s="5"/>
      <c r="AS190" s="55">
        <f t="shared" si="122"/>
        <v>16</v>
      </c>
      <c r="AT190" s="56">
        <f t="shared" si="131"/>
        <v>187</v>
      </c>
      <c r="AU190" s="57">
        <f t="shared" si="137"/>
        <v>0.40153745156730691</v>
      </c>
      <c r="AV190" s="58">
        <f t="shared" si="123"/>
        <v>4.8675505653430484E-3</v>
      </c>
      <c r="AW190" s="59">
        <f t="shared" si="124"/>
        <v>1.004867550565343</v>
      </c>
      <c r="AX190" s="60">
        <f>PRODUCT(AW$4:AW190)</f>
        <v>2.4794179083825569</v>
      </c>
    </row>
    <row r="191" spans="5:50">
      <c r="E191">
        <f t="shared" si="139"/>
        <v>188</v>
      </c>
      <c r="F191" s="9">
        <f t="shared" si="126"/>
        <v>84.583333333332448</v>
      </c>
      <c r="G191" s="132">
        <f t="shared" si="102"/>
        <v>0</v>
      </c>
      <c r="H191" s="133">
        <f t="shared" si="134"/>
        <v>1</v>
      </c>
      <c r="I191" s="31">
        <f t="shared" si="115"/>
        <v>979968.63303214801</v>
      </c>
      <c r="J191" s="31">
        <f t="shared" si="103"/>
        <v>4770.0468737340861</v>
      </c>
      <c r="K191" s="163">
        <f t="shared" si="104"/>
        <v>-20</v>
      </c>
      <c r="L191" s="163">
        <f t="shared" si="116"/>
        <v>-816.64052752679004</v>
      </c>
      <c r="M191" s="163">
        <f t="shared" si="136"/>
        <v>0</v>
      </c>
      <c r="N191" s="163">
        <f t="shared" si="117"/>
        <v>-930.97020138054074</v>
      </c>
      <c r="O191" s="84">
        <f t="shared" si="105"/>
        <v>-6234.7220095610019</v>
      </c>
      <c r="P191" s="31">
        <f t="shared" si="106"/>
        <v>976736.34716741368</v>
      </c>
      <c r="Q191" s="5"/>
      <c r="R191">
        <f t="shared" ca="1" si="118"/>
        <v>308</v>
      </c>
      <c r="S191" s="133">
        <f t="shared" ca="1" si="119"/>
        <v>93.96</v>
      </c>
      <c r="T191" s="132">
        <f t="shared" ca="1" si="107"/>
        <v>2.761198537336973E-2</v>
      </c>
      <c r="U191" s="133">
        <f t="shared" ca="1" si="127"/>
        <v>5.7065192226146567E-2</v>
      </c>
      <c r="V191" s="31">
        <f t="shared" ca="1" si="120"/>
        <v>25033.543572912058</v>
      </c>
      <c r="W191" s="31">
        <f t="shared" ca="1" si="108"/>
        <v>121.85203917086793</v>
      </c>
      <c r="X191" s="163">
        <f t="shared" ca="1" si="128"/>
        <v>-1.1413038445229313</v>
      </c>
      <c r="Y191" s="163">
        <f t="shared" ca="1" si="129"/>
        <v>-20.86128631076005</v>
      </c>
      <c r="Z191" s="163">
        <f t="shared" ca="1" si="121"/>
        <v>0</v>
      </c>
      <c r="AA191" s="163">
        <f t="shared" ca="1" si="130"/>
        <v>-23.781866394266459</v>
      </c>
      <c r="AB191" s="84">
        <f t="shared" ca="1" si="109"/>
        <v>-355.78560995218533</v>
      </c>
      <c r="AC191" s="160">
        <f t="shared" si="110"/>
        <v>0</v>
      </c>
      <c r="AD191" s="31">
        <f t="shared" ca="1" si="111"/>
        <v>24753.825545581189</v>
      </c>
      <c r="AE191" s="5"/>
      <c r="AF191" s="151">
        <f t="shared" ca="1" si="112"/>
        <v>-6234.722009561001</v>
      </c>
      <c r="AG191" s="151">
        <f t="shared" ca="1" si="113"/>
        <v>433781.51513943891</v>
      </c>
      <c r="AH191" s="5"/>
      <c r="AI191" s="5"/>
      <c r="AS191" s="55">
        <f t="shared" si="122"/>
        <v>16</v>
      </c>
      <c r="AT191" s="56">
        <f t="shared" si="131"/>
        <v>188</v>
      </c>
      <c r="AU191" s="57">
        <f t="shared" si="137"/>
        <v>0.39958294771792408</v>
      </c>
      <c r="AV191" s="58">
        <f t="shared" si="123"/>
        <v>4.8675505653430484E-3</v>
      </c>
      <c r="AW191" s="59">
        <f t="shared" si="124"/>
        <v>1.004867550565343</v>
      </c>
      <c r="AX191" s="60">
        <f>PRODUCT(AW$4:AW191)</f>
        <v>2.491486600424226</v>
      </c>
    </row>
    <row r="192" spans="5:50">
      <c r="E192">
        <f t="shared" si="139"/>
        <v>189</v>
      </c>
      <c r="F192" s="9">
        <f t="shared" si="126"/>
        <v>84.666666666665776</v>
      </c>
      <c r="G192" s="132">
        <f t="shared" si="102"/>
        <v>0</v>
      </c>
      <c r="H192" s="133">
        <f t="shared" si="134"/>
        <v>1</v>
      </c>
      <c r="I192" s="31">
        <f t="shared" si="115"/>
        <v>976736.34716741368</v>
      </c>
      <c r="J192" s="31">
        <f t="shared" si="103"/>
        <v>4754.3135588458481</v>
      </c>
      <c r="K192" s="163">
        <f t="shared" si="104"/>
        <v>-20</v>
      </c>
      <c r="L192" s="163">
        <f t="shared" si="116"/>
        <v>-813.94695597284476</v>
      </c>
      <c r="M192" s="163">
        <f t="shared" si="136"/>
        <v>0</v>
      </c>
      <c r="N192" s="163">
        <f t="shared" si="117"/>
        <v>-927.8995298090432</v>
      </c>
      <c r="O192" s="84">
        <f t="shared" si="105"/>
        <v>-6234.7220095610019</v>
      </c>
      <c r="P192" s="31">
        <f t="shared" si="106"/>
        <v>973494.09223091672</v>
      </c>
      <c r="Q192" s="5"/>
      <c r="R192">
        <f t="shared" ca="1" si="118"/>
        <v>309</v>
      </c>
      <c r="S192" s="133">
        <f t="shared" ca="1" si="119"/>
        <v>94.04</v>
      </c>
      <c r="T192" s="132">
        <f t="shared" ca="1" si="107"/>
        <v>2.761198537336973E-2</v>
      </c>
      <c r="U192" s="133">
        <f t="shared" ca="1" si="127"/>
        <v>5.5489508973069673E-2</v>
      </c>
      <c r="V192" s="31">
        <f t="shared" ca="1" si="120"/>
        <v>24070.323276681655</v>
      </c>
      <c r="W192" s="31">
        <f t="shared" ca="1" si="108"/>
        <v>117.16351567340172</v>
      </c>
      <c r="X192" s="163">
        <f t="shared" ca="1" si="128"/>
        <v>-1.1097901794613936</v>
      </c>
      <c r="Y192" s="163">
        <f t="shared" ca="1" si="129"/>
        <v>-20.058602730568047</v>
      </c>
      <c r="Z192" s="163">
        <f t="shared" ca="1" si="121"/>
        <v>0</v>
      </c>
      <c r="AA192" s="163">
        <f t="shared" ca="1" si="130"/>
        <v>-22.866807112847578</v>
      </c>
      <c r="AB192" s="84">
        <f t="shared" ca="1" si="109"/>
        <v>-345.96166289413014</v>
      </c>
      <c r="AC192" s="160">
        <f t="shared" si="110"/>
        <v>0</v>
      </c>
      <c r="AD192" s="31">
        <f t="shared" ca="1" si="111"/>
        <v>23797.489929438048</v>
      </c>
      <c r="AE192" s="5"/>
      <c r="AF192" s="151">
        <f t="shared" ca="1" si="112"/>
        <v>-6234.722009561001</v>
      </c>
      <c r="AG192" s="151">
        <f t="shared" ca="1" si="113"/>
        <v>428864.66955379827</v>
      </c>
      <c r="AH192" s="5"/>
      <c r="AI192" s="5"/>
      <c r="AS192" s="55">
        <f t="shared" si="122"/>
        <v>16</v>
      </c>
      <c r="AT192" s="56">
        <f t="shared" si="131"/>
        <v>189</v>
      </c>
      <c r="AU192" s="57">
        <f t="shared" si="137"/>
        <v>0.39763795751485825</v>
      </c>
      <c r="AV192" s="58">
        <f t="shared" si="123"/>
        <v>4.8675505653430484E-3</v>
      </c>
      <c r="AW192" s="59">
        <f t="shared" si="124"/>
        <v>1.004867550565343</v>
      </c>
      <c r="AX192" s="60">
        <f>PRODUCT(AW$4:AW192)</f>
        <v>2.5036140374346654</v>
      </c>
    </row>
    <row r="193" spans="5:50">
      <c r="E193">
        <f t="shared" si="139"/>
        <v>190</v>
      </c>
      <c r="F193" s="9">
        <f t="shared" si="126"/>
        <v>84.749999999999105</v>
      </c>
      <c r="G193" s="132">
        <f t="shared" si="102"/>
        <v>0</v>
      </c>
      <c r="H193" s="133">
        <f t="shared" si="134"/>
        <v>1</v>
      </c>
      <c r="I193" s="31">
        <f t="shared" si="115"/>
        <v>973494.09223091672</v>
      </c>
      <c r="J193" s="31">
        <f t="shared" si="103"/>
        <v>4738.5317189967163</v>
      </c>
      <c r="K193" s="163">
        <f t="shared" si="104"/>
        <v>-20</v>
      </c>
      <c r="L193" s="163">
        <f t="shared" si="116"/>
        <v>-811.24507685909737</v>
      </c>
      <c r="M193" s="163">
        <f t="shared" si="136"/>
        <v>0</v>
      </c>
      <c r="N193" s="163">
        <f t="shared" si="117"/>
        <v>-924.81938761937101</v>
      </c>
      <c r="O193" s="84">
        <f t="shared" si="105"/>
        <v>-6234.7220095610019</v>
      </c>
      <c r="P193" s="31">
        <f t="shared" si="106"/>
        <v>970241.83747587388</v>
      </c>
      <c r="Q193" s="5"/>
      <c r="R193">
        <f t="shared" ca="1" si="118"/>
        <v>310</v>
      </c>
      <c r="S193" s="133">
        <f t="shared" ca="1" si="119"/>
        <v>94.12</v>
      </c>
      <c r="T193" s="132">
        <f t="shared" ca="1" si="107"/>
        <v>2.761198537336973E-2</v>
      </c>
      <c r="U193" s="133">
        <f t="shared" ca="1" si="127"/>
        <v>5.3957333462929802E-2</v>
      </c>
      <c r="V193" s="31">
        <f t="shared" ca="1" si="120"/>
        <v>23140.393985583491</v>
      </c>
      <c r="W193" s="31">
        <f t="shared" ca="1" si="108"/>
        <v>112.6370378267878</v>
      </c>
      <c r="X193" s="163">
        <f t="shared" ca="1" si="128"/>
        <v>-1.079146669258596</v>
      </c>
      <c r="Y193" s="163">
        <f t="shared" ca="1" si="129"/>
        <v>-19.28366165465291</v>
      </c>
      <c r="Z193" s="163">
        <f t="shared" ca="1" si="121"/>
        <v>0</v>
      </c>
      <c r="AA193" s="163">
        <f t="shared" ca="1" si="130"/>
        <v>-21.983374286304322</v>
      </c>
      <c r="AB193" s="84">
        <f t="shared" ca="1" si="109"/>
        <v>-336.40897451855079</v>
      </c>
      <c r="AC193" s="160">
        <f t="shared" si="110"/>
        <v>0</v>
      </c>
      <c r="AD193" s="31">
        <f t="shared" ca="1" si="111"/>
        <v>22874.275866281514</v>
      </c>
      <c r="AE193" s="5"/>
      <c r="AF193" s="151">
        <f t="shared" ca="1" si="112"/>
        <v>-6234.7220095610019</v>
      </c>
      <c r="AG193" s="151">
        <f t="shared" ca="1" si="113"/>
        <v>423932.65934827528</v>
      </c>
      <c r="AH193" s="5"/>
      <c r="AI193" s="5"/>
      <c r="AS193" s="55">
        <f t="shared" si="122"/>
        <v>16</v>
      </c>
      <c r="AT193" s="56">
        <f t="shared" si="131"/>
        <v>190</v>
      </c>
      <c r="AU193" s="57">
        <f t="shared" si="137"/>
        <v>0.39570243464995497</v>
      </c>
      <c r="AV193" s="58">
        <f t="shared" si="123"/>
        <v>4.8675505653430484E-3</v>
      </c>
      <c r="AW193" s="59">
        <f t="shared" si="124"/>
        <v>1.004867550565343</v>
      </c>
      <c r="AX193" s="60">
        <f>PRODUCT(AW$4:AW193)</f>
        <v>2.5158005053579813</v>
      </c>
    </row>
    <row r="194" spans="5:50">
      <c r="E194">
        <f t="shared" si="139"/>
        <v>191</v>
      </c>
      <c r="F194" s="9">
        <f t="shared" si="126"/>
        <v>84.833333333332433</v>
      </c>
      <c r="G194" s="132">
        <f t="shared" si="102"/>
        <v>0</v>
      </c>
      <c r="H194" s="133">
        <f t="shared" si="134"/>
        <v>1</v>
      </c>
      <c r="I194" s="31">
        <f t="shared" si="115"/>
        <v>970241.83747587388</v>
      </c>
      <c r="J194" s="31">
        <f t="shared" si="103"/>
        <v>4722.7012045251677</v>
      </c>
      <c r="K194" s="163">
        <f t="shared" si="104"/>
        <v>-20</v>
      </c>
      <c r="L194" s="163">
        <f t="shared" si="116"/>
        <v>-808.53486456322833</v>
      </c>
      <c r="M194" s="163">
        <f t="shared" si="136"/>
        <v>0</v>
      </c>
      <c r="N194" s="163">
        <f t="shared" si="117"/>
        <v>-921.72974560208047</v>
      </c>
      <c r="O194" s="84">
        <f t="shared" si="105"/>
        <v>-6234.7220095610019</v>
      </c>
      <c r="P194" s="31">
        <f t="shared" si="106"/>
        <v>966979.55206067266</v>
      </c>
      <c r="Q194" s="5"/>
      <c r="R194">
        <f t="shared" ca="1" si="118"/>
        <v>311</v>
      </c>
      <c r="S194" s="133">
        <f t="shared" ca="1" si="119"/>
        <v>94.2</v>
      </c>
      <c r="T194" s="132">
        <f t="shared" ca="1" si="107"/>
        <v>2.761198537336973E-2</v>
      </c>
      <c r="U194" s="133">
        <f t="shared" ca="1" si="127"/>
        <v>5.2467464360565354E-2</v>
      </c>
      <c r="V194" s="31">
        <f t="shared" ca="1" si="120"/>
        <v>22242.671695635323</v>
      </c>
      <c r="W194" s="31">
        <f t="shared" ca="1" si="108"/>
        <v>108.26732918682954</v>
      </c>
      <c r="X194" s="163">
        <f t="shared" ca="1" si="128"/>
        <v>-1.049349287211307</v>
      </c>
      <c r="Y194" s="163">
        <f t="shared" ca="1" si="129"/>
        <v>-18.535559746362772</v>
      </c>
      <c r="Z194" s="163">
        <f t="shared" ca="1" si="121"/>
        <v>0</v>
      </c>
      <c r="AA194" s="163">
        <f t="shared" ca="1" si="130"/>
        <v>-21.130538110853561</v>
      </c>
      <c r="AB194" s="84">
        <f t="shared" ca="1" si="109"/>
        <v>-327.12005483467425</v>
      </c>
      <c r="AC194" s="160">
        <f t="shared" si="110"/>
        <v>0</v>
      </c>
      <c r="AD194" s="31">
        <f t="shared" ca="1" si="111"/>
        <v>21983.103522843048</v>
      </c>
      <c r="AE194" s="5"/>
      <c r="AF194" s="151">
        <f t="shared" ca="1" si="112"/>
        <v>-6234.7220095610019</v>
      </c>
      <c r="AG194" s="151">
        <f t="shared" ca="1" si="113"/>
        <v>418985.43775188783</v>
      </c>
      <c r="AH194" s="5"/>
      <c r="AI194" s="5"/>
      <c r="AS194" s="55">
        <f t="shared" si="122"/>
        <v>16</v>
      </c>
      <c r="AT194" s="56">
        <f t="shared" si="131"/>
        <v>191</v>
      </c>
      <c r="AU194" s="57">
        <f t="shared" si="137"/>
        <v>0.39377633304046694</v>
      </c>
      <c r="AV194" s="58">
        <f t="shared" si="123"/>
        <v>4.8675505653430484E-3</v>
      </c>
      <c r="AW194" s="59">
        <f t="shared" si="124"/>
        <v>1.004867550565343</v>
      </c>
      <c r="AX194" s="60">
        <f>PRODUCT(AW$4:AW194)</f>
        <v>2.5280462915301269</v>
      </c>
    </row>
    <row r="195" spans="5:50">
      <c r="E195">
        <f t="shared" si="139"/>
        <v>192</v>
      </c>
      <c r="F195" s="9">
        <f t="shared" si="126"/>
        <v>84.916666666665762</v>
      </c>
      <c r="G195" s="132">
        <f t="shared" si="102"/>
        <v>0</v>
      </c>
      <c r="H195" s="133">
        <f t="shared" si="134"/>
        <v>1</v>
      </c>
      <c r="I195" s="31">
        <f t="shared" si="115"/>
        <v>966979.55206067266</v>
      </c>
      <c r="J195" s="31">
        <f t="shared" si="103"/>
        <v>4706.8218653080949</v>
      </c>
      <c r="K195" s="163">
        <f t="shared" si="104"/>
        <v>-20</v>
      </c>
      <c r="L195" s="163">
        <f t="shared" si="116"/>
        <v>-805.81629338389394</v>
      </c>
      <c r="M195" s="163">
        <f t="shared" si="136"/>
        <v>0</v>
      </c>
      <c r="N195" s="163">
        <f t="shared" si="117"/>
        <v>-918.63057445763923</v>
      </c>
      <c r="O195" s="84">
        <f t="shared" si="105"/>
        <v>-6234.7220095610019</v>
      </c>
      <c r="P195" s="31">
        <f t="shared" si="106"/>
        <v>963707.20504857809</v>
      </c>
      <c r="Q195" s="5"/>
      <c r="R195">
        <f t="shared" ca="1" si="118"/>
        <v>312</v>
      </c>
      <c r="S195" s="133">
        <f t="shared" ca="1" si="119"/>
        <v>94.28</v>
      </c>
      <c r="T195" s="132">
        <f t="shared" ca="1" si="107"/>
        <v>2.761198537336973E-2</v>
      </c>
      <c r="U195" s="133">
        <f t="shared" ca="1" si="127"/>
        <v>5.1018733502063623E-2</v>
      </c>
      <c r="V195" s="31">
        <f t="shared" ca="1" si="120"/>
        <v>21376.106389909033</v>
      </c>
      <c r="W195" s="31">
        <f t="shared" ca="1" si="108"/>
        <v>104.04927874303486</v>
      </c>
      <c r="X195" s="163">
        <f t="shared" ca="1" si="128"/>
        <v>-1.0203746700412726</v>
      </c>
      <c r="Y195" s="163">
        <f t="shared" ca="1" si="129"/>
        <v>-17.813421991590861</v>
      </c>
      <c r="Z195" s="163">
        <f t="shared" ca="1" si="121"/>
        <v>-160.32079792431773</v>
      </c>
      <c r="AA195" s="163">
        <f t="shared" ca="1" si="130"/>
        <v>-20.307301070413583</v>
      </c>
      <c r="AB195" s="84">
        <f t="shared" ca="1" si="109"/>
        <v>-318.08762066524332</v>
      </c>
      <c r="AC195" s="160">
        <f t="shared" si="110"/>
        <v>0</v>
      </c>
      <c r="AD195" s="31">
        <f t="shared" ca="1" si="111"/>
        <v>20962.60615233046</v>
      </c>
      <c r="AE195" s="5"/>
      <c r="AF195" s="151">
        <f t="shared" ca="1" si="112"/>
        <v>-6234.7220095610019</v>
      </c>
      <c r="AG195" s="151">
        <f t="shared" ca="1" si="113"/>
        <v>410880.56706626317</v>
      </c>
      <c r="AH195" s="5"/>
      <c r="AI195" s="5"/>
      <c r="AS195" s="55">
        <f t="shared" si="122"/>
        <v>16</v>
      </c>
      <c r="AT195" s="56">
        <f t="shared" si="131"/>
        <v>192</v>
      </c>
      <c r="AU195" s="57">
        <f t="shared" si="137"/>
        <v>0.39185960682795712</v>
      </c>
      <c r="AV195" s="58">
        <f t="shared" si="123"/>
        <v>4.8675505653430484E-3</v>
      </c>
      <c r="AW195" s="59">
        <f t="shared" si="124"/>
        <v>1.004867550565343</v>
      </c>
      <c r="AX195" s="60">
        <f>PRODUCT(AW$4:AW195)</f>
        <v>2.5403516846856777</v>
      </c>
    </row>
    <row r="196" spans="5:50">
      <c r="E196">
        <f t="shared" si="139"/>
        <v>193</v>
      </c>
      <c r="F196" s="9">
        <f t="shared" si="126"/>
        <v>84.999999999999091</v>
      </c>
      <c r="G196" s="132">
        <f t="shared" ref="G196:G259" si="140">(1-(1-IF(F196&gt;$AK$90,0,VLOOKUP(ROUND(F196,0),$AK$4:$AL$90,2,FALSE)))^(1/12))*0</f>
        <v>0</v>
      </c>
      <c r="H196" s="133">
        <f t="shared" si="134"/>
        <v>1</v>
      </c>
      <c r="I196" s="31">
        <f t="shared" si="115"/>
        <v>963707.20504857809</v>
      </c>
      <c r="J196" s="31">
        <f t="shared" ref="J196:J259" si="141">(I196)*$AV196</f>
        <v>4690.8935507593751</v>
      </c>
      <c r="K196" s="163">
        <f t="shared" ref="K196:K259" si="142">IF(I196=0,0,-$C$19)*H196</f>
        <v>-20</v>
      </c>
      <c r="L196" s="163">
        <f t="shared" si="116"/>
        <v>-803.08933754048178</v>
      </c>
      <c r="M196" s="163">
        <f t="shared" si="136"/>
        <v>-7227.8040378643354</v>
      </c>
      <c r="N196" s="163">
        <f t="shared" si="117"/>
        <v>-915.52184479614937</v>
      </c>
      <c r="O196" s="84">
        <f t="shared" ref="O196:O259" si="143">-MIN(
IF(MOD(E196-1,IF($C$7="Annual",12,1))=0,1,0)
*IF(F196&lt;=$C$6,H196*$C$5*$C$4/IF($C$7="Monthly",12,1),$C$12),I196)</f>
        <v>-6234.7220095610019</v>
      </c>
      <c r="P196" s="31">
        <f t="shared" ref="P196:P259" si="144">SUM(I196:O196)</f>
        <v>953196.96136957558</v>
      </c>
      <c r="Q196" s="5"/>
      <c r="R196">
        <f t="shared" ca="1" si="118"/>
        <v>313</v>
      </c>
      <c r="S196" s="133">
        <f t="shared" ca="1" si="119"/>
        <v>94.36</v>
      </c>
      <c r="T196" s="132">
        <f t="shared" ref="T196:T259" ca="1" si="145">(1-(1-IF(S196&gt;$AK$90,0,VLOOKUP(ROUND(S196,0),$AK$4:$AL$90,2,FALSE)))^(1/12))</f>
        <v>2.761198537336973E-2</v>
      </c>
      <c r="U196" s="133">
        <f t="shared" ca="1" si="127"/>
        <v>4.9610004978836796E-2</v>
      </c>
      <c r="V196" s="31">
        <f t="shared" ca="1" si="120"/>
        <v>20383.786977864602</v>
      </c>
      <c r="W196" s="31">
        <f t="shared" ref="W196:W259" ca="1" si="146">(V196)*$AV196</f>
        <v>99.219113827937107</v>
      </c>
      <c r="X196" s="163">
        <f t="shared" ca="1" si="128"/>
        <v>-0.99220009957673594</v>
      </c>
      <c r="Y196" s="163">
        <f t="shared" ca="1" si="129"/>
        <v>-16.986489148220503</v>
      </c>
      <c r="Z196" s="163">
        <f t="shared" ca="1" si="121"/>
        <v>0</v>
      </c>
      <c r="AA196" s="163">
        <f t="shared" ca="1" si="130"/>
        <v>-19.364597628971374</v>
      </c>
      <c r="AB196" s="84">
        <f t="shared" ref="AB196:AB259" ca="1" si="147">-MIN(IF(MOD(R196,IF($C$7="Annual",12,1))=0,1,0)*$C$39*U196/IF($C$7="Monthly",12,1),V196)</f>
        <v>-309.30458993598467</v>
      </c>
      <c r="AC196" s="160">
        <f t="shared" ref="AC196:AC259" si="148">IF($C$8="Yes",-V196*T196,0)</f>
        <v>0</v>
      </c>
      <c r="AD196" s="31">
        <f t="shared" ref="AD196:AD259" ca="1" si="149">SUM(V196:AC196)</f>
        <v>20136.358214879787</v>
      </c>
      <c r="AE196" s="5"/>
      <c r="AF196" s="151">
        <f t="shared" ref="AF196:AF259" ca="1" si="150">AB196/U196</f>
        <v>-6234.7220095610019</v>
      </c>
      <c r="AG196" s="151">
        <f t="shared" ref="AG196:AG259" ca="1" si="151">AD196/U196</f>
        <v>405893.08998194587</v>
      </c>
      <c r="AH196" s="5"/>
      <c r="AI196" s="5"/>
      <c r="AS196" s="55">
        <f t="shared" si="122"/>
        <v>17</v>
      </c>
      <c r="AT196" s="56">
        <f t="shared" si="131"/>
        <v>193</v>
      </c>
      <c r="AU196" s="57">
        <f t="shared" si="137"/>
        <v>0.38995221037720657</v>
      </c>
      <c r="AV196" s="58">
        <f t="shared" si="123"/>
        <v>4.8675505653430484E-3</v>
      </c>
      <c r="AW196" s="59">
        <f t="shared" si="124"/>
        <v>1.004867550565343</v>
      </c>
      <c r="AX196" s="60">
        <f>PRODUCT(AW$4:AW196)</f>
        <v>2.5527169749646395</v>
      </c>
    </row>
    <row r="197" spans="5:50">
      <c r="E197">
        <f t="shared" si="139"/>
        <v>194</v>
      </c>
      <c r="F197" s="9">
        <f t="shared" si="126"/>
        <v>85.083333333332419</v>
      </c>
      <c r="G197" s="132">
        <f t="shared" si="140"/>
        <v>0</v>
      </c>
      <c r="H197" s="133">
        <f t="shared" si="134"/>
        <v>1</v>
      </c>
      <c r="I197" s="31">
        <f t="shared" ref="I197:I260" si="152">MAX(P196,0)*(1-G197)</f>
        <v>953196.96136957558</v>
      </c>
      <c r="J197" s="31">
        <f t="shared" si="141"/>
        <v>4639.7344081977535</v>
      </c>
      <c r="K197" s="163">
        <f t="shared" si="142"/>
        <v>-20</v>
      </c>
      <c r="L197" s="163">
        <f t="shared" ref="L197:L260" si="153">IF(OR(I196+O196=0,K196=0),0,-I197*($C$16/12))</f>
        <v>-794.33080114131303</v>
      </c>
      <c r="M197" s="163">
        <f t="shared" si="136"/>
        <v>0</v>
      </c>
      <c r="N197" s="163">
        <f t="shared" ref="N197:N260" si="154">IF(OR(I196+O196=0,K196=0),0,-I197*($C$18*(1+$C$20))/12)</f>
        <v>-905.53711330109707</v>
      </c>
      <c r="O197" s="84">
        <f t="shared" si="143"/>
        <v>-6234.7220095610019</v>
      </c>
      <c r="P197" s="31">
        <f t="shared" si="144"/>
        <v>949882.10585376993</v>
      </c>
      <c r="Q197" s="5"/>
      <c r="R197">
        <f t="shared" ref="R197:R260" ca="1" si="155">R196+1</f>
        <v>314</v>
      </c>
      <c r="S197" s="133">
        <f t="shared" ref="S197:S260" ca="1" si="156">ROUND((R197-R196)/12+S196,2)</f>
        <v>94.44</v>
      </c>
      <c r="T197" s="132">
        <f t="shared" ca="1" si="145"/>
        <v>2.761198537336973E-2</v>
      </c>
      <c r="U197" s="133">
        <f t="shared" ca="1" si="127"/>
        <v>4.8240174246988357E-2</v>
      </c>
      <c r="V197" s="31">
        <f t="shared" ref="V197:V260" ca="1" si="157">MAX(AD196,0)*(1-T197)</f>
        <v>19580.353386377592</v>
      </c>
      <c r="W197" s="31">
        <f t="shared" ca="1" si="146"/>
        <v>95.308360195478926</v>
      </c>
      <c r="X197" s="163">
        <f t="shared" ca="1" si="128"/>
        <v>-0.96480348493976709</v>
      </c>
      <c r="Y197" s="163">
        <f t="shared" ca="1" si="129"/>
        <v>-16.316961155314662</v>
      </c>
      <c r="Z197" s="163">
        <f t="shared" ref="Z197:Z260" ca="1" si="158">IF(OR(V196+AB196=0,X196=0),0,-IF(MOD(E197,12)=0,1,0)*V197*($C$17))</f>
        <v>0</v>
      </c>
      <c r="AA197" s="163">
        <f t="shared" ca="1" si="130"/>
        <v>-18.601335717058717</v>
      </c>
      <c r="AB197" s="84">
        <f t="shared" ca="1" si="147"/>
        <v>-300.76407612275614</v>
      </c>
      <c r="AC197" s="160">
        <f t="shared" si="148"/>
        <v>0</v>
      </c>
      <c r="AD197" s="31">
        <f t="shared" ca="1" si="149"/>
        <v>19339.014570093001</v>
      </c>
      <c r="AE197" s="5"/>
      <c r="AF197" s="151">
        <f t="shared" ca="1" si="150"/>
        <v>-6234.7220095610019</v>
      </c>
      <c r="AG197" s="151">
        <f t="shared" ca="1" si="151"/>
        <v>400890.2304348608</v>
      </c>
      <c r="AH197" s="5"/>
      <c r="AI197" s="5"/>
      <c r="AS197" s="55">
        <f t="shared" ref="AS197:AS260" si="159">ROUNDDOWN((AT197-1)/12,0)+1</f>
        <v>17</v>
      </c>
      <c r="AT197" s="56">
        <f t="shared" si="131"/>
        <v>194</v>
      </c>
      <c r="AU197" s="57">
        <f t="shared" si="137"/>
        <v>0.38805409827512821</v>
      </c>
      <c r="AV197" s="58">
        <f t="shared" ref="AV197:AV260" si="160">((1+$AV$1)^(1/12))-1</f>
        <v>4.8675505653430484E-3</v>
      </c>
      <c r="AW197" s="59">
        <f t="shared" ref="AW197:AW260" si="161">(1+AV197)</f>
        <v>1.004867550565343</v>
      </c>
      <c r="AX197" s="60">
        <f>PRODUCT(AW$4:AW197)</f>
        <v>2.5651424539192895</v>
      </c>
    </row>
    <row r="198" spans="5:50">
      <c r="E198">
        <f t="shared" si="139"/>
        <v>195</v>
      </c>
      <c r="F198" s="9">
        <f t="shared" ref="F198:F261" si="162">1/12+F197</f>
        <v>85.166666666665748</v>
      </c>
      <c r="G198" s="132">
        <f t="shared" si="140"/>
        <v>0</v>
      </c>
      <c r="H198" s="133">
        <f t="shared" si="134"/>
        <v>1</v>
      </c>
      <c r="I198" s="31">
        <f t="shared" si="152"/>
        <v>949882.10585376993</v>
      </c>
      <c r="J198" s="31">
        <f t="shared" si="141"/>
        <v>4623.599181357763</v>
      </c>
      <c r="K198" s="163">
        <f t="shared" si="142"/>
        <v>-20</v>
      </c>
      <c r="L198" s="163">
        <f t="shared" si="153"/>
        <v>-791.5684215448083</v>
      </c>
      <c r="M198" s="163">
        <f t="shared" si="136"/>
        <v>0</v>
      </c>
      <c r="N198" s="163">
        <f t="shared" si="154"/>
        <v>-902.38800056108164</v>
      </c>
      <c r="O198" s="84">
        <f t="shared" si="143"/>
        <v>-6234.7220095610019</v>
      </c>
      <c r="P198" s="31">
        <f t="shared" si="144"/>
        <v>946557.02660346078</v>
      </c>
      <c r="Q198" s="5"/>
      <c r="R198">
        <f t="shared" ca="1" si="155"/>
        <v>315</v>
      </c>
      <c r="S198" s="133">
        <f t="shared" ca="1" si="156"/>
        <v>94.52</v>
      </c>
      <c r="T198" s="132">
        <f t="shared" ca="1" si="145"/>
        <v>3.0196214902556751E-2</v>
      </c>
      <c r="U198" s="133">
        <f t="shared" ref="U198:U261" ca="1" si="163">U197*(1-T198)</f>
        <v>4.678350357848951E-2</v>
      </c>
      <c r="V198" s="31">
        <f t="shared" ca="1" si="157"/>
        <v>18755.049530130796</v>
      </c>
      <c r="W198" s="31">
        <f t="shared" ca="1" si="146"/>
        <v>91.291151943425035</v>
      </c>
      <c r="X198" s="163">
        <f t="shared" ref="X198:X261" ca="1" si="164">IF(V198=0,0,-$C$19)*U198</f>
        <v>-0.93567007156979021</v>
      </c>
      <c r="Y198" s="163">
        <f t="shared" ref="Y198:Y261" ca="1" si="165">IF(OR(V197+AB197=0,X197=0),0,-V198*($C$16/12))</f>
        <v>-15.629207941775665</v>
      </c>
      <c r="Z198" s="163">
        <f t="shared" ca="1" si="158"/>
        <v>0</v>
      </c>
      <c r="AA198" s="163">
        <f t="shared" ref="AA198:AA261" ca="1" si="166">IF(OR(V197+AB197=0,X197=0),0,-V198*($C$18*(1+$C$20))/12)</f>
        <v>-17.817297053624262</v>
      </c>
      <c r="AB198" s="84">
        <f t="shared" ca="1" si="147"/>
        <v>-291.68213944518442</v>
      </c>
      <c r="AC198" s="160">
        <f t="shared" si="148"/>
        <v>0</v>
      </c>
      <c r="AD198" s="31">
        <f t="shared" ca="1" si="149"/>
        <v>18520.276367562066</v>
      </c>
      <c r="AE198" s="5"/>
      <c r="AF198" s="151">
        <f t="shared" ca="1" si="150"/>
        <v>-6234.722009561001</v>
      </c>
      <c r="AG198" s="151">
        <f t="shared" ca="1" si="151"/>
        <v>395871.94098215137</v>
      </c>
      <c r="AH198" s="5"/>
      <c r="AI198" s="5"/>
      <c r="AS198" s="55">
        <f t="shared" si="159"/>
        <v>17</v>
      </c>
      <c r="AT198" s="56">
        <f t="shared" ref="AT198:AT261" si="167">AT197+1</f>
        <v>195</v>
      </c>
      <c r="AU198" s="57">
        <f t="shared" si="137"/>
        <v>0.38616522532968545</v>
      </c>
      <c r="AV198" s="58">
        <f t="shared" si="160"/>
        <v>4.8675505653430484E-3</v>
      </c>
      <c r="AW198" s="59">
        <f t="shared" si="161"/>
        <v>1.004867550565343</v>
      </c>
      <c r="AX198" s="60">
        <f>PRODUCT(AW$4:AW198)</f>
        <v>2.5776284145210497</v>
      </c>
    </row>
    <row r="199" spans="5:50">
      <c r="E199">
        <f t="shared" si="139"/>
        <v>196</v>
      </c>
      <c r="F199" s="9">
        <f t="shared" si="162"/>
        <v>85.249999999999076</v>
      </c>
      <c r="G199" s="132">
        <f t="shared" si="140"/>
        <v>0</v>
      </c>
      <c r="H199" s="133">
        <f t="shared" ref="H199:H262" si="168">H198*(1-G199)</f>
        <v>1</v>
      </c>
      <c r="I199" s="31">
        <f t="shared" si="152"/>
        <v>946557.02660346078</v>
      </c>
      <c r="J199" s="31">
        <f t="shared" si="141"/>
        <v>4607.4141899731103</v>
      </c>
      <c r="K199" s="163">
        <f t="shared" si="142"/>
        <v>-20</v>
      </c>
      <c r="L199" s="163">
        <f t="shared" si="153"/>
        <v>-788.79752216955069</v>
      </c>
      <c r="M199" s="163">
        <f t="shared" si="136"/>
        <v>0</v>
      </c>
      <c r="N199" s="163">
        <f t="shared" si="154"/>
        <v>-899.22917527328798</v>
      </c>
      <c r="O199" s="84">
        <f t="shared" si="143"/>
        <v>-6234.7220095610019</v>
      </c>
      <c r="P199" s="31">
        <f t="shared" si="144"/>
        <v>943221.69208643003</v>
      </c>
      <c r="Q199" s="5"/>
      <c r="R199">
        <f t="shared" ca="1" si="155"/>
        <v>316</v>
      </c>
      <c r="S199" s="133">
        <f t="shared" ca="1" si="156"/>
        <v>94.6</v>
      </c>
      <c r="T199" s="132">
        <f t="shared" ca="1" si="145"/>
        <v>3.0196214902556751E-2</v>
      </c>
      <c r="U199" s="133">
        <f t="shared" ca="1" si="163"/>
        <v>4.537081885053891E-2</v>
      </c>
      <c r="V199" s="31">
        <f t="shared" ca="1" si="157"/>
        <v>17961.03412231242</v>
      </c>
      <c r="W199" s="31">
        <f t="shared" ca="1" si="146"/>
        <v>87.426241796207606</v>
      </c>
      <c r="X199" s="163">
        <f t="shared" ca="1" si="164"/>
        <v>-0.90741637701077815</v>
      </c>
      <c r="Y199" s="163">
        <f t="shared" ca="1" si="165"/>
        <v>-14.96752843526035</v>
      </c>
      <c r="Z199" s="163">
        <f t="shared" ca="1" si="158"/>
        <v>0</v>
      </c>
      <c r="AA199" s="163">
        <f t="shared" ca="1" si="166"/>
        <v>-17.0629824161968</v>
      </c>
      <c r="AB199" s="84">
        <f t="shared" ca="1" si="147"/>
        <v>-282.87444287926013</v>
      </c>
      <c r="AC199" s="160">
        <f t="shared" si="148"/>
        <v>0</v>
      </c>
      <c r="AD199" s="31">
        <f t="shared" ca="1" si="149"/>
        <v>17732.647994000905</v>
      </c>
      <c r="AE199" s="5"/>
      <c r="AF199" s="151">
        <f t="shared" ca="1" si="150"/>
        <v>-6234.7220095610019</v>
      </c>
      <c r="AG199" s="151">
        <f t="shared" ca="1" si="151"/>
        <v>390838.17403463676</v>
      </c>
      <c r="AH199" s="5"/>
      <c r="AI199" s="5"/>
      <c r="AS199" s="55">
        <f t="shared" si="159"/>
        <v>17</v>
      </c>
      <c r="AT199" s="56">
        <f t="shared" si="167"/>
        <v>196</v>
      </c>
      <c r="AU199" s="57">
        <f t="shared" si="137"/>
        <v>0.38428554656881608</v>
      </c>
      <c r="AV199" s="58">
        <f t="shared" si="160"/>
        <v>4.8675505653430484E-3</v>
      </c>
      <c r="AW199" s="59">
        <f t="shared" si="161"/>
        <v>1.004867550565343</v>
      </c>
      <c r="AX199" s="60">
        <f>PRODUCT(AW$4:AW199)</f>
        <v>2.5901751511673958</v>
      </c>
    </row>
    <row r="200" spans="5:50">
      <c r="E200">
        <f t="shared" si="139"/>
        <v>197</v>
      </c>
      <c r="F200" s="9">
        <f t="shared" si="162"/>
        <v>85.333333333332405</v>
      </c>
      <c r="G200" s="132">
        <f t="shared" si="140"/>
        <v>0</v>
      </c>
      <c r="H200" s="133">
        <f t="shared" si="168"/>
        <v>1</v>
      </c>
      <c r="I200" s="31">
        <f t="shared" si="152"/>
        <v>943221.69208643003</v>
      </c>
      <c r="J200" s="31">
        <f t="shared" si="141"/>
        <v>4591.1792805591294</v>
      </c>
      <c r="K200" s="163">
        <f t="shared" si="142"/>
        <v>-20</v>
      </c>
      <c r="L200" s="163">
        <f t="shared" si="153"/>
        <v>-786.01807673869178</v>
      </c>
      <c r="M200" s="163">
        <f t="shared" si="136"/>
        <v>0</v>
      </c>
      <c r="N200" s="163">
        <f t="shared" si="154"/>
        <v>-896.06060748210859</v>
      </c>
      <c r="O200" s="84">
        <f t="shared" si="143"/>
        <v>-6234.7220095610019</v>
      </c>
      <c r="P200" s="31">
        <f t="shared" si="144"/>
        <v>939876.0706732074</v>
      </c>
      <c r="Q200" s="5"/>
      <c r="R200">
        <f t="shared" ca="1" si="155"/>
        <v>317</v>
      </c>
      <c r="S200" s="133">
        <f t="shared" ca="1" si="156"/>
        <v>94.68</v>
      </c>
      <c r="T200" s="132">
        <f t="shared" ca="1" si="145"/>
        <v>3.0196214902556751E-2</v>
      </c>
      <c r="U200" s="133">
        <f t="shared" ca="1" si="163"/>
        <v>4.4000791854223065E-2</v>
      </c>
      <c r="V200" s="31">
        <f t="shared" ca="1" si="157"/>
        <v>17197.189144382661</v>
      </c>
      <c r="W200" s="31">
        <f t="shared" ca="1" si="146"/>
        <v>83.708187742051152</v>
      </c>
      <c r="X200" s="163">
        <f t="shared" ca="1" si="164"/>
        <v>-0.88001583708446129</v>
      </c>
      <c r="Y200" s="163">
        <f t="shared" ca="1" si="165"/>
        <v>-14.330990953652218</v>
      </c>
      <c r="Z200" s="163">
        <f t="shared" ca="1" si="158"/>
        <v>0</v>
      </c>
      <c r="AA200" s="163">
        <f t="shared" ca="1" si="166"/>
        <v>-16.337329687163532</v>
      </c>
      <c r="AB200" s="84">
        <f t="shared" ca="1" si="147"/>
        <v>-274.33270541163694</v>
      </c>
      <c r="AC200" s="160">
        <f t="shared" si="148"/>
        <v>0</v>
      </c>
      <c r="AD200" s="31">
        <f t="shared" ca="1" si="149"/>
        <v>16975.016290235173</v>
      </c>
      <c r="AE200" s="5"/>
      <c r="AF200" s="151">
        <f t="shared" ca="1" si="150"/>
        <v>-6234.722009561001</v>
      </c>
      <c r="AG200" s="151">
        <f t="shared" ca="1" si="151"/>
        <v>385788.88185636053</v>
      </c>
      <c r="AH200" s="5"/>
      <c r="AI200" s="5"/>
      <c r="AS200" s="55">
        <f t="shared" si="159"/>
        <v>17</v>
      </c>
      <c r="AT200" s="56">
        <f t="shared" si="167"/>
        <v>197</v>
      </c>
      <c r="AU200" s="57">
        <f t="shared" si="137"/>
        <v>0.38241501723936189</v>
      </c>
      <c r="AV200" s="58">
        <f t="shared" si="160"/>
        <v>4.8675505653430484E-3</v>
      </c>
      <c r="AW200" s="59">
        <f t="shared" si="161"/>
        <v>1.004867550565343</v>
      </c>
      <c r="AX200" s="60">
        <f>PRODUCT(AW$4:AW200)</f>
        <v>2.6027829596887981</v>
      </c>
    </row>
    <row r="201" spans="5:50">
      <c r="E201">
        <f t="shared" si="139"/>
        <v>198</v>
      </c>
      <c r="F201" s="9">
        <f t="shared" si="162"/>
        <v>85.416666666665733</v>
      </c>
      <c r="G201" s="132">
        <f t="shared" si="140"/>
        <v>0</v>
      </c>
      <c r="H201" s="133">
        <f t="shared" si="168"/>
        <v>1</v>
      </c>
      <c r="I201" s="31">
        <f t="shared" si="152"/>
        <v>939876.0706732074</v>
      </c>
      <c r="J201" s="31">
        <f t="shared" si="141"/>
        <v>4574.8942991577733</v>
      </c>
      <c r="K201" s="163">
        <f t="shared" si="142"/>
        <v>-20</v>
      </c>
      <c r="L201" s="163">
        <f t="shared" si="153"/>
        <v>-783.23005889433955</v>
      </c>
      <c r="M201" s="163">
        <f t="shared" si="136"/>
        <v>0</v>
      </c>
      <c r="N201" s="163">
        <f t="shared" si="154"/>
        <v>-892.88226713954725</v>
      </c>
      <c r="O201" s="84">
        <f t="shared" si="143"/>
        <v>-6234.7220095610019</v>
      </c>
      <c r="P201" s="31">
        <f t="shared" si="144"/>
        <v>936520.13063677028</v>
      </c>
      <c r="Q201" s="5"/>
      <c r="R201">
        <f t="shared" ca="1" si="155"/>
        <v>318</v>
      </c>
      <c r="S201" s="133">
        <f t="shared" ca="1" si="156"/>
        <v>94.76</v>
      </c>
      <c r="T201" s="132">
        <f t="shared" ca="1" si="145"/>
        <v>3.0196214902556751E-2</v>
      </c>
      <c r="U201" s="133">
        <f t="shared" ca="1" si="163"/>
        <v>4.2672134487510276E-2</v>
      </c>
      <c r="V201" s="31">
        <f t="shared" ca="1" si="157"/>
        <v>16462.435050360829</v>
      </c>
      <c r="W201" s="31">
        <f t="shared" ca="1" si="146"/>
        <v>80.131735036307077</v>
      </c>
      <c r="X201" s="163">
        <f t="shared" ca="1" si="164"/>
        <v>-0.85344268975020554</v>
      </c>
      <c r="Y201" s="163">
        <f t="shared" ca="1" si="165"/>
        <v>-13.718695875300693</v>
      </c>
      <c r="Z201" s="163">
        <f t="shared" ca="1" si="158"/>
        <v>0</v>
      </c>
      <c r="AA201" s="163">
        <f t="shared" ca="1" si="166"/>
        <v>-15.63931329784279</v>
      </c>
      <c r="AB201" s="84">
        <f t="shared" ca="1" si="147"/>
        <v>-266.04889608422735</v>
      </c>
      <c r="AC201" s="160">
        <f t="shared" si="148"/>
        <v>0</v>
      </c>
      <c r="AD201" s="31">
        <f t="shared" ca="1" si="149"/>
        <v>16246.306437450017</v>
      </c>
      <c r="AE201" s="5"/>
      <c r="AF201" s="151">
        <f t="shared" ca="1" si="150"/>
        <v>-6234.722009561001</v>
      </c>
      <c r="AG201" s="151">
        <f t="shared" ca="1" si="151"/>
        <v>380724.0165641387</v>
      </c>
      <c r="AH201" s="5"/>
      <c r="AI201" s="5"/>
      <c r="AS201" s="55">
        <f t="shared" si="159"/>
        <v>17</v>
      </c>
      <c r="AT201" s="56">
        <f t="shared" si="167"/>
        <v>198</v>
      </c>
      <c r="AU201" s="57">
        <f t="shared" si="137"/>
        <v>0.38055359280600276</v>
      </c>
      <c r="AV201" s="58">
        <f t="shared" si="160"/>
        <v>4.8675505653430484E-3</v>
      </c>
      <c r="AW201" s="59">
        <f t="shared" si="161"/>
        <v>1.004867550565343</v>
      </c>
      <c r="AX201" s="60">
        <f>PRODUCT(AW$4:AW201)</f>
        <v>2.6154521373556965</v>
      </c>
    </row>
    <row r="202" spans="5:50">
      <c r="E202">
        <f t="shared" si="139"/>
        <v>199</v>
      </c>
      <c r="F202" s="9">
        <f t="shared" si="162"/>
        <v>85.499999999999062</v>
      </c>
      <c r="G202" s="132">
        <f t="shared" si="140"/>
        <v>0</v>
      </c>
      <c r="H202" s="133">
        <f t="shared" si="168"/>
        <v>1</v>
      </c>
      <c r="I202" s="31">
        <f t="shared" si="152"/>
        <v>936520.13063677028</v>
      </c>
      <c r="J202" s="31">
        <f t="shared" si="141"/>
        <v>4558.5590913361566</v>
      </c>
      <c r="K202" s="163">
        <f t="shared" si="142"/>
        <v>-20</v>
      </c>
      <c r="L202" s="163">
        <f t="shared" si="153"/>
        <v>-780.43344219730864</v>
      </c>
      <c r="M202" s="163">
        <f t="shared" si="136"/>
        <v>0</v>
      </c>
      <c r="N202" s="163">
        <f t="shared" si="154"/>
        <v>-889.69412410493203</v>
      </c>
      <c r="O202" s="84">
        <f t="shared" si="143"/>
        <v>-6234.7220095610019</v>
      </c>
      <c r="P202" s="31">
        <f t="shared" si="144"/>
        <v>933153.84015224327</v>
      </c>
      <c r="Q202" s="5"/>
      <c r="R202">
        <f t="shared" ca="1" si="155"/>
        <v>319</v>
      </c>
      <c r="S202" s="133">
        <f t="shared" ca="1" si="156"/>
        <v>94.84</v>
      </c>
      <c r="T202" s="132">
        <f t="shared" ca="1" si="145"/>
        <v>3.0196214902556751E-2</v>
      </c>
      <c r="U202" s="133">
        <f t="shared" ca="1" si="163"/>
        <v>4.1383597544174609E-2</v>
      </c>
      <c r="V202" s="31">
        <f t="shared" ca="1" si="157"/>
        <v>15755.729476891986</v>
      </c>
      <c r="W202" s="31">
        <f t="shared" ca="1" si="146"/>
        <v>76.691809922637717</v>
      </c>
      <c r="X202" s="163">
        <f t="shared" ca="1" si="164"/>
        <v>-0.82767195088349221</v>
      </c>
      <c r="Y202" s="163">
        <f t="shared" ca="1" si="165"/>
        <v>-13.129774564076655</v>
      </c>
      <c r="Z202" s="163">
        <f t="shared" ca="1" si="158"/>
        <v>0</v>
      </c>
      <c r="AA202" s="163">
        <f t="shared" ca="1" si="166"/>
        <v>-14.967943003047388</v>
      </c>
      <c r="AB202" s="84">
        <f t="shared" ca="1" si="147"/>
        <v>-258.01522644348006</v>
      </c>
      <c r="AC202" s="160">
        <f t="shared" si="148"/>
        <v>0</v>
      </c>
      <c r="AD202" s="31">
        <f t="shared" ca="1" si="149"/>
        <v>15545.480670853134</v>
      </c>
      <c r="AE202" s="5"/>
      <c r="AF202" s="151">
        <f t="shared" ca="1" si="150"/>
        <v>-6234.7220095610019</v>
      </c>
      <c r="AG202" s="151">
        <f t="shared" ca="1" si="151"/>
        <v>375643.53012710478</v>
      </c>
      <c r="AH202" s="5"/>
      <c r="AI202" s="5"/>
      <c r="AS202" s="55">
        <f t="shared" si="159"/>
        <v>17</v>
      </c>
      <c r="AT202" s="56">
        <f t="shared" si="167"/>
        <v>199</v>
      </c>
      <c r="AU202" s="57">
        <f t="shared" si="137"/>
        <v>0.37870122895019659</v>
      </c>
      <c r="AV202" s="58">
        <f t="shared" si="160"/>
        <v>4.8675505653430484E-3</v>
      </c>
      <c r="AW202" s="59">
        <f t="shared" si="161"/>
        <v>1.004867550565343</v>
      </c>
      <c r="AX202" s="60">
        <f>PRODUCT(AW$4:AW202)</f>
        <v>2.6281829828855097</v>
      </c>
    </row>
    <row r="203" spans="5:50">
      <c r="E203">
        <f t="shared" si="139"/>
        <v>200</v>
      </c>
      <c r="F203" s="9">
        <f t="shared" si="162"/>
        <v>85.583333333332391</v>
      </c>
      <c r="G203" s="132">
        <f t="shared" si="140"/>
        <v>0</v>
      </c>
      <c r="H203" s="133">
        <f t="shared" si="168"/>
        <v>1</v>
      </c>
      <c r="I203" s="31">
        <f t="shared" si="152"/>
        <v>933153.84015224327</v>
      </c>
      <c r="J203" s="31">
        <f t="shared" si="141"/>
        <v>4542.1735021850882</v>
      </c>
      <c r="K203" s="163">
        <f t="shared" si="142"/>
        <v>-20</v>
      </c>
      <c r="L203" s="163">
        <f t="shared" si="153"/>
        <v>-777.62820012686939</v>
      </c>
      <c r="M203" s="163">
        <f t="shared" si="136"/>
        <v>0</v>
      </c>
      <c r="N203" s="163">
        <f t="shared" si="154"/>
        <v>-886.49614814463121</v>
      </c>
      <c r="O203" s="84">
        <f t="shared" si="143"/>
        <v>-6234.7220095610019</v>
      </c>
      <c r="P203" s="31">
        <f t="shared" si="144"/>
        <v>929777.16729659587</v>
      </c>
      <c r="Q203" s="5"/>
      <c r="R203">
        <f t="shared" ca="1" si="155"/>
        <v>320</v>
      </c>
      <c r="S203" s="133">
        <f t="shared" ca="1" si="156"/>
        <v>94.92</v>
      </c>
      <c r="T203" s="132">
        <f t="shared" ca="1" si="145"/>
        <v>3.0196214902556751E-2</v>
      </c>
      <c r="U203" s="133">
        <f t="shared" ca="1" si="163"/>
        <v>4.0133969539289792E-2</v>
      </c>
      <c r="V203" s="31">
        <f t="shared" ca="1" si="157"/>
        <v>15076.065995752511</v>
      </c>
      <c r="W203" s="31">
        <f t="shared" ca="1" si="146"/>
        <v>73.383513560774247</v>
      </c>
      <c r="X203" s="163">
        <f t="shared" ca="1" si="164"/>
        <v>-0.80267939078579587</v>
      </c>
      <c r="Y203" s="163">
        <f t="shared" ca="1" si="165"/>
        <v>-12.56338832979376</v>
      </c>
      <c r="Z203" s="163">
        <f t="shared" ca="1" si="158"/>
        <v>0</v>
      </c>
      <c r="AA203" s="163">
        <f t="shared" ca="1" si="166"/>
        <v>-14.322262695964888</v>
      </c>
      <c r="AB203" s="84">
        <f t="shared" ca="1" si="147"/>
        <v>-250.22414321766087</v>
      </c>
      <c r="AC203" s="160">
        <f t="shared" si="148"/>
        <v>0</v>
      </c>
      <c r="AD203" s="31">
        <f t="shared" ca="1" si="149"/>
        <v>14871.537035679079</v>
      </c>
      <c r="AE203" s="5"/>
      <c r="AF203" s="151">
        <f t="shared" ca="1" si="150"/>
        <v>-6234.722009561001</v>
      </c>
      <c r="AG203" s="151">
        <f t="shared" ca="1" si="151"/>
        <v>370547.37436625472</v>
      </c>
      <c r="AH203" s="5"/>
      <c r="AI203" s="5"/>
      <c r="AS203" s="55">
        <f t="shared" si="159"/>
        <v>17</v>
      </c>
      <c r="AT203" s="56">
        <f t="shared" si="167"/>
        <v>200</v>
      </c>
      <c r="AU203" s="57">
        <f t="shared" si="137"/>
        <v>0.37685788156912398</v>
      </c>
      <c r="AV203" s="58">
        <f t="shared" si="160"/>
        <v>4.8675505653430484E-3</v>
      </c>
      <c r="AW203" s="59">
        <f t="shared" si="161"/>
        <v>1.004867550565343</v>
      </c>
      <c r="AX203" s="60">
        <f>PRODUCT(AW$4:AW203)</f>
        <v>2.6409757964496792</v>
      </c>
    </row>
    <row r="204" spans="5:50">
      <c r="E204">
        <f t="shared" si="139"/>
        <v>201</v>
      </c>
      <c r="F204" s="9">
        <f t="shared" si="162"/>
        <v>85.666666666665719</v>
      </c>
      <c r="G204" s="132">
        <f t="shared" si="140"/>
        <v>0</v>
      </c>
      <c r="H204" s="133">
        <f t="shared" si="168"/>
        <v>1</v>
      </c>
      <c r="I204" s="31">
        <f t="shared" si="152"/>
        <v>929777.16729659587</v>
      </c>
      <c r="J204" s="31">
        <f t="shared" si="141"/>
        <v>4525.7373763176038</v>
      </c>
      <c r="K204" s="163">
        <f t="shared" si="142"/>
        <v>-20</v>
      </c>
      <c r="L204" s="163">
        <f t="shared" si="153"/>
        <v>-774.81430608049664</v>
      </c>
      <c r="M204" s="163">
        <f t="shared" si="136"/>
        <v>0</v>
      </c>
      <c r="N204" s="163">
        <f t="shared" si="154"/>
        <v>-883.28830893176621</v>
      </c>
      <c r="O204" s="84">
        <f t="shared" si="143"/>
        <v>-6234.7220095610019</v>
      </c>
      <c r="P204" s="31">
        <f t="shared" si="144"/>
        <v>926390.08004834026</v>
      </c>
      <c r="Q204" s="5"/>
      <c r="R204">
        <f t="shared" ca="1" si="155"/>
        <v>321</v>
      </c>
      <c r="S204" s="133">
        <f t="shared" ca="1" si="156"/>
        <v>95</v>
      </c>
      <c r="T204" s="132">
        <f t="shared" ca="1" si="145"/>
        <v>3.0196214902556751E-2</v>
      </c>
      <c r="U204" s="133">
        <f t="shared" ca="1" si="163"/>
        <v>3.892207557018873E-2</v>
      </c>
      <c r="V204" s="31">
        <f t="shared" ca="1" si="157"/>
        <v>14422.472907418382</v>
      </c>
      <c r="W204" s="31">
        <f t="shared" ca="1" si="146"/>
        <v>70.202116154149138</v>
      </c>
      <c r="X204" s="163">
        <f t="shared" ca="1" si="164"/>
        <v>-0.7784415114037746</v>
      </c>
      <c r="Y204" s="163">
        <f t="shared" ca="1" si="165"/>
        <v>-12.018727422848652</v>
      </c>
      <c r="Z204" s="163">
        <f t="shared" ca="1" si="158"/>
        <v>0</v>
      </c>
      <c r="AA204" s="163">
        <f t="shared" ca="1" si="166"/>
        <v>-13.701349262047465</v>
      </c>
      <c r="AB204" s="84">
        <f t="shared" ca="1" si="147"/>
        <v>-242.66832121525226</v>
      </c>
      <c r="AC204" s="160">
        <f t="shared" si="148"/>
        <v>0</v>
      </c>
      <c r="AD204" s="31">
        <f t="shared" ca="1" si="149"/>
        <v>14223.508184160977</v>
      </c>
      <c r="AE204" s="5"/>
      <c r="AF204" s="151">
        <f t="shared" ca="1" si="150"/>
        <v>-6234.7220095610019</v>
      </c>
      <c r="AG204" s="151">
        <f t="shared" ca="1" si="151"/>
        <v>365435.50095399009</v>
      </c>
      <c r="AH204" s="5"/>
      <c r="AI204" s="5"/>
      <c r="AS204" s="55">
        <f t="shared" si="159"/>
        <v>17</v>
      </c>
      <c r="AT204" s="56">
        <f t="shared" si="167"/>
        <v>201</v>
      </c>
      <c r="AU204" s="57">
        <f t="shared" si="137"/>
        <v>0.37502350677463819</v>
      </c>
      <c r="AV204" s="58">
        <f t="shared" si="160"/>
        <v>4.8675505653430484E-3</v>
      </c>
      <c r="AW204" s="59">
        <f t="shared" si="161"/>
        <v>1.004867550565343</v>
      </c>
      <c r="AX204" s="60">
        <f>PRODUCT(AW$4:AW204)</f>
        <v>2.6538308796807453</v>
      </c>
    </row>
    <row r="205" spans="5:50">
      <c r="E205">
        <f t="shared" si="139"/>
        <v>202</v>
      </c>
      <c r="F205" s="9">
        <f t="shared" si="162"/>
        <v>85.749999999999048</v>
      </c>
      <c r="G205" s="132">
        <f t="shared" si="140"/>
        <v>0</v>
      </c>
      <c r="H205" s="133">
        <f t="shared" si="168"/>
        <v>1</v>
      </c>
      <c r="I205" s="31">
        <f t="shared" si="152"/>
        <v>926390.08004834026</v>
      </c>
      <c r="J205" s="31">
        <f t="shared" si="141"/>
        <v>4509.2505578674909</v>
      </c>
      <c r="K205" s="163">
        <f t="shared" si="142"/>
        <v>-20</v>
      </c>
      <c r="L205" s="163">
        <f t="shared" si="153"/>
        <v>-771.99173337361697</v>
      </c>
      <c r="M205" s="163">
        <f t="shared" si="136"/>
        <v>0</v>
      </c>
      <c r="N205" s="163">
        <f t="shared" si="154"/>
        <v>-880.0705760459233</v>
      </c>
      <c r="O205" s="84">
        <f t="shared" si="143"/>
        <v>-6234.7220095610019</v>
      </c>
      <c r="P205" s="31">
        <f t="shared" si="144"/>
        <v>922992.54628722719</v>
      </c>
      <c r="Q205" s="5"/>
      <c r="R205">
        <f t="shared" ca="1" si="155"/>
        <v>322</v>
      </c>
      <c r="S205" s="133">
        <f t="shared" ca="1" si="156"/>
        <v>95.08</v>
      </c>
      <c r="T205" s="132">
        <f t="shared" ca="1" si="145"/>
        <v>3.0196214902556751E-2</v>
      </c>
      <c r="U205" s="133">
        <f t="shared" ca="1" si="163"/>
        <v>3.7746776211817754E-2</v>
      </c>
      <c r="V205" s="31">
        <f t="shared" ca="1" si="157"/>
        <v>13794.012074363778</v>
      </c>
      <c r="W205" s="31">
        <f t="shared" ca="1" si="146"/>
        <v>67.143051270918249</v>
      </c>
      <c r="X205" s="163">
        <f t="shared" ca="1" si="164"/>
        <v>-0.75493552423635513</v>
      </c>
      <c r="Y205" s="163">
        <f t="shared" ca="1" si="165"/>
        <v>-11.495010061969817</v>
      </c>
      <c r="Z205" s="163">
        <f t="shared" ca="1" si="158"/>
        <v>0</v>
      </c>
      <c r="AA205" s="163">
        <f t="shared" ca="1" si="166"/>
        <v>-13.104311470645591</v>
      </c>
      <c r="AB205" s="84">
        <f t="shared" ca="1" si="147"/>
        <v>-235.3406564377938</v>
      </c>
      <c r="AC205" s="160">
        <f t="shared" si="148"/>
        <v>0</v>
      </c>
      <c r="AD205" s="31">
        <f t="shared" ca="1" si="149"/>
        <v>13600.460212140048</v>
      </c>
      <c r="AE205" s="5"/>
      <c r="AF205" s="151">
        <f t="shared" ca="1" si="150"/>
        <v>-6234.7220095610019</v>
      </c>
      <c r="AG205" s="151">
        <f t="shared" ca="1" si="151"/>
        <v>360307.86141365941</v>
      </c>
      <c r="AH205" s="5"/>
      <c r="AI205" s="5"/>
      <c r="AS205" s="55">
        <f t="shared" si="159"/>
        <v>17</v>
      </c>
      <c r="AT205" s="56">
        <f t="shared" si="167"/>
        <v>202</v>
      </c>
      <c r="AU205" s="57">
        <f t="shared" si="137"/>
        <v>0.37319806089222035</v>
      </c>
      <c r="AV205" s="58">
        <f t="shared" si="160"/>
        <v>4.8675505653430484E-3</v>
      </c>
      <c r="AW205" s="59">
        <f t="shared" si="161"/>
        <v>1.004867550565343</v>
      </c>
      <c r="AX205" s="60">
        <f>PRODUCT(AW$4:AW205)</f>
        <v>2.66674853567946</v>
      </c>
    </row>
    <row r="206" spans="5:50">
      <c r="E206">
        <f t="shared" si="139"/>
        <v>203</v>
      </c>
      <c r="F206" s="9">
        <f t="shared" si="162"/>
        <v>85.833333333332376</v>
      </c>
      <c r="G206" s="132">
        <f t="shared" si="140"/>
        <v>0</v>
      </c>
      <c r="H206" s="133">
        <f t="shared" si="168"/>
        <v>1</v>
      </c>
      <c r="I206" s="31">
        <f t="shared" si="152"/>
        <v>922992.54628722719</v>
      </c>
      <c r="J206" s="31">
        <f t="shared" si="141"/>
        <v>4492.7128904878127</v>
      </c>
      <c r="K206" s="163">
        <f t="shared" si="142"/>
        <v>-20</v>
      </c>
      <c r="L206" s="163">
        <f t="shared" si="153"/>
        <v>-769.160455239356</v>
      </c>
      <c r="M206" s="163">
        <f t="shared" si="136"/>
        <v>0</v>
      </c>
      <c r="N206" s="163">
        <f t="shared" si="154"/>
        <v>-876.84291897286596</v>
      </c>
      <c r="O206" s="84">
        <f t="shared" si="143"/>
        <v>-6234.7220095610019</v>
      </c>
      <c r="P206" s="31">
        <f t="shared" si="144"/>
        <v>919584.53379394184</v>
      </c>
      <c r="Q206" s="5"/>
      <c r="R206">
        <f t="shared" ca="1" si="155"/>
        <v>323</v>
      </c>
      <c r="S206" s="133">
        <f t="shared" ca="1" si="156"/>
        <v>95.16</v>
      </c>
      <c r="T206" s="132">
        <f t="shared" ca="1" si="145"/>
        <v>3.0196214902556751E-2</v>
      </c>
      <c r="U206" s="133">
        <f t="shared" ca="1" si="163"/>
        <v>3.660696644544699E-2</v>
      </c>
      <c r="V206" s="31">
        <f t="shared" ca="1" si="157"/>
        <v>13189.777792800594</v>
      </c>
      <c r="W206" s="31">
        <f t="shared" ca="1" si="146"/>
        <v>64.201910352095723</v>
      </c>
      <c r="X206" s="163">
        <f t="shared" ca="1" si="164"/>
        <v>-0.73213932890893973</v>
      </c>
      <c r="Y206" s="163">
        <f t="shared" ca="1" si="165"/>
        <v>-10.991481494000496</v>
      </c>
      <c r="Z206" s="163">
        <f t="shared" ca="1" si="158"/>
        <v>0</v>
      </c>
      <c r="AA206" s="163">
        <f t="shared" ca="1" si="166"/>
        <v>-12.530288903160567</v>
      </c>
      <c r="AB206" s="84">
        <f t="shared" ca="1" si="147"/>
        <v>-228.23425940068941</v>
      </c>
      <c r="AC206" s="160">
        <f t="shared" si="148"/>
        <v>0</v>
      </c>
      <c r="AD206" s="31">
        <f t="shared" ca="1" si="149"/>
        <v>13001.49153402593</v>
      </c>
      <c r="AE206" s="5"/>
      <c r="AF206" s="151">
        <f t="shared" ca="1" si="150"/>
        <v>-6234.7220095610019</v>
      </c>
      <c r="AG206" s="151">
        <f t="shared" ca="1" si="151"/>
        <v>355164.40711909899</v>
      </c>
      <c r="AH206" s="5"/>
      <c r="AI206" s="5"/>
      <c r="AS206" s="55">
        <f t="shared" si="159"/>
        <v>17</v>
      </c>
      <c r="AT206" s="56">
        <f t="shared" si="167"/>
        <v>203</v>
      </c>
      <c r="AU206" s="57">
        <f t="shared" si="137"/>
        <v>0.37138150045993951</v>
      </c>
      <c r="AV206" s="58">
        <f t="shared" si="160"/>
        <v>4.8675505653430484E-3</v>
      </c>
      <c r="AW206" s="59">
        <f t="shared" si="161"/>
        <v>1.004867550565343</v>
      </c>
      <c r="AX206" s="60">
        <f>PRODUCT(AW$4:AW206)</f>
        <v>2.6797290690219344</v>
      </c>
    </row>
    <row r="207" spans="5:50">
      <c r="E207">
        <f t="shared" si="139"/>
        <v>204</v>
      </c>
      <c r="F207" s="9">
        <f t="shared" si="162"/>
        <v>85.916666666665705</v>
      </c>
      <c r="G207" s="132">
        <f t="shared" si="140"/>
        <v>0</v>
      </c>
      <c r="H207" s="133">
        <f t="shared" si="168"/>
        <v>1</v>
      </c>
      <c r="I207" s="31">
        <f t="shared" si="152"/>
        <v>919584.53379394184</v>
      </c>
      <c r="J207" s="31">
        <f t="shared" si="141"/>
        <v>4476.1242173494256</v>
      </c>
      <c r="K207" s="163">
        <f t="shared" si="142"/>
        <v>-20</v>
      </c>
      <c r="L207" s="163">
        <f t="shared" si="153"/>
        <v>-766.32044482828496</v>
      </c>
      <c r="M207" s="163">
        <f t="shared" si="136"/>
        <v>0</v>
      </c>
      <c r="N207" s="163">
        <f t="shared" si="154"/>
        <v>-873.60530710424484</v>
      </c>
      <c r="O207" s="84">
        <f t="shared" si="143"/>
        <v>-6234.7220095610019</v>
      </c>
      <c r="P207" s="31">
        <f t="shared" si="144"/>
        <v>916166.01024979772</v>
      </c>
      <c r="Q207" s="5"/>
      <c r="R207">
        <f t="shared" ca="1" si="155"/>
        <v>324</v>
      </c>
      <c r="S207" s="133">
        <f t="shared" ca="1" si="156"/>
        <v>95.24</v>
      </c>
      <c r="T207" s="132">
        <f t="shared" ca="1" si="145"/>
        <v>3.0196214902556751E-2</v>
      </c>
      <c r="U207" s="133">
        <f t="shared" ca="1" si="163"/>
        <v>3.5501574619729588E-2</v>
      </c>
      <c r="V207" s="31">
        <f t="shared" ca="1" si="157"/>
        <v>12608.895701610711</v>
      </c>
      <c r="W207" s="31">
        <f t="shared" ca="1" si="146"/>
        <v>61.374437400726748</v>
      </c>
      <c r="X207" s="163">
        <f t="shared" ca="1" si="164"/>
        <v>-0.71003149239459173</v>
      </c>
      <c r="Y207" s="163">
        <f t="shared" ca="1" si="165"/>
        <v>-10.507413084675592</v>
      </c>
      <c r="Z207" s="163">
        <f t="shared" ca="1" si="158"/>
        <v>-94.56671776208033</v>
      </c>
      <c r="AA207" s="163">
        <f t="shared" ca="1" si="166"/>
        <v>-11.978450916530178</v>
      </c>
      <c r="AB207" s="84">
        <f t="shared" ca="1" si="147"/>
        <v>-221.34244865570031</v>
      </c>
      <c r="AC207" s="160">
        <f t="shared" si="148"/>
        <v>0</v>
      </c>
      <c r="AD207" s="31">
        <f t="shared" ca="1" si="149"/>
        <v>12331.165077100057</v>
      </c>
      <c r="AE207" s="5"/>
      <c r="AF207" s="151">
        <f t="shared" ca="1" si="150"/>
        <v>-6234.7220095610019</v>
      </c>
      <c r="AG207" s="151">
        <f t="shared" ca="1" si="151"/>
        <v>347341.356240778</v>
      </c>
      <c r="AH207" s="5"/>
      <c r="AI207" s="5"/>
      <c r="AS207" s="55">
        <f t="shared" si="159"/>
        <v>17</v>
      </c>
      <c r="AT207" s="56">
        <f t="shared" si="167"/>
        <v>204</v>
      </c>
      <c r="AU207" s="57">
        <f t="shared" si="137"/>
        <v>0.36957378222741777</v>
      </c>
      <c r="AV207" s="58">
        <f t="shared" si="160"/>
        <v>4.8675505653430484E-3</v>
      </c>
      <c r="AW207" s="59">
        <f t="shared" si="161"/>
        <v>1.004867550565343</v>
      </c>
      <c r="AX207" s="60">
        <f>PRODUCT(AW$4:AW207)</f>
        <v>2.6927727857668184</v>
      </c>
    </row>
    <row r="208" spans="5:50">
      <c r="E208">
        <f t="shared" si="139"/>
        <v>205</v>
      </c>
      <c r="F208" s="9">
        <f t="shared" si="162"/>
        <v>85.999999999999034</v>
      </c>
      <c r="G208" s="132">
        <f t="shared" si="140"/>
        <v>0</v>
      </c>
      <c r="H208" s="133">
        <f t="shared" si="168"/>
        <v>1</v>
      </c>
      <c r="I208" s="31">
        <f t="shared" si="152"/>
        <v>916166.01024979772</v>
      </c>
      <c r="J208" s="31">
        <f t="shared" si="141"/>
        <v>4459.4843811394876</v>
      </c>
      <c r="K208" s="163">
        <f t="shared" si="142"/>
        <v>-20</v>
      </c>
      <c r="L208" s="163">
        <f t="shared" si="153"/>
        <v>-763.47167520816481</v>
      </c>
      <c r="M208" s="163">
        <f t="shared" ref="M208:M271" si="169">IF(OR(I207+O207=0,K207=0),0,-IF(MOD(E208-1,12)=0,1,0)*I208*($C$17))</f>
        <v>-6871.2450768734825</v>
      </c>
      <c r="N208" s="163">
        <f t="shared" si="154"/>
        <v>-870.35770973730803</v>
      </c>
      <c r="O208" s="84">
        <f t="shared" si="143"/>
        <v>-6234.7220095610019</v>
      </c>
      <c r="P208" s="31">
        <f t="shared" si="144"/>
        <v>905865.6981595573</v>
      </c>
      <c r="Q208" s="5"/>
      <c r="R208">
        <f t="shared" ca="1" si="155"/>
        <v>325</v>
      </c>
      <c r="S208" s="133">
        <f t="shared" ca="1" si="156"/>
        <v>95.32</v>
      </c>
      <c r="T208" s="132">
        <f t="shared" ca="1" si="145"/>
        <v>3.0196214902556751E-2</v>
      </c>
      <c r="U208" s="133">
        <f t="shared" ca="1" si="163"/>
        <v>3.4429561443133076E-2</v>
      </c>
      <c r="V208" s="31">
        <f t="shared" ca="1" si="157"/>
        <v>11958.810566433041</v>
      </c>
      <c r="W208" s="31">
        <f t="shared" ca="1" si="146"/>
        <v>58.210115133471575</v>
      </c>
      <c r="X208" s="163">
        <f t="shared" ca="1" si="164"/>
        <v>-0.68859122886266155</v>
      </c>
      <c r="Y208" s="163">
        <f t="shared" ca="1" si="165"/>
        <v>-9.9656754720275345</v>
      </c>
      <c r="Z208" s="163">
        <f t="shared" ca="1" si="158"/>
        <v>0</v>
      </c>
      <c r="AA208" s="163">
        <f t="shared" ca="1" si="166"/>
        <v>-11.360870038111392</v>
      </c>
      <c r="AB208" s="84">
        <f t="shared" ca="1" si="147"/>
        <v>-214.65874450903462</v>
      </c>
      <c r="AC208" s="160">
        <f t="shared" si="148"/>
        <v>0</v>
      </c>
      <c r="AD208" s="31">
        <f t="shared" ca="1" si="149"/>
        <v>11780.346800318475</v>
      </c>
      <c r="AE208" s="5"/>
      <c r="AF208" s="151">
        <f t="shared" ca="1" si="150"/>
        <v>-6234.722009561001</v>
      </c>
      <c r="AG208" s="151">
        <f t="shared" ca="1" si="151"/>
        <v>342157.91042752442</v>
      </c>
      <c r="AH208" s="5"/>
      <c r="AI208" s="5"/>
      <c r="AS208" s="55">
        <f t="shared" si="159"/>
        <v>18</v>
      </c>
      <c r="AT208" s="56">
        <f t="shared" si="167"/>
        <v>205</v>
      </c>
      <c r="AU208" s="57">
        <f t="shared" ref="AU208:AU271" si="170">(1-AV208)*AU207</f>
        <v>0.36777486315480074</v>
      </c>
      <c r="AV208" s="58">
        <f t="shared" si="160"/>
        <v>4.8675505653430484E-3</v>
      </c>
      <c r="AW208" s="59">
        <f t="shared" si="161"/>
        <v>1.004867550565343</v>
      </c>
      <c r="AX208" s="60">
        <f>PRODUCT(AW$4:AW208)</f>
        <v>2.705879993462518</v>
      </c>
    </row>
    <row r="209" spans="5:50">
      <c r="E209">
        <f t="shared" si="139"/>
        <v>206</v>
      </c>
      <c r="F209" s="9">
        <f t="shared" si="162"/>
        <v>86.083333333332362</v>
      </c>
      <c r="G209" s="132">
        <f t="shared" si="140"/>
        <v>0</v>
      </c>
      <c r="H209" s="133">
        <f t="shared" si="168"/>
        <v>1</v>
      </c>
      <c r="I209" s="31">
        <f t="shared" si="152"/>
        <v>905865.6981595573</v>
      </c>
      <c r="J209" s="31">
        <f t="shared" si="141"/>
        <v>4409.3470912014282</v>
      </c>
      <c r="K209" s="163">
        <f t="shared" si="142"/>
        <v>-20</v>
      </c>
      <c r="L209" s="163">
        <f t="shared" si="153"/>
        <v>-754.8880817996311</v>
      </c>
      <c r="M209" s="163">
        <f t="shared" si="169"/>
        <v>0</v>
      </c>
      <c r="N209" s="163">
        <f t="shared" si="154"/>
        <v>-860.57241325157963</v>
      </c>
      <c r="O209" s="84">
        <f t="shared" si="143"/>
        <v>-6234.7220095610019</v>
      </c>
      <c r="P209" s="31">
        <f t="shared" si="144"/>
        <v>902404.86274614651</v>
      </c>
      <c r="Q209" s="5"/>
      <c r="R209">
        <f t="shared" ca="1" si="155"/>
        <v>326</v>
      </c>
      <c r="S209" s="133">
        <f t="shared" ca="1" si="156"/>
        <v>95.4</v>
      </c>
      <c r="T209" s="132">
        <f t="shared" ca="1" si="145"/>
        <v>3.0196214902556751E-2</v>
      </c>
      <c r="U209" s="133">
        <f t="shared" ca="1" si="163"/>
        <v>3.338991900679545E-2</v>
      </c>
      <c r="V209" s="31">
        <f t="shared" ca="1" si="157"/>
        <v>11424.624916709412</v>
      </c>
      <c r="W209" s="31">
        <f t="shared" ca="1" si="146"/>
        <v>55.609939472161173</v>
      </c>
      <c r="X209" s="163">
        <f t="shared" ca="1" si="164"/>
        <v>-0.66779838013590898</v>
      </c>
      <c r="Y209" s="163">
        <f t="shared" ca="1" si="165"/>
        <v>-9.5205207639245106</v>
      </c>
      <c r="Z209" s="163">
        <f t="shared" ca="1" si="158"/>
        <v>0</v>
      </c>
      <c r="AA209" s="163">
        <f t="shared" ca="1" si="166"/>
        <v>-10.853393670873944</v>
      </c>
      <c r="AB209" s="84">
        <f t="shared" ca="1" si="147"/>
        <v>-208.17686292912683</v>
      </c>
      <c r="AC209" s="160">
        <f t="shared" si="148"/>
        <v>0</v>
      </c>
      <c r="AD209" s="31">
        <f t="shared" ca="1" si="149"/>
        <v>11251.01628043751</v>
      </c>
      <c r="AE209" s="5"/>
      <c r="AF209" s="151">
        <f t="shared" ca="1" si="150"/>
        <v>-6234.7220095610019</v>
      </c>
      <c r="AG209" s="151">
        <f t="shared" ca="1" si="151"/>
        <v>336958.47774137236</v>
      </c>
      <c r="AH209" s="5"/>
      <c r="AI209" s="5"/>
      <c r="AS209" s="55">
        <f t="shared" si="159"/>
        <v>18</v>
      </c>
      <c r="AT209" s="56">
        <f t="shared" si="167"/>
        <v>206</v>
      </c>
      <c r="AU209" s="57">
        <f t="shared" si="170"/>
        <v>0.36598470041173264</v>
      </c>
      <c r="AV209" s="58">
        <f t="shared" si="160"/>
        <v>4.8675505653430484E-3</v>
      </c>
      <c r="AW209" s="59">
        <f t="shared" si="161"/>
        <v>1.004867550565343</v>
      </c>
      <c r="AX209" s="60">
        <f>PRODUCT(AW$4:AW209)</f>
        <v>2.7190510011544471</v>
      </c>
    </row>
    <row r="210" spans="5:50">
      <c r="E210">
        <f t="shared" si="139"/>
        <v>207</v>
      </c>
      <c r="F210" s="9">
        <f t="shared" si="162"/>
        <v>86.166666666665691</v>
      </c>
      <c r="G210" s="132">
        <f t="shared" si="140"/>
        <v>0</v>
      </c>
      <c r="H210" s="133">
        <f t="shared" si="168"/>
        <v>1</v>
      </c>
      <c r="I210" s="31">
        <f t="shared" si="152"/>
        <v>902404.86274614651</v>
      </c>
      <c r="J210" s="31">
        <f t="shared" si="141"/>
        <v>4392.5012998283219</v>
      </c>
      <c r="K210" s="163">
        <f t="shared" si="142"/>
        <v>-20</v>
      </c>
      <c r="L210" s="163">
        <f t="shared" si="153"/>
        <v>-752.00405228845545</v>
      </c>
      <c r="M210" s="163">
        <f t="shared" si="169"/>
        <v>0</v>
      </c>
      <c r="N210" s="163">
        <f t="shared" si="154"/>
        <v>-857.28461960883931</v>
      </c>
      <c r="O210" s="84">
        <f t="shared" si="143"/>
        <v>-6234.7220095610019</v>
      </c>
      <c r="P210" s="31">
        <f t="shared" si="144"/>
        <v>898933.3533645164</v>
      </c>
      <c r="Q210" s="5"/>
      <c r="R210">
        <f t="shared" ca="1" si="155"/>
        <v>327</v>
      </c>
      <c r="S210" s="133">
        <f t="shared" ca="1" si="156"/>
        <v>95.48</v>
      </c>
      <c r="T210" s="132">
        <f t="shared" ca="1" si="145"/>
        <v>3.0196214902556751E-2</v>
      </c>
      <c r="U210" s="133">
        <f t="shared" ca="1" si="163"/>
        <v>3.238166983688729E-2</v>
      </c>
      <c r="V210" s="31">
        <f t="shared" ca="1" si="157"/>
        <v>10911.278174961255</v>
      </c>
      <c r="W210" s="31">
        <f t="shared" ca="1" si="146"/>
        <v>53.111198249147925</v>
      </c>
      <c r="X210" s="163">
        <f t="shared" ca="1" si="164"/>
        <v>-0.64763339673774578</v>
      </c>
      <c r="Y210" s="163">
        <f t="shared" ca="1" si="165"/>
        <v>-9.0927318124677132</v>
      </c>
      <c r="Z210" s="163">
        <f t="shared" ca="1" si="158"/>
        <v>0</v>
      </c>
      <c r="AA210" s="163">
        <f t="shared" ca="1" si="166"/>
        <v>-10.365714266213194</v>
      </c>
      <c r="AB210" s="84">
        <f t="shared" ca="1" si="147"/>
        <v>-201.89070963837878</v>
      </c>
      <c r="AC210" s="160">
        <f t="shared" si="148"/>
        <v>0</v>
      </c>
      <c r="AD210" s="31">
        <f t="shared" ca="1" si="149"/>
        <v>10742.392584096606</v>
      </c>
      <c r="AE210" s="5"/>
      <c r="AF210" s="151">
        <f t="shared" ca="1" si="150"/>
        <v>-6234.722009561001</v>
      </c>
      <c r="AG210" s="151">
        <f t="shared" ca="1" si="151"/>
        <v>331743.00887533306</v>
      </c>
      <c r="AH210" s="5"/>
      <c r="AI210" s="5"/>
      <c r="AS210" s="55">
        <f t="shared" si="159"/>
        <v>18</v>
      </c>
      <c r="AT210" s="56">
        <f t="shared" si="167"/>
        <v>207</v>
      </c>
      <c r="AU210" s="57">
        <f t="shared" si="170"/>
        <v>0.36420325137633663</v>
      </c>
      <c r="AV210" s="58">
        <f t="shared" si="160"/>
        <v>4.8675505653430484E-3</v>
      </c>
      <c r="AW210" s="59">
        <f t="shared" si="161"/>
        <v>1.004867550565343</v>
      </c>
      <c r="AX210" s="60">
        <f>PRODUCT(AW$4:AW210)</f>
        <v>2.7322861193923131</v>
      </c>
    </row>
    <row r="211" spans="5:50">
      <c r="E211">
        <f t="shared" si="139"/>
        <v>208</v>
      </c>
      <c r="F211" s="9">
        <f t="shared" si="162"/>
        <v>86.249999999999019</v>
      </c>
      <c r="G211" s="132">
        <f t="shared" si="140"/>
        <v>0</v>
      </c>
      <c r="H211" s="133">
        <f t="shared" si="168"/>
        <v>1</v>
      </c>
      <c r="I211" s="31">
        <f t="shared" si="152"/>
        <v>898933.3533645164</v>
      </c>
      <c r="J211" s="31">
        <f t="shared" si="141"/>
        <v>4375.6035523751743</v>
      </c>
      <c r="K211" s="163">
        <f t="shared" si="142"/>
        <v>-20</v>
      </c>
      <c r="L211" s="163">
        <f t="shared" si="153"/>
        <v>-749.11112780376368</v>
      </c>
      <c r="M211" s="163">
        <f t="shared" si="169"/>
        <v>0</v>
      </c>
      <c r="N211" s="163">
        <f t="shared" si="154"/>
        <v>-853.98668569629081</v>
      </c>
      <c r="O211" s="84">
        <f t="shared" si="143"/>
        <v>-6234.7220095610019</v>
      </c>
      <c r="P211" s="31">
        <f t="shared" si="144"/>
        <v>895451.1370938305</v>
      </c>
      <c r="Q211" s="5"/>
      <c r="R211">
        <f t="shared" ca="1" si="155"/>
        <v>328</v>
      </c>
      <c r="S211" s="133">
        <f t="shared" ca="1" si="156"/>
        <v>95.56</v>
      </c>
      <c r="T211" s="132">
        <f t="shared" ca="1" si="145"/>
        <v>3.3016281010491699E-2</v>
      </c>
      <c r="U211" s="133">
        <f t="shared" ca="1" si="163"/>
        <v>3.1312547525963658E-2</v>
      </c>
      <c r="V211" s="31">
        <f t="shared" ca="1" si="157"/>
        <v>10387.71873181505</v>
      </c>
      <c r="W211" s="31">
        <f t="shared" ca="1" si="146"/>
        <v>50.562746185670917</v>
      </c>
      <c r="X211" s="163">
        <f t="shared" ca="1" si="164"/>
        <v>-0.62625095051927315</v>
      </c>
      <c r="Y211" s="163">
        <f t="shared" ca="1" si="165"/>
        <v>-8.6564322765125414</v>
      </c>
      <c r="Z211" s="163">
        <f t="shared" ca="1" si="158"/>
        <v>0</v>
      </c>
      <c r="AA211" s="163">
        <f t="shared" ca="1" si="166"/>
        <v>-9.8683327952242994</v>
      </c>
      <c r="AB211" s="84">
        <f t="shared" ca="1" si="147"/>
        <v>-195.22502923555052</v>
      </c>
      <c r="AC211" s="160">
        <f t="shared" si="148"/>
        <v>0</v>
      </c>
      <c r="AD211" s="31">
        <f t="shared" ca="1" si="149"/>
        <v>10223.905432742913</v>
      </c>
      <c r="AE211" s="5"/>
      <c r="AF211" s="151">
        <f t="shared" ca="1" si="150"/>
        <v>-6234.7220095610019</v>
      </c>
      <c r="AG211" s="151">
        <f t="shared" ca="1" si="151"/>
        <v>326511.45437034406</v>
      </c>
      <c r="AH211" s="5"/>
      <c r="AI211" s="5"/>
      <c r="AS211" s="55">
        <f t="shared" si="159"/>
        <v>18</v>
      </c>
      <c r="AT211" s="56">
        <f t="shared" si="167"/>
        <v>208</v>
      </c>
      <c r="AU211" s="57">
        <f t="shared" si="170"/>
        <v>0.36243047363419995</v>
      </c>
      <c r="AV211" s="58">
        <f t="shared" si="160"/>
        <v>4.8675505653430484E-3</v>
      </c>
      <c r="AW211" s="59">
        <f t="shared" si="161"/>
        <v>1.004867550565343</v>
      </c>
      <c r="AX211" s="60">
        <f>PRODUCT(AW$4:AW211)</f>
        <v>2.74558566023744</v>
      </c>
    </row>
    <row r="212" spans="5:50">
      <c r="E212">
        <f t="shared" si="139"/>
        <v>209</v>
      </c>
      <c r="F212" s="9">
        <f t="shared" si="162"/>
        <v>86.333333333332348</v>
      </c>
      <c r="G212" s="132">
        <f t="shared" si="140"/>
        <v>0</v>
      </c>
      <c r="H212" s="133">
        <f t="shared" si="168"/>
        <v>1</v>
      </c>
      <c r="I212" s="31">
        <f t="shared" si="152"/>
        <v>895451.1370938305</v>
      </c>
      <c r="J212" s="31">
        <f t="shared" si="141"/>
        <v>4358.6536885981504</v>
      </c>
      <c r="K212" s="163">
        <f t="shared" si="142"/>
        <v>-20</v>
      </c>
      <c r="L212" s="163">
        <f t="shared" si="153"/>
        <v>-746.20928091152552</v>
      </c>
      <c r="M212" s="163">
        <f t="shared" si="169"/>
        <v>0</v>
      </c>
      <c r="N212" s="163">
        <f t="shared" si="154"/>
        <v>-850.67858023913914</v>
      </c>
      <c r="O212" s="84">
        <f t="shared" si="143"/>
        <v>-6234.7220095610019</v>
      </c>
      <c r="P212" s="31">
        <f t="shared" si="144"/>
        <v>891958.18091171701</v>
      </c>
      <c r="Q212" s="5"/>
      <c r="R212">
        <f t="shared" ca="1" si="155"/>
        <v>329</v>
      </c>
      <c r="S212" s="133">
        <f t="shared" ca="1" si="156"/>
        <v>95.64</v>
      </c>
      <c r="T212" s="132">
        <f t="shared" ca="1" si="145"/>
        <v>3.3016281010491699E-2</v>
      </c>
      <c r="U212" s="133">
        <f t="shared" ca="1" si="163"/>
        <v>3.0278723657692064E-2</v>
      </c>
      <c r="V212" s="31">
        <f t="shared" ca="1" si="157"/>
        <v>9886.3500979507808</v>
      </c>
      <c r="W212" s="31">
        <f t="shared" ca="1" si="146"/>
        <v>48.122309008459624</v>
      </c>
      <c r="X212" s="163">
        <f t="shared" ca="1" si="164"/>
        <v>-0.60557447315384128</v>
      </c>
      <c r="Y212" s="163">
        <f t="shared" ca="1" si="165"/>
        <v>-8.238625081625651</v>
      </c>
      <c r="Z212" s="163">
        <f t="shared" ca="1" si="158"/>
        <v>0</v>
      </c>
      <c r="AA212" s="163">
        <f t="shared" ca="1" si="166"/>
        <v>-9.3920325930532425</v>
      </c>
      <c r="AB212" s="84">
        <f t="shared" ca="1" si="147"/>
        <v>-188.7794248100281</v>
      </c>
      <c r="AC212" s="160">
        <f t="shared" si="148"/>
        <v>0</v>
      </c>
      <c r="AD212" s="31">
        <f t="shared" ca="1" si="149"/>
        <v>9727.45675000138</v>
      </c>
      <c r="AE212" s="5"/>
      <c r="AF212" s="151">
        <f t="shared" ca="1" si="150"/>
        <v>-6234.7220095610019</v>
      </c>
      <c r="AG212" s="151">
        <f t="shared" ca="1" si="151"/>
        <v>321263.76461480069</v>
      </c>
      <c r="AH212" s="5"/>
      <c r="AI212" s="5"/>
      <c r="AS212" s="55">
        <f t="shared" si="159"/>
        <v>18</v>
      </c>
      <c r="AT212" s="56">
        <f t="shared" si="167"/>
        <v>209</v>
      </c>
      <c r="AU212" s="57">
        <f t="shared" si="170"/>
        <v>0.36066632497736423</v>
      </c>
      <c r="AV212" s="58">
        <f t="shared" si="160"/>
        <v>4.8675505653430484E-3</v>
      </c>
      <c r="AW212" s="59">
        <f t="shared" si="161"/>
        <v>1.004867550565343</v>
      </c>
      <c r="AX212" s="60">
        <f>PRODUCT(AW$4:AW212)</f>
        <v>2.7589499372701267</v>
      </c>
    </row>
    <row r="213" spans="5:50">
      <c r="E213">
        <f t="shared" si="139"/>
        <v>210</v>
      </c>
      <c r="F213" s="9">
        <f t="shared" si="162"/>
        <v>86.416666666665677</v>
      </c>
      <c r="G213" s="132">
        <f t="shared" si="140"/>
        <v>0</v>
      </c>
      <c r="H213" s="133">
        <f t="shared" si="168"/>
        <v>1</v>
      </c>
      <c r="I213" s="31">
        <f t="shared" si="152"/>
        <v>891958.18091171701</v>
      </c>
      <c r="J213" s="31">
        <f t="shared" si="141"/>
        <v>4341.6515477591847</v>
      </c>
      <c r="K213" s="163">
        <f t="shared" si="142"/>
        <v>-20</v>
      </c>
      <c r="L213" s="163">
        <f t="shared" si="153"/>
        <v>-743.2984840930975</v>
      </c>
      <c r="M213" s="163">
        <f t="shared" si="169"/>
        <v>0</v>
      </c>
      <c r="N213" s="163">
        <f t="shared" si="154"/>
        <v>-847.36027186613137</v>
      </c>
      <c r="O213" s="84">
        <f t="shared" si="143"/>
        <v>-6234.7220095610019</v>
      </c>
      <c r="P213" s="31">
        <f t="shared" si="144"/>
        <v>888454.45169395604</v>
      </c>
      <c r="Q213" s="5"/>
      <c r="R213">
        <f t="shared" ca="1" si="155"/>
        <v>330</v>
      </c>
      <c r="S213" s="133">
        <f t="shared" ca="1" si="156"/>
        <v>95.72</v>
      </c>
      <c r="T213" s="132">
        <f t="shared" ca="1" si="145"/>
        <v>3.3016281010491699E-2</v>
      </c>
      <c r="U213" s="133">
        <f t="shared" ca="1" si="163"/>
        <v>2.9279032808770679E-2</v>
      </c>
      <c r="V213" s="31">
        <f t="shared" ca="1" si="157"/>
        <v>9406.2923044259296</v>
      </c>
      <c r="W213" s="31">
        <f t="shared" ca="1" si="146"/>
        <v>45.785603424190398</v>
      </c>
      <c r="X213" s="163">
        <f t="shared" ca="1" si="164"/>
        <v>-0.58558065617541355</v>
      </c>
      <c r="Y213" s="163">
        <f t="shared" ca="1" si="165"/>
        <v>-7.8385769203549422</v>
      </c>
      <c r="Z213" s="163">
        <f t="shared" ca="1" si="158"/>
        <v>0</v>
      </c>
      <c r="AA213" s="163">
        <f t="shared" ca="1" si="166"/>
        <v>-8.9359776892046359</v>
      </c>
      <c r="AB213" s="84">
        <f t="shared" ca="1" si="147"/>
        <v>-182.54663027150124</v>
      </c>
      <c r="AC213" s="160">
        <f t="shared" si="148"/>
        <v>0</v>
      </c>
      <c r="AD213" s="31">
        <f t="shared" ca="1" si="149"/>
        <v>9252.1711423128836</v>
      </c>
      <c r="AE213" s="5"/>
      <c r="AF213" s="151">
        <f t="shared" ca="1" si="150"/>
        <v>-6234.7220095610019</v>
      </c>
      <c r="AG213" s="151">
        <f t="shared" ca="1" si="151"/>
        <v>315999.88984408497</v>
      </c>
      <c r="AH213" s="5"/>
      <c r="AI213" s="5"/>
      <c r="AS213" s="55">
        <f t="shared" si="159"/>
        <v>18</v>
      </c>
      <c r="AT213" s="56">
        <f t="shared" si="167"/>
        <v>210</v>
      </c>
      <c r="AU213" s="57">
        <f t="shared" si="170"/>
        <v>0.35891076340332045</v>
      </c>
      <c r="AV213" s="58">
        <f t="shared" si="160"/>
        <v>4.8675505653430484E-3</v>
      </c>
      <c r="AW213" s="59">
        <f t="shared" si="161"/>
        <v>1.004867550565343</v>
      </c>
      <c r="AX213" s="60">
        <f>PRODUCT(AW$4:AW213)</f>
        <v>2.772379265597039</v>
      </c>
    </row>
    <row r="214" spans="5:50">
      <c r="E214">
        <f t="shared" si="139"/>
        <v>211</v>
      </c>
      <c r="F214" s="9">
        <f t="shared" si="162"/>
        <v>86.499999999999005</v>
      </c>
      <c r="G214" s="132">
        <f t="shared" si="140"/>
        <v>0</v>
      </c>
      <c r="H214" s="133">
        <f t="shared" si="168"/>
        <v>1</v>
      </c>
      <c r="I214" s="31">
        <f t="shared" si="152"/>
        <v>888454.45169395604</v>
      </c>
      <c r="J214" s="31">
        <f t="shared" si="141"/>
        <v>4324.5969686244634</v>
      </c>
      <c r="K214" s="163">
        <f t="shared" si="142"/>
        <v>-20</v>
      </c>
      <c r="L214" s="163">
        <f t="shared" si="153"/>
        <v>-740.37870974496343</v>
      </c>
      <c r="M214" s="163">
        <f t="shared" si="169"/>
        <v>0</v>
      </c>
      <c r="N214" s="163">
        <f t="shared" si="154"/>
        <v>-844.03172910925844</v>
      </c>
      <c r="O214" s="84">
        <f t="shared" si="143"/>
        <v>-6234.7220095610019</v>
      </c>
      <c r="P214" s="31">
        <f t="shared" si="144"/>
        <v>884939.91621416528</v>
      </c>
      <c r="Q214" s="5"/>
      <c r="R214">
        <f t="shared" ca="1" si="155"/>
        <v>331</v>
      </c>
      <c r="S214" s="133">
        <f t="shared" ca="1" si="156"/>
        <v>95.8</v>
      </c>
      <c r="T214" s="132">
        <f t="shared" ca="1" si="145"/>
        <v>3.3016281010491699E-2</v>
      </c>
      <c r="U214" s="133">
        <f t="shared" ca="1" si="163"/>
        <v>2.83123480338409E-2</v>
      </c>
      <c r="V214" s="31">
        <f t="shared" ca="1" si="157"/>
        <v>8946.6988599211199</v>
      </c>
      <c r="W214" s="31">
        <f t="shared" ca="1" si="146"/>
        <v>43.548509093563055</v>
      </c>
      <c r="X214" s="163">
        <f t="shared" ca="1" si="164"/>
        <v>-0.56624696067681801</v>
      </c>
      <c r="Y214" s="163">
        <f t="shared" ca="1" si="165"/>
        <v>-7.4555823832676005</v>
      </c>
      <c r="Z214" s="163">
        <f t="shared" ca="1" si="158"/>
        <v>0</v>
      </c>
      <c r="AA214" s="163">
        <f t="shared" ca="1" si="166"/>
        <v>-8.4993639169250645</v>
      </c>
      <c r="AB214" s="84">
        <f t="shared" ca="1" si="147"/>
        <v>-176.519619428939</v>
      </c>
      <c r="AC214" s="160">
        <f t="shared" si="148"/>
        <v>0</v>
      </c>
      <c r="AD214" s="31">
        <f t="shared" ca="1" si="149"/>
        <v>8797.206556324878</v>
      </c>
      <c r="AE214" s="5"/>
      <c r="AF214" s="151">
        <f t="shared" ca="1" si="150"/>
        <v>-6234.722009561001</v>
      </c>
      <c r="AG214" s="151">
        <f t="shared" ca="1" si="151"/>
        <v>310719.7801400944</v>
      </c>
      <c r="AH214" s="5"/>
      <c r="AI214" s="5"/>
      <c r="AS214" s="55">
        <f t="shared" si="159"/>
        <v>18</v>
      </c>
      <c r="AT214" s="56">
        <f t="shared" si="167"/>
        <v>211</v>
      </c>
      <c r="AU214" s="57">
        <f t="shared" si="170"/>
        <v>0.35716374711400889</v>
      </c>
      <c r="AV214" s="58">
        <f t="shared" si="160"/>
        <v>4.8675505653430484E-3</v>
      </c>
      <c r="AW214" s="59">
        <f t="shared" si="161"/>
        <v>1.004867550565343</v>
      </c>
      <c r="AX214" s="60">
        <f>PRODUCT(AW$4:AW214)</f>
        <v>2.7858739618586412</v>
      </c>
    </row>
    <row r="215" spans="5:50">
      <c r="E215">
        <f t="shared" si="139"/>
        <v>212</v>
      </c>
      <c r="F215" s="9">
        <f t="shared" si="162"/>
        <v>86.583333333332334</v>
      </c>
      <c r="G215" s="132">
        <f t="shared" si="140"/>
        <v>0</v>
      </c>
      <c r="H215" s="133">
        <f t="shared" si="168"/>
        <v>1</v>
      </c>
      <c r="I215" s="31">
        <f t="shared" si="152"/>
        <v>884939.91621416528</v>
      </c>
      <c r="J215" s="31">
        <f t="shared" si="141"/>
        <v>4307.4897894628903</v>
      </c>
      <c r="K215" s="163">
        <f t="shared" si="142"/>
        <v>-20</v>
      </c>
      <c r="L215" s="163">
        <f t="shared" si="153"/>
        <v>-737.44993017847116</v>
      </c>
      <c r="M215" s="163">
        <f t="shared" si="169"/>
        <v>0</v>
      </c>
      <c r="N215" s="163">
        <f t="shared" si="154"/>
        <v>-840.69292040345715</v>
      </c>
      <c r="O215" s="84">
        <f t="shared" si="143"/>
        <v>-6234.7220095610019</v>
      </c>
      <c r="P215" s="31">
        <f t="shared" si="144"/>
        <v>881414.54114348523</v>
      </c>
      <c r="Q215" s="5"/>
      <c r="R215">
        <f t="shared" ca="1" si="155"/>
        <v>332</v>
      </c>
      <c r="S215" s="133">
        <f t="shared" ca="1" si="156"/>
        <v>95.88</v>
      </c>
      <c r="T215" s="132">
        <f t="shared" ca="1" si="145"/>
        <v>3.3016281010491699E-2</v>
      </c>
      <c r="U215" s="133">
        <f t="shared" ca="1" si="163"/>
        <v>2.7377579595088766E-2</v>
      </c>
      <c r="V215" s="31">
        <f t="shared" ca="1" si="157"/>
        <v>8506.7555125539166</v>
      </c>
      <c r="W215" s="31">
        <f t="shared" ca="1" si="146"/>
        <v>41.407062604366914</v>
      </c>
      <c r="X215" s="163">
        <f t="shared" ca="1" si="164"/>
        <v>-0.54755159190177527</v>
      </c>
      <c r="Y215" s="163">
        <f t="shared" ca="1" si="165"/>
        <v>-7.0889629271282644</v>
      </c>
      <c r="Z215" s="163">
        <f t="shared" ca="1" si="158"/>
        <v>0</v>
      </c>
      <c r="AA215" s="163">
        <f t="shared" ca="1" si="166"/>
        <v>-8.0814177369262215</v>
      </c>
      <c r="AB215" s="84">
        <f t="shared" ca="1" si="147"/>
        <v>-170.6915980700081</v>
      </c>
      <c r="AC215" s="160">
        <f t="shared" si="148"/>
        <v>0</v>
      </c>
      <c r="AD215" s="31">
        <f t="shared" ca="1" si="149"/>
        <v>8361.7530448323178</v>
      </c>
      <c r="AE215" s="5"/>
      <c r="AF215" s="151">
        <f t="shared" ca="1" si="150"/>
        <v>-6234.7220095610019</v>
      </c>
      <c r="AG215" s="151">
        <f t="shared" ca="1" si="151"/>
        <v>305423.38543076772</v>
      </c>
      <c r="AH215" s="5"/>
      <c r="AI215" s="5"/>
      <c r="AS215" s="55">
        <f t="shared" si="159"/>
        <v>18</v>
      </c>
      <c r="AT215" s="56">
        <f t="shared" si="167"/>
        <v>212</v>
      </c>
      <c r="AU215" s="57">
        <f t="shared" si="170"/>
        <v>0.35542523451482405</v>
      </c>
      <c r="AV215" s="58">
        <f t="shared" si="160"/>
        <v>4.8675505653430484E-3</v>
      </c>
      <c r="AW215" s="59">
        <f t="shared" si="161"/>
        <v>1.004867550565343</v>
      </c>
      <c r="AX215" s="60">
        <f>PRODUCT(AW$4:AW215)</f>
        <v>2.7994343442366607</v>
      </c>
    </row>
    <row r="216" spans="5:50">
      <c r="E216">
        <f t="shared" si="139"/>
        <v>213</v>
      </c>
      <c r="F216" s="9">
        <f t="shared" si="162"/>
        <v>86.666666666665662</v>
      </c>
      <c r="G216" s="132">
        <f t="shared" si="140"/>
        <v>0</v>
      </c>
      <c r="H216" s="133">
        <f t="shared" si="168"/>
        <v>1</v>
      </c>
      <c r="I216" s="31">
        <f t="shared" si="152"/>
        <v>881414.54114348523</v>
      </c>
      <c r="J216" s="31">
        <f t="shared" si="141"/>
        <v>4290.3298480445555</v>
      </c>
      <c r="K216" s="163">
        <f t="shared" si="142"/>
        <v>-20</v>
      </c>
      <c r="L216" s="163">
        <f t="shared" si="153"/>
        <v>-734.51211761957109</v>
      </c>
      <c r="M216" s="163">
        <f t="shared" si="169"/>
        <v>0</v>
      </c>
      <c r="N216" s="163">
        <f t="shared" si="154"/>
        <v>-837.34381408631123</v>
      </c>
      <c r="O216" s="84">
        <f t="shared" si="143"/>
        <v>-6234.7220095610019</v>
      </c>
      <c r="P216" s="31">
        <f t="shared" si="144"/>
        <v>877878.29305026284</v>
      </c>
      <c r="Q216" s="5"/>
      <c r="R216">
        <f t="shared" ca="1" si="155"/>
        <v>333</v>
      </c>
      <c r="S216" s="133">
        <f t="shared" ca="1" si="156"/>
        <v>95.96</v>
      </c>
      <c r="T216" s="132">
        <f t="shared" ca="1" si="145"/>
        <v>3.3016281010491699E-2</v>
      </c>
      <c r="U216" s="133">
        <f t="shared" ca="1" si="163"/>
        <v>2.6473673733790212E-2</v>
      </c>
      <c r="V216" s="31">
        <f t="shared" ca="1" si="157"/>
        <v>8085.6790565637993</v>
      </c>
      <c r="W216" s="31">
        <f t="shared" ca="1" si="146"/>
        <v>39.357451662959569</v>
      </c>
      <c r="X216" s="163">
        <f t="shared" ca="1" si="164"/>
        <v>-0.5294734746758043</v>
      </c>
      <c r="Y216" s="163">
        <f t="shared" ca="1" si="165"/>
        <v>-6.7380658804698328</v>
      </c>
      <c r="Z216" s="163">
        <f t="shared" ca="1" si="158"/>
        <v>0</v>
      </c>
      <c r="AA216" s="163">
        <f t="shared" ca="1" si="166"/>
        <v>-7.6813951037356105</v>
      </c>
      <c r="AB216" s="84">
        <f t="shared" ca="1" si="147"/>
        <v>-165.05599630199882</v>
      </c>
      <c r="AC216" s="160">
        <f t="shared" si="148"/>
        <v>0</v>
      </c>
      <c r="AD216" s="31">
        <f t="shared" ca="1" si="149"/>
        <v>7945.0315774658793</v>
      </c>
      <c r="AE216" s="5"/>
      <c r="AF216" s="151">
        <f t="shared" ca="1" si="150"/>
        <v>-6234.7220095610019</v>
      </c>
      <c r="AG216" s="151">
        <f t="shared" ca="1" si="151"/>
        <v>300110.65548961103</v>
      </c>
      <c r="AH216" s="5"/>
      <c r="AI216" s="5"/>
      <c r="AS216" s="55">
        <f t="shared" si="159"/>
        <v>18</v>
      </c>
      <c r="AT216" s="56">
        <f t="shared" si="167"/>
        <v>213</v>
      </c>
      <c r="AU216" s="57">
        <f t="shared" si="170"/>
        <v>0.35369518421362423</v>
      </c>
      <c r="AV216" s="58">
        <f t="shared" si="160"/>
        <v>4.8675505653430484E-3</v>
      </c>
      <c r="AW216" s="59">
        <f t="shared" si="161"/>
        <v>1.004867550565343</v>
      </c>
      <c r="AX216" s="60">
        <f>PRODUCT(AW$4:AW216)</f>
        <v>2.8130607324615906</v>
      </c>
    </row>
    <row r="217" spans="5:50">
      <c r="E217">
        <f t="shared" si="139"/>
        <v>214</v>
      </c>
      <c r="F217" s="9">
        <f t="shared" si="162"/>
        <v>86.749999999998991</v>
      </c>
      <c r="G217" s="132">
        <f t="shared" si="140"/>
        <v>0</v>
      </c>
      <c r="H217" s="133">
        <f t="shared" si="168"/>
        <v>1</v>
      </c>
      <c r="I217" s="31">
        <f t="shared" si="152"/>
        <v>877878.29305026284</v>
      </c>
      <c r="J217" s="31">
        <f t="shared" si="141"/>
        <v>4273.1169816391975</v>
      </c>
      <c r="K217" s="163">
        <f t="shared" si="142"/>
        <v>-20</v>
      </c>
      <c r="L217" s="163">
        <f t="shared" si="153"/>
        <v>-731.56524420855237</v>
      </c>
      <c r="M217" s="163">
        <f t="shared" si="169"/>
        <v>0</v>
      </c>
      <c r="N217" s="163">
        <f t="shared" si="154"/>
        <v>-833.98437839774988</v>
      </c>
      <c r="O217" s="84">
        <f t="shared" si="143"/>
        <v>-6234.7220095610019</v>
      </c>
      <c r="P217" s="31">
        <f t="shared" si="144"/>
        <v>874331.13839973474</v>
      </c>
      <c r="Q217" s="5"/>
      <c r="R217">
        <f t="shared" ca="1" si="155"/>
        <v>334</v>
      </c>
      <c r="S217" s="133">
        <f t="shared" ca="1" si="156"/>
        <v>96.04</v>
      </c>
      <c r="T217" s="132">
        <f t="shared" ca="1" si="145"/>
        <v>3.3016281010491699E-2</v>
      </c>
      <c r="U217" s="133">
        <f t="shared" ca="1" si="163"/>
        <v>2.5599611482415321E-2</v>
      </c>
      <c r="V217" s="31">
        <f t="shared" ca="1" si="157"/>
        <v>7682.7161822670359</v>
      </c>
      <c r="W217" s="31">
        <f t="shared" ca="1" si="146"/>
        <v>37.396009496364094</v>
      </c>
      <c r="X217" s="163">
        <f t="shared" ca="1" si="164"/>
        <v>-0.51199222964830637</v>
      </c>
      <c r="Y217" s="163">
        <f t="shared" ca="1" si="165"/>
        <v>-6.4022634852225302</v>
      </c>
      <c r="Z217" s="163">
        <f t="shared" ca="1" si="158"/>
        <v>0</v>
      </c>
      <c r="AA217" s="163">
        <f t="shared" ca="1" si="166"/>
        <v>-7.298580373153686</v>
      </c>
      <c r="AB217" s="84">
        <f t="shared" ca="1" si="147"/>
        <v>-159.60646114562533</v>
      </c>
      <c r="AC217" s="160">
        <f t="shared" si="148"/>
        <v>0</v>
      </c>
      <c r="AD217" s="31">
        <f t="shared" ca="1" si="149"/>
        <v>7546.2928945297508</v>
      </c>
      <c r="AE217" s="5"/>
      <c r="AF217" s="151">
        <f t="shared" ca="1" si="150"/>
        <v>-6234.722009561001</v>
      </c>
      <c r="AG217" s="151">
        <f t="shared" ca="1" si="151"/>
        <v>294781.53993522091</v>
      </c>
      <c r="AH217" s="5"/>
      <c r="AI217" s="5"/>
      <c r="AS217" s="55">
        <f t="shared" si="159"/>
        <v>18</v>
      </c>
      <c r="AT217" s="56">
        <f t="shared" si="167"/>
        <v>214</v>
      </c>
      <c r="AU217" s="57">
        <f t="shared" si="170"/>
        <v>0.35197355501974609</v>
      </c>
      <c r="AV217" s="58">
        <f t="shared" si="160"/>
        <v>4.8675505653430484E-3</v>
      </c>
      <c r="AW217" s="59">
        <f t="shared" si="161"/>
        <v>1.004867550565343</v>
      </c>
      <c r="AX217" s="60">
        <f>PRODUCT(AW$4:AW217)</f>
        <v>2.8267534478202285</v>
      </c>
    </row>
    <row r="218" spans="5:50">
      <c r="E218">
        <f t="shared" si="139"/>
        <v>215</v>
      </c>
      <c r="F218" s="9">
        <f t="shared" si="162"/>
        <v>86.83333333333232</v>
      </c>
      <c r="G218" s="132">
        <f t="shared" si="140"/>
        <v>0</v>
      </c>
      <c r="H218" s="133">
        <f t="shared" si="168"/>
        <v>1</v>
      </c>
      <c r="I218" s="31">
        <f t="shared" si="152"/>
        <v>874331.13839973474</v>
      </c>
      <c r="J218" s="31">
        <f t="shared" si="141"/>
        <v>4255.8510270146598</v>
      </c>
      <c r="K218" s="163">
        <f t="shared" si="142"/>
        <v>-20</v>
      </c>
      <c r="L218" s="163">
        <f t="shared" si="153"/>
        <v>-728.609281999779</v>
      </c>
      <c r="M218" s="163">
        <f t="shared" si="169"/>
        <v>0</v>
      </c>
      <c r="N218" s="163">
        <f t="shared" si="154"/>
        <v>-830.61458147974815</v>
      </c>
      <c r="O218" s="84">
        <f t="shared" si="143"/>
        <v>-6234.7220095610019</v>
      </c>
      <c r="P218" s="31">
        <f t="shared" si="144"/>
        <v>870773.04355370894</v>
      </c>
      <c r="Q218" s="5"/>
      <c r="R218">
        <f t="shared" ca="1" si="155"/>
        <v>335</v>
      </c>
      <c r="S218" s="133">
        <f t="shared" ca="1" si="156"/>
        <v>96.12</v>
      </c>
      <c r="T218" s="132">
        <f t="shared" ca="1" si="145"/>
        <v>3.3016281010491699E-2</v>
      </c>
      <c r="U218" s="133">
        <f t="shared" ca="1" si="163"/>
        <v>2.4754407515952488E-2</v>
      </c>
      <c r="V218" s="31">
        <f t="shared" ca="1" si="157"/>
        <v>7297.1423677364801</v>
      </c>
      <c r="W218" s="31">
        <f t="shared" ca="1" si="146"/>
        <v>35.519209457464413</v>
      </c>
      <c r="X218" s="163">
        <f t="shared" ca="1" si="164"/>
        <v>-0.49508815031904974</v>
      </c>
      <c r="Y218" s="163">
        <f t="shared" ca="1" si="165"/>
        <v>-6.0809519731137334</v>
      </c>
      <c r="Z218" s="163">
        <f t="shared" ca="1" si="158"/>
        <v>0</v>
      </c>
      <c r="AA218" s="163">
        <f t="shared" ca="1" si="166"/>
        <v>-6.9322852493496576</v>
      </c>
      <c r="AB218" s="84">
        <f t="shared" ca="1" si="147"/>
        <v>-154.33684937335127</v>
      </c>
      <c r="AC218" s="160">
        <f t="shared" si="148"/>
        <v>0</v>
      </c>
      <c r="AD218" s="31">
        <f t="shared" ca="1" si="149"/>
        <v>7164.8164024478101</v>
      </c>
      <c r="AE218" s="5"/>
      <c r="AF218" s="151">
        <f t="shared" ca="1" si="150"/>
        <v>-6234.7220095610019</v>
      </c>
      <c r="AG218" s="151">
        <f t="shared" ca="1" si="151"/>
        <v>289435.98823080643</v>
      </c>
      <c r="AH218" s="5"/>
      <c r="AI218" s="5"/>
      <c r="AS218" s="55">
        <f t="shared" si="159"/>
        <v>18</v>
      </c>
      <c r="AT218" s="56">
        <f t="shared" si="167"/>
        <v>215</v>
      </c>
      <c r="AU218" s="57">
        <f t="shared" si="170"/>
        <v>0.35026030594302393</v>
      </c>
      <c r="AV218" s="58">
        <f t="shared" si="160"/>
        <v>4.8675505653430484E-3</v>
      </c>
      <c r="AW218" s="59">
        <f t="shared" si="161"/>
        <v>1.004867550565343</v>
      </c>
      <c r="AX218" s="60">
        <f>PRODUCT(AW$4:AW218)</f>
        <v>2.8405128131632513</v>
      </c>
    </row>
    <row r="219" spans="5:50">
      <c r="E219">
        <f t="shared" ref="E219:E282" si="171">E218+1</f>
        <v>216</v>
      </c>
      <c r="F219" s="9">
        <f t="shared" si="162"/>
        <v>86.916666666665648</v>
      </c>
      <c r="G219" s="132">
        <f t="shared" si="140"/>
        <v>0</v>
      </c>
      <c r="H219" s="133">
        <f t="shared" si="168"/>
        <v>1</v>
      </c>
      <c r="I219" s="31">
        <f t="shared" si="152"/>
        <v>870773.04355370894</v>
      </c>
      <c r="J219" s="31">
        <f t="shared" si="141"/>
        <v>4238.5318204353425</v>
      </c>
      <c r="K219" s="163">
        <f t="shared" si="142"/>
        <v>-20</v>
      </c>
      <c r="L219" s="163">
        <f t="shared" si="153"/>
        <v>-725.64420296142418</v>
      </c>
      <c r="M219" s="163">
        <f t="shared" si="169"/>
        <v>0</v>
      </c>
      <c r="N219" s="163">
        <f t="shared" si="154"/>
        <v>-827.23439137602361</v>
      </c>
      <c r="O219" s="84">
        <f t="shared" si="143"/>
        <v>-6234.7220095610019</v>
      </c>
      <c r="P219" s="31">
        <f t="shared" si="144"/>
        <v>867203.97477024572</v>
      </c>
      <c r="Q219" s="5"/>
      <c r="R219">
        <f t="shared" ca="1" si="155"/>
        <v>336</v>
      </c>
      <c r="S219" s="133">
        <f t="shared" ca="1" si="156"/>
        <v>96.2</v>
      </c>
      <c r="T219" s="132">
        <f t="shared" ca="1" si="145"/>
        <v>3.3016281010491699E-2</v>
      </c>
      <c r="U219" s="133">
        <f t="shared" ca="1" si="163"/>
        <v>2.3937109041157572E-2</v>
      </c>
      <c r="V219" s="31">
        <f t="shared" ca="1" si="157"/>
        <v>6928.2608107160131</v>
      </c>
      <c r="W219" s="31">
        <f t="shared" ca="1" si="146"/>
        <v>33.723659826044816</v>
      </c>
      <c r="X219" s="163">
        <f t="shared" ca="1" si="164"/>
        <v>-0.47874218082315145</v>
      </c>
      <c r="Y219" s="163">
        <f t="shared" ca="1" si="165"/>
        <v>-5.7735506755966783</v>
      </c>
      <c r="Z219" s="163">
        <f t="shared" ca="1" si="158"/>
        <v>-51.961956080370094</v>
      </c>
      <c r="AA219" s="163">
        <f t="shared" ca="1" si="166"/>
        <v>-6.5818477701802136</v>
      </c>
      <c r="AB219" s="84">
        <f t="shared" ca="1" si="147"/>
        <v>-149.24122058416677</v>
      </c>
      <c r="AC219" s="160">
        <f t="shared" si="148"/>
        <v>0</v>
      </c>
      <c r="AD219" s="31">
        <f t="shared" ca="1" si="149"/>
        <v>6747.9471532509206</v>
      </c>
      <c r="AE219" s="5"/>
      <c r="AF219" s="151">
        <f t="shared" ca="1" si="150"/>
        <v>-6234.7220095610019</v>
      </c>
      <c r="AG219" s="151">
        <f t="shared" ca="1" si="151"/>
        <v>281903.17977197957</v>
      </c>
      <c r="AH219" s="5"/>
      <c r="AI219" s="5"/>
      <c r="AS219" s="55">
        <f t="shared" si="159"/>
        <v>18</v>
      </c>
      <c r="AT219" s="56">
        <f t="shared" si="167"/>
        <v>216</v>
      </c>
      <c r="AU219" s="57">
        <f t="shared" si="170"/>
        <v>0.34855539619281373</v>
      </c>
      <c r="AV219" s="58">
        <f t="shared" si="160"/>
        <v>4.8675505653430484E-3</v>
      </c>
      <c r="AW219" s="59">
        <f t="shared" si="161"/>
        <v>1.004867550565343</v>
      </c>
      <c r="AX219" s="60">
        <f>PRODUCT(AW$4:AW219)</f>
        <v>2.8543391529128281</v>
      </c>
    </row>
    <row r="220" spans="5:50">
      <c r="E220">
        <f t="shared" si="171"/>
        <v>217</v>
      </c>
      <c r="F220" s="9">
        <f t="shared" si="162"/>
        <v>86.999999999998977</v>
      </c>
      <c r="G220" s="132">
        <f t="shared" si="140"/>
        <v>0</v>
      </c>
      <c r="H220" s="133">
        <f t="shared" si="168"/>
        <v>1</v>
      </c>
      <c r="I220" s="31">
        <f t="shared" si="152"/>
        <v>867203.97477024572</v>
      </c>
      <c r="J220" s="31">
        <f t="shared" si="141"/>
        <v>4221.1591976606487</v>
      </c>
      <c r="K220" s="163">
        <f t="shared" si="142"/>
        <v>-20</v>
      </c>
      <c r="L220" s="163">
        <f t="shared" si="153"/>
        <v>-722.6699789752048</v>
      </c>
      <c r="M220" s="163">
        <f t="shared" si="169"/>
        <v>-6504.0298107768431</v>
      </c>
      <c r="N220" s="163">
        <f t="shared" si="154"/>
        <v>-823.84377603173368</v>
      </c>
      <c r="O220" s="84">
        <f t="shared" si="143"/>
        <v>-6234.7220095610019</v>
      </c>
      <c r="P220" s="31">
        <f t="shared" si="144"/>
        <v>857119.86839256156</v>
      </c>
      <c r="Q220" s="5"/>
      <c r="R220">
        <f t="shared" ca="1" si="155"/>
        <v>337</v>
      </c>
      <c r="S220" s="133">
        <f t="shared" ca="1" si="156"/>
        <v>96.28</v>
      </c>
      <c r="T220" s="132">
        <f t="shared" ca="1" si="145"/>
        <v>3.3016281010491699E-2</v>
      </c>
      <c r="U220" s="133">
        <f t="shared" ca="1" si="163"/>
        <v>2.3146794722475932E-2</v>
      </c>
      <c r="V220" s="31">
        <f t="shared" ca="1" si="157"/>
        <v>6525.1550337952403</v>
      </c>
      <c r="W220" s="31">
        <f t="shared" ca="1" si="146"/>
        <v>31.761522073701059</v>
      </c>
      <c r="X220" s="163">
        <f t="shared" ca="1" si="164"/>
        <v>-0.46293589444951866</v>
      </c>
      <c r="Y220" s="163">
        <f t="shared" ca="1" si="165"/>
        <v>-5.4376291948293671</v>
      </c>
      <c r="Z220" s="163">
        <f t="shared" ca="1" si="158"/>
        <v>0</v>
      </c>
      <c r="AA220" s="163">
        <f t="shared" ca="1" si="166"/>
        <v>-6.19889728210548</v>
      </c>
      <c r="AB220" s="84">
        <f t="shared" ca="1" si="147"/>
        <v>-144.31383050701112</v>
      </c>
      <c r="AC220" s="160">
        <f t="shared" si="148"/>
        <v>0</v>
      </c>
      <c r="AD220" s="31">
        <f t="shared" ca="1" si="149"/>
        <v>6400.5032629905454</v>
      </c>
      <c r="AE220" s="5"/>
      <c r="AF220" s="151">
        <f t="shared" ca="1" si="150"/>
        <v>-6234.722009561001</v>
      </c>
      <c r="AG220" s="151">
        <f t="shared" ca="1" si="151"/>
        <v>276517.90840722964</v>
      </c>
      <c r="AH220" s="5"/>
      <c r="AI220" s="5"/>
      <c r="AS220" s="55">
        <f t="shared" si="159"/>
        <v>19</v>
      </c>
      <c r="AT220" s="56">
        <f t="shared" si="167"/>
        <v>217</v>
      </c>
      <c r="AU220" s="57">
        <f t="shared" si="170"/>
        <v>0.34685878517702201</v>
      </c>
      <c r="AV220" s="58">
        <f t="shared" si="160"/>
        <v>4.8675505653430484E-3</v>
      </c>
      <c r="AW220" s="59">
        <f t="shared" si="161"/>
        <v>1.004867550565343</v>
      </c>
      <c r="AX220" s="60">
        <f>PRODUCT(AW$4:AW220)</f>
        <v>2.8682327930702698</v>
      </c>
    </row>
    <row r="221" spans="5:50">
      <c r="E221">
        <f t="shared" si="171"/>
        <v>218</v>
      </c>
      <c r="F221" s="9">
        <f t="shared" si="162"/>
        <v>87.083333333332305</v>
      </c>
      <c r="G221" s="132">
        <f t="shared" si="140"/>
        <v>0</v>
      </c>
      <c r="H221" s="133">
        <f t="shared" si="168"/>
        <v>1</v>
      </c>
      <c r="I221" s="31">
        <f t="shared" si="152"/>
        <v>857119.86839256156</v>
      </c>
      <c r="J221" s="31">
        <f t="shared" si="141"/>
        <v>4172.074299960972</v>
      </c>
      <c r="K221" s="163">
        <f t="shared" si="142"/>
        <v>-20</v>
      </c>
      <c r="L221" s="163">
        <f t="shared" si="153"/>
        <v>-714.26655699380137</v>
      </c>
      <c r="M221" s="163">
        <f t="shared" si="169"/>
        <v>0</v>
      </c>
      <c r="N221" s="163">
        <f t="shared" si="154"/>
        <v>-814.26387497293365</v>
      </c>
      <c r="O221" s="84">
        <f t="shared" si="143"/>
        <v>-6234.7220095610019</v>
      </c>
      <c r="P221" s="31">
        <f t="shared" si="144"/>
        <v>853508.69025099475</v>
      </c>
      <c r="Q221" s="5"/>
      <c r="R221">
        <f t="shared" ca="1" si="155"/>
        <v>338</v>
      </c>
      <c r="S221" s="133">
        <f t="shared" ca="1" si="156"/>
        <v>96.36</v>
      </c>
      <c r="T221" s="132">
        <f t="shared" ca="1" si="145"/>
        <v>3.3016281010491699E-2</v>
      </c>
      <c r="U221" s="133">
        <f t="shared" ca="1" si="163"/>
        <v>2.2382573643426499E-2</v>
      </c>
      <c r="V221" s="31">
        <f t="shared" ca="1" si="157"/>
        <v>6189.1824486510804</v>
      </c>
      <c r="W221" s="31">
        <f t="shared" ca="1" si="146"/>
        <v>30.126158526942838</v>
      </c>
      <c r="X221" s="163">
        <f t="shared" ca="1" si="164"/>
        <v>-0.44765147286852996</v>
      </c>
      <c r="Y221" s="163">
        <f t="shared" ca="1" si="165"/>
        <v>-5.1576520405425672</v>
      </c>
      <c r="Z221" s="163">
        <f t="shared" ca="1" si="158"/>
        <v>0</v>
      </c>
      <c r="AA221" s="163">
        <f t="shared" ca="1" si="166"/>
        <v>-5.879723326218528</v>
      </c>
      <c r="AB221" s="84">
        <f t="shared" ca="1" si="147"/>
        <v>-139.54912452529118</v>
      </c>
      <c r="AC221" s="160">
        <f t="shared" si="148"/>
        <v>0</v>
      </c>
      <c r="AD221" s="31">
        <f t="shared" ca="1" si="149"/>
        <v>6068.2744558131026</v>
      </c>
      <c r="AE221" s="5"/>
      <c r="AF221" s="151">
        <f t="shared" ca="1" si="150"/>
        <v>-6234.7220095610019</v>
      </c>
      <c r="AG221" s="151">
        <f t="shared" ca="1" si="151"/>
        <v>271116.02769573749</v>
      </c>
      <c r="AH221" s="5"/>
      <c r="AI221" s="5"/>
      <c r="AS221" s="55">
        <f t="shared" si="159"/>
        <v>19</v>
      </c>
      <c r="AT221" s="56">
        <f t="shared" si="167"/>
        <v>218</v>
      </c>
      <c r="AU221" s="57">
        <f t="shared" si="170"/>
        <v>0.34517043250113938</v>
      </c>
      <c r="AV221" s="58">
        <f t="shared" si="160"/>
        <v>4.8675505653430484E-3</v>
      </c>
      <c r="AW221" s="59">
        <f t="shared" si="161"/>
        <v>1.004867550565343</v>
      </c>
      <c r="AX221" s="60">
        <f>PRODUCT(AW$4:AW221)</f>
        <v>2.8821940612237142</v>
      </c>
    </row>
    <row r="222" spans="5:50">
      <c r="E222">
        <f t="shared" si="171"/>
        <v>219</v>
      </c>
      <c r="F222" s="9">
        <f t="shared" si="162"/>
        <v>87.166666666665634</v>
      </c>
      <c r="G222" s="132">
        <f t="shared" si="140"/>
        <v>0</v>
      </c>
      <c r="H222" s="133">
        <f t="shared" si="168"/>
        <v>1</v>
      </c>
      <c r="I222" s="31">
        <f t="shared" si="152"/>
        <v>853508.69025099475</v>
      </c>
      <c r="J222" s="31">
        <f t="shared" si="141"/>
        <v>4154.4967077564343</v>
      </c>
      <c r="K222" s="163">
        <f t="shared" si="142"/>
        <v>-20</v>
      </c>
      <c r="L222" s="163">
        <f t="shared" si="153"/>
        <v>-711.25724187582898</v>
      </c>
      <c r="M222" s="163">
        <f t="shared" si="169"/>
        <v>0</v>
      </c>
      <c r="N222" s="163">
        <f t="shared" si="154"/>
        <v>-810.83325573844513</v>
      </c>
      <c r="O222" s="84">
        <f t="shared" si="143"/>
        <v>-6234.7220095610019</v>
      </c>
      <c r="P222" s="31">
        <f t="shared" si="144"/>
        <v>849886.3744515758</v>
      </c>
      <c r="Q222" s="5"/>
      <c r="R222">
        <f t="shared" ca="1" si="155"/>
        <v>339</v>
      </c>
      <c r="S222" s="133">
        <f t="shared" ca="1" si="156"/>
        <v>96.44</v>
      </c>
      <c r="T222" s="132">
        <f t="shared" ca="1" si="145"/>
        <v>3.3016281010491699E-2</v>
      </c>
      <c r="U222" s="133">
        <f t="shared" ca="1" si="163"/>
        <v>2.1643584302277103E-2</v>
      </c>
      <c r="V222" s="31">
        <f t="shared" ca="1" si="157"/>
        <v>5867.9226011311885</v>
      </c>
      <c r="W222" s="31">
        <f t="shared" ca="1" si="146"/>
        <v>28.562409974525366</v>
      </c>
      <c r="X222" s="163">
        <f t="shared" ca="1" si="164"/>
        <v>-0.43287168604554205</v>
      </c>
      <c r="Y222" s="163">
        <f t="shared" ca="1" si="165"/>
        <v>-4.8899355009426575</v>
      </c>
      <c r="Z222" s="163">
        <f t="shared" ca="1" si="158"/>
        <v>0</v>
      </c>
      <c r="AA222" s="163">
        <f t="shared" ca="1" si="166"/>
        <v>-5.5745264710746305</v>
      </c>
      <c r="AB222" s="84">
        <f t="shared" ca="1" si="147"/>
        <v>-134.94173141519605</v>
      </c>
      <c r="AC222" s="160">
        <f t="shared" si="148"/>
        <v>0</v>
      </c>
      <c r="AD222" s="31">
        <f t="shared" ca="1" si="149"/>
        <v>5750.645946032455</v>
      </c>
      <c r="AE222" s="5"/>
      <c r="AF222" s="151">
        <f t="shared" ca="1" si="150"/>
        <v>-6234.7220095610019</v>
      </c>
      <c r="AG222" s="151">
        <f t="shared" ca="1" si="151"/>
        <v>265697.48641066969</v>
      </c>
      <c r="AH222" s="5"/>
      <c r="AI222" s="5"/>
      <c r="AS222" s="55">
        <f t="shared" si="159"/>
        <v>19</v>
      </c>
      <c r="AT222" s="56">
        <f t="shared" si="167"/>
        <v>219</v>
      </c>
      <c r="AU222" s="57">
        <f t="shared" si="170"/>
        <v>0.34349029796727876</v>
      </c>
      <c r="AV222" s="58">
        <f t="shared" si="160"/>
        <v>4.8675505653430484E-3</v>
      </c>
      <c r="AW222" s="59">
        <f t="shared" si="161"/>
        <v>1.004867550565343</v>
      </c>
      <c r="AX222" s="60">
        <f>PRODUCT(AW$4:AW222)</f>
        <v>2.8962232865558519</v>
      </c>
    </row>
    <row r="223" spans="5:50">
      <c r="E223">
        <f t="shared" si="171"/>
        <v>220</v>
      </c>
      <c r="F223" s="9">
        <f t="shared" si="162"/>
        <v>87.249999999998963</v>
      </c>
      <c r="G223" s="132">
        <f t="shared" si="140"/>
        <v>0</v>
      </c>
      <c r="H223" s="133">
        <f t="shared" si="168"/>
        <v>1</v>
      </c>
      <c r="I223" s="31">
        <f t="shared" si="152"/>
        <v>849886.3744515758</v>
      </c>
      <c r="J223" s="31">
        <f t="shared" si="141"/>
        <v>4136.8649024391216</v>
      </c>
      <c r="K223" s="163">
        <f t="shared" si="142"/>
        <v>-20</v>
      </c>
      <c r="L223" s="163">
        <f t="shared" si="153"/>
        <v>-708.23864537631323</v>
      </c>
      <c r="M223" s="163">
        <f t="shared" si="169"/>
        <v>0</v>
      </c>
      <c r="N223" s="163">
        <f t="shared" si="154"/>
        <v>-807.39205572899709</v>
      </c>
      <c r="O223" s="84">
        <f t="shared" si="143"/>
        <v>-6234.7220095610019</v>
      </c>
      <c r="P223" s="31">
        <f t="shared" si="144"/>
        <v>846252.88664334861</v>
      </c>
      <c r="Q223" s="5"/>
      <c r="R223">
        <f t="shared" ca="1" si="155"/>
        <v>340</v>
      </c>
      <c r="S223" s="133">
        <f t="shared" ca="1" si="156"/>
        <v>96.52</v>
      </c>
      <c r="T223" s="132">
        <f t="shared" ca="1" si="145"/>
        <v>3.6095739169136332E-2</v>
      </c>
      <c r="U223" s="133">
        <f t="shared" ca="1" si="163"/>
        <v>2.0862343128616897E-2</v>
      </c>
      <c r="V223" s="31">
        <f t="shared" ca="1" si="157"/>
        <v>5543.0721299104162</v>
      </c>
      <c r="W223" s="31">
        <f t="shared" ca="1" si="146"/>
        <v>26.981183879682742</v>
      </c>
      <c r="X223" s="163">
        <f t="shared" ca="1" si="164"/>
        <v>-0.41724686257233795</v>
      </c>
      <c r="Y223" s="163">
        <f t="shared" ca="1" si="165"/>
        <v>-4.6192267749253473</v>
      </c>
      <c r="Z223" s="163">
        <f t="shared" ca="1" si="158"/>
        <v>0</v>
      </c>
      <c r="AA223" s="163">
        <f t="shared" ca="1" si="166"/>
        <v>-5.2659185234148964</v>
      </c>
      <c r="AB223" s="84">
        <f t="shared" ca="1" si="147"/>
        <v>-130.07090987500149</v>
      </c>
      <c r="AC223" s="160">
        <f t="shared" si="148"/>
        <v>0</v>
      </c>
      <c r="AD223" s="31">
        <f t="shared" ca="1" si="149"/>
        <v>5429.6800117541852</v>
      </c>
      <c r="AE223" s="5"/>
      <c r="AF223" s="151">
        <f t="shared" ca="1" si="150"/>
        <v>-6234.7220095610019</v>
      </c>
      <c r="AG223" s="151">
        <f t="shared" ca="1" si="151"/>
        <v>260262.23316719817</v>
      </c>
      <c r="AH223" s="5"/>
      <c r="AI223" s="5"/>
      <c r="AS223" s="55">
        <f t="shared" si="159"/>
        <v>19</v>
      </c>
      <c r="AT223" s="56">
        <f t="shared" si="167"/>
        <v>220</v>
      </c>
      <c r="AU223" s="57">
        <f t="shared" si="170"/>
        <v>0.34181834157321828</v>
      </c>
      <c r="AV223" s="58">
        <f t="shared" si="160"/>
        <v>4.8675505653430484E-3</v>
      </c>
      <c r="AW223" s="59">
        <f t="shared" si="161"/>
        <v>1.004867550565343</v>
      </c>
      <c r="AX223" s="60">
        <f>PRODUCT(AW$4:AW223)</f>
        <v>2.9103207998516867</v>
      </c>
    </row>
    <row r="224" spans="5:50">
      <c r="E224">
        <f t="shared" si="171"/>
        <v>221</v>
      </c>
      <c r="F224" s="9">
        <f t="shared" si="162"/>
        <v>87.333333333332291</v>
      </c>
      <c r="G224" s="132">
        <f t="shared" si="140"/>
        <v>0</v>
      </c>
      <c r="H224" s="133">
        <f t="shared" si="168"/>
        <v>1</v>
      </c>
      <c r="I224" s="31">
        <f t="shared" si="152"/>
        <v>846252.88664334861</v>
      </c>
      <c r="J224" s="31">
        <f t="shared" si="141"/>
        <v>4119.1787168040182</v>
      </c>
      <c r="K224" s="163">
        <f t="shared" si="142"/>
        <v>-20</v>
      </c>
      <c r="L224" s="163">
        <f t="shared" si="153"/>
        <v>-705.21073886945726</v>
      </c>
      <c r="M224" s="163">
        <f t="shared" si="169"/>
        <v>0</v>
      </c>
      <c r="N224" s="163">
        <f t="shared" si="154"/>
        <v>-803.94024231118135</v>
      </c>
      <c r="O224" s="84">
        <f t="shared" si="143"/>
        <v>-6234.7220095610019</v>
      </c>
      <c r="P224" s="31">
        <f t="shared" si="144"/>
        <v>842608.19236941088</v>
      </c>
      <c r="Q224" s="5"/>
      <c r="R224">
        <f t="shared" ca="1" si="155"/>
        <v>341</v>
      </c>
      <c r="S224" s="133">
        <f t="shared" ca="1" si="156"/>
        <v>96.6</v>
      </c>
      <c r="T224" s="132">
        <f t="shared" ca="1" si="145"/>
        <v>3.6095739169136332E-2</v>
      </c>
      <c r="U224" s="133">
        <f t="shared" ca="1" si="163"/>
        <v>2.0109301432589318E-2</v>
      </c>
      <c r="V224" s="31">
        <f t="shared" ca="1" si="157"/>
        <v>5233.6916982780331</v>
      </c>
      <c r="W224" s="31">
        <f t="shared" ca="1" si="146"/>
        <v>25.47525898478446</v>
      </c>
      <c r="X224" s="163">
        <f t="shared" ca="1" si="164"/>
        <v>-0.40218602865178638</v>
      </c>
      <c r="Y224" s="163">
        <f t="shared" ca="1" si="165"/>
        <v>-4.3614097485650278</v>
      </c>
      <c r="Z224" s="163">
        <f t="shared" ca="1" si="158"/>
        <v>0</v>
      </c>
      <c r="AA224" s="163">
        <f t="shared" ca="1" si="166"/>
        <v>-4.9720071133641328</v>
      </c>
      <c r="AB224" s="84">
        <f t="shared" ca="1" si="147"/>
        <v>-125.37590423866119</v>
      </c>
      <c r="AC224" s="160">
        <f t="shared" si="148"/>
        <v>0</v>
      </c>
      <c r="AD224" s="31">
        <f t="shared" ca="1" si="149"/>
        <v>5124.0554501335755</v>
      </c>
      <c r="AE224" s="5"/>
      <c r="AF224" s="151">
        <f t="shared" ca="1" si="150"/>
        <v>-6234.722009561001</v>
      </c>
      <c r="AG224" s="151">
        <f t="shared" ca="1" si="151"/>
        <v>254810.21642201277</v>
      </c>
      <c r="AH224" s="5"/>
      <c r="AI224" s="5"/>
      <c r="AS224" s="55">
        <f t="shared" si="159"/>
        <v>19</v>
      </c>
      <c r="AT224" s="56">
        <f t="shared" si="167"/>
        <v>221</v>
      </c>
      <c r="AU224" s="57">
        <f t="shared" si="170"/>
        <v>0.34015452351144893</v>
      </c>
      <c r="AV224" s="58">
        <f t="shared" si="160"/>
        <v>4.8675505653430484E-3</v>
      </c>
      <c r="AW224" s="59">
        <f t="shared" si="161"/>
        <v>1.004867550565343</v>
      </c>
      <c r="AX224" s="60">
        <f>PRODUCT(AW$4:AW224)</f>
        <v>2.9244869335063344</v>
      </c>
    </row>
    <row r="225" spans="5:50">
      <c r="E225">
        <f t="shared" si="171"/>
        <v>222</v>
      </c>
      <c r="F225" s="9">
        <f t="shared" si="162"/>
        <v>87.41666666666562</v>
      </c>
      <c r="G225" s="132">
        <f t="shared" si="140"/>
        <v>0</v>
      </c>
      <c r="H225" s="133">
        <f t="shared" si="168"/>
        <v>1</v>
      </c>
      <c r="I225" s="31">
        <f t="shared" si="152"/>
        <v>842608.19236941088</v>
      </c>
      <c r="J225" s="31">
        <f t="shared" si="141"/>
        <v>4101.4379831304104</v>
      </c>
      <c r="K225" s="163">
        <f t="shared" si="142"/>
        <v>-20</v>
      </c>
      <c r="L225" s="163">
        <f t="shared" si="153"/>
        <v>-702.17349364117581</v>
      </c>
      <c r="M225" s="163">
        <f t="shared" si="169"/>
        <v>0</v>
      </c>
      <c r="N225" s="163">
        <f t="shared" si="154"/>
        <v>-800.47778275094049</v>
      </c>
      <c r="O225" s="84">
        <f t="shared" si="143"/>
        <v>-6234.7220095610019</v>
      </c>
      <c r="P225" s="31">
        <f t="shared" si="144"/>
        <v>838952.25706658815</v>
      </c>
      <c r="Q225" s="5"/>
      <c r="R225">
        <f t="shared" ca="1" si="155"/>
        <v>342</v>
      </c>
      <c r="S225" s="133">
        <f t="shared" ca="1" si="156"/>
        <v>96.68</v>
      </c>
      <c r="T225" s="132">
        <f t="shared" ca="1" si="145"/>
        <v>3.6095739169136332E-2</v>
      </c>
      <c r="U225" s="133">
        <f t="shared" ca="1" si="163"/>
        <v>1.9383441333205034E-2</v>
      </c>
      <c r="V225" s="31">
        <f t="shared" ca="1" si="157"/>
        <v>4939.0988811173629</v>
      </c>
      <c r="W225" s="31">
        <f t="shared" ca="1" si="146"/>
        <v>24.041313551068036</v>
      </c>
      <c r="X225" s="163">
        <f t="shared" ca="1" si="164"/>
        <v>-0.38766882666410069</v>
      </c>
      <c r="Y225" s="163">
        <f t="shared" ca="1" si="165"/>
        <v>-4.115915734264469</v>
      </c>
      <c r="Z225" s="163">
        <f t="shared" ca="1" si="158"/>
        <v>0</v>
      </c>
      <c r="AA225" s="163">
        <f t="shared" ca="1" si="166"/>
        <v>-4.6921439370614957</v>
      </c>
      <c r="AB225" s="84">
        <f t="shared" ca="1" si="147"/>
        <v>-120.85036830116786</v>
      </c>
      <c r="AC225" s="160">
        <f t="shared" si="148"/>
        <v>0</v>
      </c>
      <c r="AD225" s="31">
        <f t="shared" ca="1" si="149"/>
        <v>4833.0940978692734</v>
      </c>
      <c r="AE225" s="5"/>
      <c r="AF225" s="151">
        <f t="shared" ca="1" si="150"/>
        <v>-6234.722009561001</v>
      </c>
      <c r="AG225" s="151">
        <f t="shared" ca="1" si="151"/>
        <v>249341.38447283269</v>
      </c>
      <c r="AH225" s="5"/>
      <c r="AI225" s="5"/>
      <c r="AS225" s="55">
        <f t="shared" si="159"/>
        <v>19</v>
      </c>
      <c r="AT225" s="56">
        <f t="shared" si="167"/>
        <v>222</v>
      </c>
      <c r="AU225" s="57">
        <f t="shared" si="170"/>
        <v>0.33849880416822675</v>
      </c>
      <c r="AV225" s="58">
        <f t="shared" si="160"/>
        <v>4.8675505653430484E-3</v>
      </c>
      <c r="AW225" s="59">
        <f t="shared" si="161"/>
        <v>1.004867550565343</v>
      </c>
      <c r="AX225" s="60">
        <f>PRODUCT(AW$4:AW225)</f>
        <v>2.9387220215328616</v>
      </c>
    </row>
    <row r="226" spans="5:50">
      <c r="E226">
        <f t="shared" si="171"/>
        <v>223</v>
      </c>
      <c r="F226" s="9">
        <f t="shared" si="162"/>
        <v>87.499999999998948</v>
      </c>
      <c r="G226" s="132">
        <f t="shared" si="140"/>
        <v>0</v>
      </c>
      <c r="H226" s="133">
        <f t="shared" si="168"/>
        <v>1</v>
      </c>
      <c r="I226" s="31">
        <f t="shared" si="152"/>
        <v>838952.25706658815</v>
      </c>
      <c r="J226" s="31">
        <f t="shared" si="141"/>
        <v>4083.6425331802975</v>
      </c>
      <c r="K226" s="163">
        <f t="shared" si="142"/>
        <v>-20</v>
      </c>
      <c r="L226" s="163">
        <f t="shared" si="153"/>
        <v>-699.12688088882351</v>
      </c>
      <c r="M226" s="163">
        <f t="shared" si="169"/>
        <v>0</v>
      </c>
      <c r="N226" s="163">
        <f t="shared" si="154"/>
        <v>-797.00464421325887</v>
      </c>
      <c r="O226" s="84">
        <f t="shared" si="143"/>
        <v>-6234.7220095610019</v>
      </c>
      <c r="P226" s="31">
        <f t="shared" si="144"/>
        <v>835285.04606510536</v>
      </c>
      <c r="Q226" s="5"/>
      <c r="R226">
        <f t="shared" ca="1" si="155"/>
        <v>343</v>
      </c>
      <c r="S226" s="133">
        <f t="shared" ca="1" si="156"/>
        <v>96.76</v>
      </c>
      <c r="T226" s="132">
        <f t="shared" ca="1" si="145"/>
        <v>3.6095739169136332E-2</v>
      </c>
      <c r="U226" s="133">
        <f t="shared" ca="1" si="163"/>
        <v>1.8683781690641409E-2</v>
      </c>
      <c r="V226" s="31">
        <f t="shared" ca="1" si="157"/>
        <v>4658.6399939326921</v>
      </c>
      <c r="W226" s="31">
        <f t="shared" ca="1" si="146"/>
        <v>22.676165736196811</v>
      </c>
      <c r="X226" s="163">
        <f t="shared" ca="1" si="164"/>
        <v>-0.3736756338128282</v>
      </c>
      <c r="Y226" s="163">
        <f t="shared" ca="1" si="165"/>
        <v>-3.8821999949439103</v>
      </c>
      <c r="Z226" s="163">
        <f t="shared" ca="1" si="158"/>
        <v>0</v>
      </c>
      <c r="AA226" s="163">
        <f t="shared" ca="1" si="166"/>
        <v>-4.425707994236058</v>
      </c>
      <c r="AB226" s="84">
        <f t="shared" ca="1" si="147"/>
        <v>-116.48818492847484</v>
      </c>
      <c r="AC226" s="160">
        <f t="shared" si="148"/>
        <v>0</v>
      </c>
      <c r="AD226" s="31">
        <f t="shared" ca="1" si="149"/>
        <v>4556.1463911174205</v>
      </c>
      <c r="AE226" s="5"/>
      <c r="AF226" s="151">
        <f t="shared" ca="1" si="150"/>
        <v>-6234.722009561001</v>
      </c>
      <c r="AG226" s="151">
        <f t="shared" ca="1" si="151"/>
        <v>243855.68545791594</v>
      </c>
      <c r="AH226" s="5"/>
      <c r="AI226" s="5"/>
      <c r="AS226" s="55">
        <f t="shared" si="159"/>
        <v>19</v>
      </c>
      <c r="AT226" s="56">
        <f t="shared" si="167"/>
        <v>223</v>
      </c>
      <c r="AU226" s="57">
        <f t="shared" si="170"/>
        <v>0.33685114412262973</v>
      </c>
      <c r="AV226" s="58">
        <f t="shared" si="160"/>
        <v>4.8675505653430484E-3</v>
      </c>
      <c r="AW226" s="59">
        <f t="shared" si="161"/>
        <v>1.004867550565343</v>
      </c>
      <c r="AX226" s="60">
        <f>PRODUCT(AW$4:AW226)</f>
        <v>2.95302639957016</v>
      </c>
    </row>
    <row r="227" spans="5:50">
      <c r="E227">
        <f t="shared" si="171"/>
        <v>224</v>
      </c>
      <c r="F227" s="9">
        <f t="shared" si="162"/>
        <v>87.583333333332277</v>
      </c>
      <c r="G227" s="132">
        <f t="shared" si="140"/>
        <v>0</v>
      </c>
      <c r="H227" s="133">
        <f t="shared" si="168"/>
        <v>1</v>
      </c>
      <c r="I227" s="31">
        <f t="shared" si="152"/>
        <v>835285.04606510536</v>
      </c>
      <c r="J227" s="31">
        <f t="shared" si="141"/>
        <v>4065.7921981967979</v>
      </c>
      <c r="K227" s="163">
        <f t="shared" si="142"/>
        <v>-20</v>
      </c>
      <c r="L227" s="163">
        <f t="shared" si="153"/>
        <v>-696.07087172092122</v>
      </c>
      <c r="M227" s="163">
        <f t="shared" si="169"/>
        <v>0</v>
      </c>
      <c r="N227" s="163">
        <f t="shared" si="154"/>
        <v>-793.5207937618502</v>
      </c>
      <c r="O227" s="84">
        <f t="shared" si="143"/>
        <v>-6234.7220095610019</v>
      </c>
      <c r="P227" s="31">
        <f t="shared" si="144"/>
        <v>831606.52458825835</v>
      </c>
      <c r="Q227" s="5"/>
      <c r="R227">
        <f t="shared" ca="1" si="155"/>
        <v>344</v>
      </c>
      <c r="S227" s="133">
        <f t="shared" ca="1" si="156"/>
        <v>96.84</v>
      </c>
      <c r="T227" s="132">
        <f t="shared" ca="1" si="145"/>
        <v>3.6095739169136332E-2</v>
      </c>
      <c r="U227" s="133">
        <f t="shared" ca="1" si="163"/>
        <v>1.800937678004293E-2</v>
      </c>
      <c r="V227" s="31">
        <f t="shared" ca="1" si="157"/>
        <v>4391.6889193672441</v>
      </c>
      <c r="W227" s="31">
        <f t="shared" ca="1" si="146"/>
        <v>21.37676788227683</v>
      </c>
      <c r="X227" s="163">
        <f t="shared" ca="1" si="164"/>
        <v>-0.36018753560085859</v>
      </c>
      <c r="Y227" s="163">
        <f t="shared" ca="1" si="165"/>
        <v>-3.6597407661393704</v>
      </c>
      <c r="Z227" s="163">
        <f t="shared" ca="1" si="158"/>
        <v>0</v>
      </c>
      <c r="AA227" s="163">
        <f t="shared" ca="1" si="166"/>
        <v>-4.1721044733988828</v>
      </c>
      <c r="AB227" s="84">
        <f t="shared" ca="1" si="147"/>
        <v>-112.28345778901048</v>
      </c>
      <c r="AC227" s="160">
        <f t="shared" si="148"/>
        <v>0</v>
      </c>
      <c r="AD227" s="31">
        <f t="shared" ca="1" si="149"/>
        <v>4292.5901966853717</v>
      </c>
      <c r="AE227" s="5"/>
      <c r="AF227" s="151">
        <f t="shared" ca="1" si="150"/>
        <v>-6234.722009561001</v>
      </c>
      <c r="AG227" s="151">
        <f t="shared" ca="1" si="151"/>
        <v>238353.06735556782</v>
      </c>
      <c r="AH227" s="5"/>
      <c r="AI227" s="5"/>
      <c r="AS227" s="55">
        <f t="shared" si="159"/>
        <v>19</v>
      </c>
      <c r="AT227" s="56">
        <f t="shared" si="167"/>
        <v>224</v>
      </c>
      <c r="AU227" s="57">
        <f t="shared" si="170"/>
        <v>0.33521150414561918</v>
      </c>
      <c r="AV227" s="58">
        <f t="shared" si="160"/>
        <v>4.8675505653430484E-3</v>
      </c>
      <c r="AW227" s="59">
        <f t="shared" si="161"/>
        <v>1.004867550565343</v>
      </c>
      <c r="AX227" s="60">
        <f>PRODUCT(AW$4:AW227)</f>
        <v>2.9674004048908609</v>
      </c>
    </row>
    <row r="228" spans="5:50">
      <c r="E228">
        <f t="shared" si="171"/>
        <v>225</v>
      </c>
      <c r="F228" s="9">
        <f t="shared" si="162"/>
        <v>87.666666666665606</v>
      </c>
      <c r="G228" s="132">
        <f t="shared" si="140"/>
        <v>0</v>
      </c>
      <c r="H228" s="133">
        <f t="shared" si="168"/>
        <v>1</v>
      </c>
      <c r="I228" s="31">
        <f t="shared" si="152"/>
        <v>831606.52458825835</v>
      </c>
      <c r="J228" s="31">
        <f t="shared" si="141"/>
        <v>4047.8868089025445</v>
      </c>
      <c r="K228" s="163">
        <f t="shared" si="142"/>
        <v>-20</v>
      </c>
      <c r="L228" s="163">
        <f t="shared" si="153"/>
        <v>-693.00543715688195</v>
      </c>
      <c r="M228" s="163">
        <f t="shared" si="169"/>
        <v>0</v>
      </c>
      <c r="N228" s="163">
        <f t="shared" si="154"/>
        <v>-790.02619835884559</v>
      </c>
      <c r="O228" s="84">
        <f t="shared" si="143"/>
        <v>-6234.7220095610019</v>
      </c>
      <c r="P228" s="31">
        <f t="shared" si="144"/>
        <v>827916.65775208408</v>
      </c>
      <c r="Q228" s="5"/>
      <c r="R228">
        <f t="shared" ca="1" si="155"/>
        <v>345</v>
      </c>
      <c r="S228" s="133">
        <f t="shared" ca="1" si="156"/>
        <v>96.92</v>
      </c>
      <c r="T228" s="132">
        <f t="shared" ca="1" si="145"/>
        <v>3.6095739169136332E-2</v>
      </c>
      <c r="U228" s="133">
        <f t="shared" ca="1" si="163"/>
        <v>1.7359315013191799E-2</v>
      </c>
      <c r="V228" s="31">
        <f t="shared" ca="1" si="157"/>
        <v>4137.6459805858249</v>
      </c>
      <c r="W228" s="31">
        <f t="shared" ca="1" si="146"/>
        <v>20.140201031989925</v>
      </c>
      <c r="X228" s="163">
        <f t="shared" ca="1" si="164"/>
        <v>-0.34718630026383596</v>
      </c>
      <c r="Y228" s="163">
        <f t="shared" ca="1" si="165"/>
        <v>-3.4480383171548543</v>
      </c>
      <c r="Z228" s="163">
        <f t="shared" ca="1" si="158"/>
        <v>0</v>
      </c>
      <c r="AA228" s="163">
        <f t="shared" ca="1" si="166"/>
        <v>-3.9307636815565346</v>
      </c>
      <c r="AB228" s="84">
        <f t="shared" ca="1" si="147"/>
        <v>-108.23050338364963</v>
      </c>
      <c r="AC228" s="160">
        <f t="shared" si="148"/>
        <v>0</v>
      </c>
      <c r="AD228" s="31">
        <f t="shared" ca="1" si="149"/>
        <v>4041.8296899351894</v>
      </c>
      <c r="AE228" s="5"/>
      <c r="AF228" s="151">
        <f t="shared" ca="1" si="150"/>
        <v>-6234.7220095610019</v>
      </c>
      <c r="AG228" s="151">
        <f t="shared" ca="1" si="151"/>
        <v>232833.47798364723</v>
      </c>
      <c r="AH228" s="5"/>
      <c r="AI228" s="5"/>
      <c r="AS228" s="55">
        <f t="shared" si="159"/>
        <v>19</v>
      </c>
      <c r="AT228" s="56">
        <f t="shared" si="167"/>
        <v>225</v>
      </c>
      <c r="AU228" s="57">
        <f t="shared" si="170"/>
        <v>0.33357984519910566</v>
      </c>
      <c r="AV228" s="58">
        <f t="shared" si="160"/>
        <v>4.8675505653430484E-3</v>
      </c>
      <c r="AW228" s="59">
        <f t="shared" si="161"/>
        <v>1.004867550565343</v>
      </c>
      <c r="AX228" s="60">
        <f>PRODUCT(AW$4:AW228)</f>
        <v>2.9818443764092866</v>
      </c>
    </row>
    <row r="229" spans="5:50">
      <c r="E229">
        <f t="shared" si="171"/>
        <v>226</v>
      </c>
      <c r="F229" s="9">
        <f t="shared" si="162"/>
        <v>87.749999999998934</v>
      </c>
      <c r="G229" s="132">
        <f t="shared" si="140"/>
        <v>0</v>
      </c>
      <c r="H229" s="133">
        <f t="shared" si="168"/>
        <v>1</v>
      </c>
      <c r="I229" s="31">
        <f t="shared" si="152"/>
        <v>827916.65775208408</v>
      </c>
      <c r="J229" s="31">
        <f t="shared" si="141"/>
        <v>4029.9261954980839</v>
      </c>
      <c r="K229" s="163">
        <f t="shared" si="142"/>
        <v>-20</v>
      </c>
      <c r="L229" s="163">
        <f t="shared" si="153"/>
        <v>-689.93054812673677</v>
      </c>
      <c r="M229" s="163">
        <f t="shared" si="169"/>
        <v>0</v>
      </c>
      <c r="N229" s="163">
        <f t="shared" si="154"/>
        <v>-786.52082486448001</v>
      </c>
      <c r="O229" s="84">
        <f t="shared" si="143"/>
        <v>-6234.7220095610019</v>
      </c>
      <c r="P229" s="31">
        <f t="shared" si="144"/>
        <v>824215.41056502995</v>
      </c>
      <c r="Q229" s="5"/>
      <c r="R229">
        <f t="shared" ca="1" si="155"/>
        <v>346</v>
      </c>
      <c r="S229" s="133">
        <f t="shared" ca="1" si="156"/>
        <v>97</v>
      </c>
      <c r="T229" s="132">
        <f t="shared" ca="1" si="145"/>
        <v>3.6095739169136332E-2</v>
      </c>
      <c r="U229" s="133">
        <f t="shared" ca="1" si="163"/>
        <v>1.6732717706320756E-2</v>
      </c>
      <c r="V229" s="31">
        <f t="shared" ca="1" si="157"/>
        <v>3895.9368596812178</v>
      </c>
      <c r="W229" s="31">
        <f t="shared" ca="1" si="146"/>
        <v>18.963669663882133</v>
      </c>
      <c r="X229" s="163">
        <f t="shared" ca="1" si="164"/>
        <v>-0.33465435412641514</v>
      </c>
      <c r="Y229" s="163">
        <f t="shared" ca="1" si="165"/>
        <v>-3.2466140497343483</v>
      </c>
      <c r="Z229" s="163">
        <f t="shared" ca="1" si="158"/>
        <v>0</v>
      </c>
      <c r="AA229" s="163">
        <f t="shared" ca="1" si="166"/>
        <v>-3.7011400166971575</v>
      </c>
      <c r="AB229" s="84">
        <f t="shared" ca="1" si="147"/>
        <v>-104.32384336336911</v>
      </c>
      <c r="AC229" s="160">
        <f t="shared" si="148"/>
        <v>0</v>
      </c>
      <c r="AD229" s="31">
        <f t="shared" ca="1" si="149"/>
        <v>3803.2942775611727</v>
      </c>
      <c r="AE229" s="5"/>
      <c r="AF229" s="151">
        <f t="shared" ca="1" si="150"/>
        <v>-6234.7220095610019</v>
      </c>
      <c r="AG229" s="151">
        <f t="shared" ca="1" si="151"/>
        <v>227296.86499907213</v>
      </c>
      <c r="AH229" s="5"/>
      <c r="AI229" s="5"/>
      <c r="AS229" s="55">
        <f t="shared" si="159"/>
        <v>19</v>
      </c>
      <c r="AT229" s="56">
        <f t="shared" si="167"/>
        <v>226</v>
      </c>
      <c r="AU229" s="57">
        <f t="shared" si="170"/>
        <v>0.3319561284350197</v>
      </c>
      <c r="AV229" s="58">
        <f t="shared" si="160"/>
        <v>4.8675505653430484E-3</v>
      </c>
      <c r="AW229" s="59">
        <f t="shared" si="161"/>
        <v>1.004867550565343</v>
      </c>
      <c r="AX229" s="60">
        <f>PRODUCT(AW$4:AW229)</f>
        <v>2.9963586546894425</v>
      </c>
    </row>
    <row r="230" spans="5:50">
      <c r="E230">
        <f t="shared" si="171"/>
        <v>227</v>
      </c>
      <c r="F230" s="9">
        <f t="shared" si="162"/>
        <v>87.833333333332263</v>
      </c>
      <c r="G230" s="132">
        <f t="shared" si="140"/>
        <v>0</v>
      </c>
      <c r="H230" s="133">
        <f t="shared" si="168"/>
        <v>1</v>
      </c>
      <c r="I230" s="31">
        <f t="shared" si="152"/>
        <v>824215.41056502995</v>
      </c>
      <c r="J230" s="31">
        <f t="shared" si="141"/>
        <v>4011.9101876602645</v>
      </c>
      <c r="K230" s="163">
        <f t="shared" si="142"/>
        <v>-20</v>
      </c>
      <c r="L230" s="163">
        <f t="shared" si="153"/>
        <v>-686.84617547085838</v>
      </c>
      <c r="M230" s="163">
        <f t="shared" si="169"/>
        <v>0</v>
      </c>
      <c r="N230" s="163">
        <f t="shared" si="154"/>
        <v>-783.0046400367786</v>
      </c>
      <c r="O230" s="84">
        <f t="shared" si="143"/>
        <v>-6234.7220095610019</v>
      </c>
      <c r="P230" s="31">
        <f t="shared" si="144"/>
        <v>820502.74792762159</v>
      </c>
      <c r="Q230" s="5"/>
      <c r="R230">
        <f t="shared" ca="1" si="155"/>
        <v>347</v>
      </c>
      <c r="S230" s="133">
        <f t="shared" ca="1" si="156"/>
        <v>97.08</v>
      </c>
      <c r="T230" s="132">
        <f t="shared" ca="1" si="145"/>
        <v>3.6095739169136332E-2</v>
      </c>
      <c r="U230" s="133">
        <f t="shared" ca="1" si="163"/>
        <v>1.6128737892402614E-2</v>
      </c>
      <c r="V230" s="31">
        <f t="shared" ca="1" si="157"/>
        <v>3666.011559334856</v>
      </c>
      <c r="W230" s="31">
        <f t="shared" ca="1" si="146"/>
        <v>17.844496638194528</v>
      </c>
      <c r="X230" s="163">
        <f t="shared" ca="1" si="164"/>
        <v>-0.32257475784805228</v>
      </c>
      <c r="Y230" s="163">
        <f t="shared" ca="1" si="165"/>
        <v>-3.055009632779047</v>
      </c>
      <c r="Z230" s="163">
        <f t="shared" ca="1" si="158"/>
        <v>0</v>
      </c>
      <c r="AA230" s="163">
        <f t="shared" ca="1" si="166"/>
        <v>-3.4827109813681134</v>
      </c>
      <c r="AB230" s="84">
        <f t="shared" ca="1" si="147"/>
        <v>-100.5581971242031</v>
      </c>
      <c r="AC230" s="160">
        <f t="shared" si="148"/>
        <v>0</v>
      </c>
      <c r="AD230" s="31">
        <f t="shared" ca="1" si="149"/>
        <v>3576.4375634768521</v>
      </c>
      <c r="AE230" s="5"/>
      <c r="AF230" s="151">
        <f t="shared" ca="1" si="150"/>
        <v>-6234.7220095610019</v>
      </c>
      <c r="AG230" s="151">
        <f t="shared" ca="1" si="151"/>
        <v>221743.17589732303</v>
      </c>
      <c r="AH230" s="5"/>
      <c r="AI230" s="5"/>
      <c r="AS230" s="55">
        <f t="shared" si="159"/>
        <v>19</v>
      </c>
      <c r="AT230" s="56">
        <f t="shared" si="167"/>
        <v>227</v>
      </c>
      <c r="AU230" s="57">
        <f t="shared" si="170"/>
        <v>0.33034031519438672</v>
      </c>
      <c r="AV230" s="58">
        <f t="shared" si="160"/>
        <v>4.8675505653430484E-3</v>
      </c>
      <c r="AW230" s="59">
        <f t="shared" si="161"/>
        <v>1.004867550565343</v>
      </c>
      <c r="AX230" s="60">
        <f>PRODUCT(AW$4:AW230)</f>
        <v>3.0109435819530468</v>
      </c>
    </row>
    <row r="231" spans="5:50">
      <c r="E231">
        <f t="shared" si="171"/>
        <v>228</v>
      </c>
      <c r="F231" s="9">
        <f t="shared" si="162"/>
        <v>87.916666666665591</v>
      </c>
      <c r="G231" s="132">
        <f t="shared" si="140"/>
        <v>0</v>
      </c>
      <c r="H231" s="133">
        <f t="shared" si="168"/>
        <v>1</v>
      </c>
      <c r="I231" s="31">
        <f t="shared" si="152"/>
        <v>820502.74792762159</v>
      </c>
      <c r="J231" s="31">
        <f t="shared" si="141"/>
        <v>3993.8386145406193</v>
      </c>
      <c r="K231" s="163">
        <f t="shared" si="142"/>
        <v>-20</v>
      </c>
      <c r="L231" s="163">
        <f t="shared" si="153"/>
        <v>-683.75228993968472</v>
      </c>
      <c r="M231" s="163">
        <f t="shared" si="169"/>
        <v>0</v>
      </c>
      <c r="N231" s="163">
        <f t="shared" si="154"/>
        <v>-779.47761053124066</v>
      </c>
      <c r="O231" s="84">
        <f t="shared" si="143"/>
        <v>-6234.7220095610019</v>
      </c>
      <c r="P231" s="31">
        <f t="shared" si="144"/>
        <v>816778.63463213027</v>
      </c>
      <c r="Q231" s="5"/>
      <c r="R231">
        <f t="shared" ca="1" si="155"/>
        <v>348</v>
      </c>
      <c r="S231" s="133">
        <f t="shared" ca="1" si="156"/>
        <v>97.16</v>
      </c>
      <c r="T231" s="132">
        <f t="shared" ca="1" si="145"/>
        <v>3.6095739169136332E-2</v>
      </c>
      <c r="U231" s="133">
        <f t="shared" ca="1" si="163"/>
        <v>1.5546559176311084E-2</v>
      </c>
      <c r="V231" s="31">
        <f t="shared" ca="1" si="157"/>
        <v>3447.34340603089</v>
      </c>
      <c r="W231" s="31">
        <f t="shared" ca="1" si="146"/>
        <v>16.780118344957287</v>
      </c>
      <c r="X231" s="163">
        <f t="shared" ca="1" si="164"/>
        <v>-0.31093118352622168</v>
      </c>
      <c r="Y231" s="163">
        <f t="shared" ca="1" si="165"/>
        <v>-2.8727861716924084</v>
      </c>
      <c r="Z231" s="163">
        <f t="shared" ca="1" si="158"/>
        <v>-25.855075545231674</v>
      </c>
      <c r="AA231" s="163">
        <f t="shared" ca="1" si="166"/>
        <v>-3.2749762357293459</v>
      </c>
      <c r="AB231" s="84">
        <f t="shared" ca="1" si="147"/>
        <v>-96.928474669489276</v>
      </c>
      <c r="AC231" s="160">
        <f t="shared" si="148"/>
        <v>0</v>
      </c>
      <c r="AD231" s="31">
        <f t="shared" ca="1" si="149"/>
        <v>3334.8812805701787</v>
      </c>
      <c r="AE231" s="5"/>
      <c r="AF231" s="151">
        <f t="shared" ca="1" si="150"/>
        <v>-6234.7220095610019</v>
      </c>
      <c r="AG231" s="151">
        <f t="shared" ca="1" si="151"/>
        <v>214509.28419271522</v>
      </c>
      <c r="AH231" s="5"/>
      <c r="AI231" s="5"/>
      <c r="AS231" s="55">
        <f t="shared" si="159"/>
        <v>19</v>
      </c>
      <c r="AT231" s="56">
        <f t="shared" si="167"/>
        <v>228</v>
      </c>
      <c r="AU231" s="57">
        <f t="shared" si="170"/>
        <v>0.32873236700640668</v>
      </c>
      <c r="AV231" s="58">
        <f t="shared" si="160"/>
        <v>4.8675505653430484E-3</v>
      </c>
      <c r="AW231" s="59">
        <f t="shared" si="161"/>
        <v>1.004867550565343</v>
      </c>
      <c r="AX231" s="60">
        <f>PRODUCT(AW$4:AW231)</f>
        <v>3.0255995020875983</v>
      </c>
    </row>
    <row r="232" spans="5:50">
      <c r="E232">
        <f t="shared" si="171"/>
        <v>229</v>
      </c>
      <c r="F232" s="9">
        <f t="shared" si="162"/>
        <v>87.99999999999892</v>
      </c>
      <c r="G232" s="132">
        <f t="shared" si="140"/>
        <v>0</v>
      </c>
      <c r="H232" s="133">
        <f t="shared" si="168"/>
        <v>1</v>
      </c>
      <c r="I232" s="31">
        <f t="shared" si="152"/>
        <v>816778.63463213027</v>
      </c>
      <c r="J232" s="31">
        <f t="shared" si="141"/>
        <v>3975.711304763749</v>
      </c>
      <c r="K232" s="163">
        <f t="shared" si="142"/>
        <v>-20</v>
      </c>
      <c r="L232" s="163">
        <f t="shared" si="153"/>
        <v>-680.64886219344191</v>
      </c>
      <c r="M232" s="163">
        <f t="shared" si="169"/>
        <v>-6125.8397597409767</v>
      </c>
      <c r="N232" s="163">
        <f t="shared" si="154"/>
        <v>-775.93970290052391</v>
      </c>
      <c r="O232" s="84">
        <f t="shared" si="143"/>
        <v>-6234.7220095610019</v>
      </c>
      <c r="P232" s="31">
        <f t="shared" si="144"/>
        <v>806917.19560249813</v>
      </c>
      <c r="Q232" s="5"/>
      <c r="R232">
        <f t="shared" ca="1" si="155"/>
        <v>349</v>
      </c>
      <c r="S232" s="133">
        <f t="shared" ca="1" si="156"/>
        <v>97.24</v>
      </c>
      <c r="T232" s="132">
        <f t="shared" ca="1" si="145"/>
        <v>3.6095739169136332E-2</v>
      </c>
      <c r="U232" s="133">
        <f t="shared" ca="1" si="163"/>
        <v>1.4985394631305415E-2</v>
      </c>
      <c r="V232" s="31">
        <f t="shared" ca="1" si="157"/>
        <v>3214.5062757066821</v>
      </c>
      <c r="W232" s="31">
        <f t="shared" ca="1" si="146"/>
        <v>15.646771839614837</v>
      </c>
      <c r="X232" s="163">
        <f t="shared" ca="1" si="164"/>
        <v>-0.29970789262610831</v>
      </c>
      <c r="Y232" s="163">
        <f t="shared" ca="1" si="165"/>
        <v>-2.6787552297555686</v>
      </c>
      <c r="Z232" s="163">
        <f t="shared" ca="1" si="158"/>
        <v>0</v>
      </c>
      <c r="AA232" s="163">
        <f t="shared" ca="1" si="166"/>
        <v>-3.053780961921349</v>
      </c>
      <c r="AB232" s="84">
        <f t="shared" ca="1" si="147"/>
        <v>-93.42976972975714</v>
      </c>
      <c r="AC232" s="160">
        <f t="shared" si="148"/>
        <v>0</v>
      </c>
      <c r="AD232" s="31">
        <f t="shared" ca="1" si="149"/>
        <v>3130.691033732237</v>
      </c>
      <c r="AE232" s="5"/>
      <c r="AF232" s="151">
        <f t="shared" ca="1" si="150"/>
        <v>-6234.7220095610019</v>
      </c>
      <c r="AG232" s="151">
        <f t="shared" ca="1" si="151"/>
        <v>208916.15541388746</v>
      </c>
      <c r="AH232" s="5"/>
      <c r="AI232" s="5"/>
      <c r="AS232" s="55">
        <f t="shared" si="159"/>
        <v>20</v>
      </c>
      <c r="AT232" s="56">
        <f t="shared" si="167"/>
        <v>229</v>
      </c>
      <c r="AU232" s="57">
        <f t="shared" si="170"/>
        <v>0.32713224558753806</v>
      </c>
      <c r="AV232" s="58">
        <f t="shared" si="160"/>
        <v>4.8675505653430484E-3</v>
      </c>
      <c r="AW232" s="59">
        <f t="shared" si="161"/>
        <v>1.004867550565343</v>
      </c>
      <c r="AX232" s="60">
        <f>PRODUCT(AW$4:AW232)</f>
        <v>3.0403267606544864</v>
      </c>
    </row>
    <row r="233" spans="5:50">
      <c r="E233">
        <f t="shared" si="171"/>
        <v>230</v>
      </c>
      <c r="F233" s="9">
        <f t="shared" si="162"/>
        <v>88.083333333332249</v>
      </c>
      <c r="G233" s="132">
        <f t="shared" si="140"/>
        <v>0</v>
      </c>
      <c r="H233" s="133">
        <f t="shared" si="168"/>
        <v>1</v>
      </c>
      <c r="I233" s="31">
        <f t="shared" si="152"/>
        <v>806917.19560249813</v>
      </c>
      <c r="J233" s="31">
        <f t="shared" si="141"/>
        <v>3927.7102516399668</v>
      </c>
      <c r="K233" s="163">
        <f t="shared" si="142"/>
        <v>-20</v>
      </c>
      <c r="L233" s="163">
        <f t="shared" si="153"/>
        <v>-672.4309963354151</v>
      </c>
      <c r="M233" s="163">
        <f t="shared" si="169"/>
        <v>0</v>
      </c>
      <c r="N233" s="163">
        <f t="shared" si="154"/>
        <v>-766.57133582237338</v>
      </c>
      <c r="O233" s="84">
        <f t="shared" si="143"/>
        <v>-6234.7220095610019</v>
      </c>
      <c r="P233" s="31">
        <f t="shared" si="144"/>
        <v>803151.18151241925</v>
      </c>
      <c r="Q233" s="5"/>
      <c r="R233">
        <f t="shared" ca="1" si="155"/>
        <v>350</v>
      </c>
      <c r="S233" s="133">
        <f t="shared" ca="1" si="156"/>
        <v>97.32</v>
      </c>
      <c r="T233" s="132">
        <f t="shared" ca="1" si="145"/>
        <v>3.6095739169136332E-2</v>
      </c>
      <c r="U233" s="133">
        <f t="shared" ca="1" si="163"/>
        <v>1.444448573534724E-2</v>
      </c>
      <c r="V233" s="31">
        <f t="shared" ca="1" si="157"/>
        <v>3017.6864267594842</v>
      </c>
      <c r="W233" s="31">
        <f t="shared" ca="1" si="146"/>
        <v>14.68874127260117</v>
      </c>
      <c r="X233" s="163">
        <f t="shared" ca="1" si="164"/>
        <v>-0.2888897147069448</v>
      </c>
      <c r="Y233" s="163">
        <f t="shared" ca="1" si="165"/>
        <v>-2.5147386889662369</v>
      </c>
      <c r="Z233" s="163">
        <f t="shared" ca="1" si="158"/>
        <v>0</v>
      </c>
      <c r="AA233" s="163">
        <f t="shared" ca="1" si="166"/>
        <v>-2.8668021054215109</v>
      </c>
      <c r="AB233" s="84">
        <f t="shared" ca="1" si="147"/>
        <v>-90.05735313095937</v>
      </c>
      <c r="AC233" s="160">
        <f t="shared" si="148"/>
        <v>0</v>
      </c>
      <c r="AD233" s="31">
        <f t="shared" ca="1" si="149"/>
        <v>2936.6473843920317</v>
      </c>
      <c r="AE233" s="5"/>
      <c r="AF233" s="151">
        <f t="shared" ca="1" si="150"/>
        <v>-6234.7220095610019</v>
      </c>
      <c r="AG233" s="151">
        <f t="shared" ca="1" si="151"/>
        <v>203305.7762108992</v>
      </c>
      <c r="AH233" s="5"/>
      <c r="AI233" s="5"/>
      <c r="AS233" s="55">
        <f t="shared" si="159"/>
        <v>20</v>
      </c>
      <c r="AT233" s="56">
        <f t="shared" si="167"/>
        <v>230</v>
      </c>
      <c r="AU233" s="57">
        <f t="shared" si="170"/>
        <v>0.32553991284058648</v>
      </c>
      <c r="AV233" s="58">
        <f t="shared" si="160"/>
        <v>4.8675505653430484E-3</v>
      </c>
      <c r="AW233" s="59">
        <f t="shared" si="161"/>
        <v>1.004867550565343</v>
      </c>
      <c r="AX233" s="60">
        <f>PRODUCT(AW$4:AW233)</f>
        <v>3.0551257048971379</v>
      </c>
    </row>
    <row r="234" spans="5:50">
      <c r="E234">
        <f t="shared" si="171"/>
        <v>231</v>
      </c>
      <c r="F234" s="9">
        <f t="shared" si="162"/>
        <v>88.166666666665577</v>
      </c>
      <c r="G234" s="132">
        <f t="shared" si="140"/>
        <v>0</v>
      </c>
      <c r="H234" s="133">
        <f t="shared" si="168"/>
        <v>1</v>
      </c>
      <c r="I234" s="31">
        <f t="shared" si="152"/>
        <v>803151.18151241925</v>
      </c>
      <c r="J234" s="31">
        <f t="shared" si="141"/>
        <v>3909.3789876267138</v>
      </c>
      <c r="K234" s="163">
        <f t="shared" si="142"/>
        <v>-20</v>
      </c>
      <c r="L234" s="163">
        <f t="shared" si="153"/>
        <v>-669.29265126034943</v>
      </c>
      <c r="M234" s="163">
        <f t="shared" si="169"/>
        <v>0</v>
      </c>
      <c r="N234" s="163">
        <f t="shared" si="154"/>
        <v>-762.99362243679843</v>
      </c>
      <c r="O234" s="84">
        <f t="shared" si="143"/>
        <v>-6234.7220095610019</v>
      </c>
      <c r="P234" s="31">
        <f t="shared" si="144"/>
        <v>799373.55221678782</v>
      </c>
      <c r="Q234" s="5"/>
      <c r="R234">
        <f t="shared" ca="1" si="155"/>
        <v>351</v>
      </c>
      <c r="S234" s="133">
        <f t="shared" ca="1" si="156"/>
        <v>97.4</v>
      </c>
      <c r="T234" s="132">
        <f t="shared" ca="1" si="145"/>
        <v>3.6095739169136332E-2</v>
      </c>
      <c r="U234" s="133">
        <f t="shared" ca="1" si="163"/>
        <v>1.3923101345811836E-2</v>
      </c>
      <c r="V234" s="31">
        <f t="shared" ca="1" si="157"/>
        <v>2830.6469263732906</v>
      </c>
      <c r="W234" s="31">
        <f t="shared" ca="1" si="146"/>
        <v>13.778317046754873</v>
      </c>
      <c r="X234" s="163">
        <f t="shared" ca="1" si="164"/>
        <v>-0.27846202691623673</v>
      </c>
      <c r="Y234" s="163">
        <f t="shared" ca="1" si="165"/>
        <v>-2.3588724386444091</v>
      </c>
      <c r="Z234" s="163">
        <f t="shared" ca="1" si="158"/>
        <v>0</v>
      </c>
      <c r="AA234" s="163">
        <f t="shared" ca="1" si="166"/>
        <v>-2.6891145800546266</v>
      </c>
      <c r="AB234" s="84">
        <f t="shared" ca="1" si="147"/>
        <v>-86.806666402081461</v>
      </c>
      <c r="AC234" s="160">
        <f t="shared" si="148"/>
        <v>0</v>
      </c>
      <c r="AD234" s="31">
        <f t="shared" ca="1" si="149"/>
        <v>2752.2921279723487</v>
      </c>
      <c r="AE234" s="5"/>
      <c r="AF234" s="151">
        <f t="shared" ca="1" si="150"/>
        <v>-6234.7220095610019</v>
      </c>
      <c r="AG234" s="151">
        <f t="shared" ca="1" si="151"/>
        <v>197678.09337969497</v>
      </c>
      <c r="AH234" s="5"/>
      <c r="AI234" s="5"/>
      <c r="AS234" s="55">
        <f t="shared" si="159"/>
        <v>20</v>
      </c>
      <c r="AT234" s="56">
        <f t="shared" si="167"/>
        <v>231</v>
      </c>
      <c r="AU234" s="57">
        <f t="shared" si="170"/>
        <v>0.32395533085379757</v>
      </c>
      <c r="AV234" s="58">
        <f t="shared" si="160"/>
        <v>4.8675505653430484E-3</v>
      </c>
      <c r="AW234" s="59">
        <f t="shared" si="161"/>
        <v>1.004867550565343</v>
      </c>
      <c r="AX234" s="60">
        <f>PRODUCT(AW$4:AW234)</f>
        <v>3.0699966837492041</v>
      </c>
    </row>
    <row r="235" spans="5:50">
      <c r="E235">
        <f t="shared" si="171"/>
        <v>232</v>
      </c>
      <c r="F235" s="9">
        <f t="shared" si="162"/>
        <v>88.249999999998906</v>
      </c>
      <c r="G235" s="132">
        <f t="shared" si="140"/>
        <v>0</v>
      </c>
      <c r="H235" s="133">
        <f t="shared" si="168"/>
        <v>1</v>
      </c>
      <c r="I235" s="31">
        <f t="shared" si="152"/>
        <v>799373.55221678782</v>
      </c>
      <c r="J235" s="31">
        <f t="shared" si="141"/>
        <v>3890.9911860131065</v>
      </c>
      <c r="K235" s="163">
        <f t="shared" si="142"/>
        <v>-20</v>
      </c>
      <c r="L235" s="163">
        <f t="shared" si="153"/>
        <v>-666.14462684732325</v>
      </c>
      <c r="M235" s="163">
        <f t="shared" si="169"/>
        <v>0</v>
      </c>
      <c r="N235" s="163">
        <f t="shared" si="154"/>
        <v>-759.40487460594852</v>
      </c>
      <c r="O235" s="84">
        <f t="shared" si="143"/>
        <v>-6234.7220095610019</v>
      </c>
      <c r="P235" s="31">
        <f t="shared" si="144"/>
        <v>795584.2718917866</v>
      </c>
      <c r="Q235" s="5"/>
      <c r="R235">
        <f t="shared" ca="1" si="155"/>
        <v>352</v>
      </c>
      <c r="S235" s="133">
        <f t="shared" ca="1" si="156"/>
        <v>97.48</v>
      </c>
      <c r="T235" s="132">
        <f t="shared" ca="1" si="145"/>
        <v>3.6095739169136332E-2</v>
      </c>
      <c r="U235" s="133">
        <f t="shared" ca="1" si="163"/>
        <v>1.3420536711207961E-2</v>
      </c>
      <c r="V235" s="31">
        <f t="shared" ca="1" si="157"/>
        <v>2652.9461092037914</v>
      </c>
      <c r="W235" s="31">
        <f t="shared" ca="1" si="146"/>
        <v>12.913349333679555</v>
      </c>
      <c r="X235" s="163">
        <f t="shared" ca="1" si="164"/>
        <v>-0.26841073422415923</v>
      </c>
      <c r="Y235" s="163">
        <f t="shared" ca="1" si="165"/>
        <v>-2.210788424336493</v>
      </c>
      <c r="Z235" s="163">
        <f t="shared" ca="1" si="158"/>
        <v>0</v>
      </c>
      <c r="AA235" s="163">
        <f t="shared" ca="1" si="166"/>
        <v>-2.5202988037436023</v>
      </c>
      <c r="AB235" s="84">
        <f t="shared" ca="1" si="147"/>
        <v>-83.673315613489692</v>
      </c>
      <c r="AC235" s="160">
        <f t="shared" si="148"/>
        <v>0</v>
      </c>
      <c r="AD235" s="31">
        <f t="shared" ca="1" si="149"/>
        <v>2577.1866449616768</v>
      </c>
      <c r="AE235" s="5"/>
      <c r="AF235" s="151">
        <f t="shared" ca="1" si="150"/>
        <v>-6234.7220095610019</v>
      </c>
      <c r="AG235" s="151">
        <f t="shared" ca="1" si="151"/>
        <v>192033.05355212642</v>
      </c>
      <c r="AH235" s="5"/>
      <c r="AI235" s="5"/>
      <c r="AS235" s="55">
        <f t="shared" si="159"/>
        <v>20</v>
      </c>
      <c r="AT235" s="56">
        <f t="shared" si="167"/>
        <v>232</v>
      </c>
      <c r="AU235" s="57">
        <f t="shared" si="170"/>
        <v>0.32237846189995428</v>
      </c>
      <c r="AV235" s="58">
        <f t="shared" si="160"/>
        <v>4.8675505653430484E-3</v>
      </c>
      <c r="AW235" s="59">
        <f t="shared" si="161"/>
        <v>1.004867550565343</v>
      </c>
      <c r="AX235" s="60">
        <f>PRODUCT(AW$4:AW235)</f>
        <v>3.0849400478427889</v>
      </c>
    </row>
    <row r="236" spans="5:50">
      <c r="E236">
        <f t="shared" si="171"/>
        <v>233</v>
      </c>
      <c r="F236" s="9">
        <f t="shared" si="162"/>
        <v>88.333333333332234</v>
      </c>
      <c r="G236" s="132">
        <f t="shared" si="140"/>
        <v>0</v>
      </c>
      <c r="H236" s="133">
        <f t="shared" si="168"/>
        <v>1</v>
      </c>
      <c r="I236" s="31">
        <f t="shared" si="152"/>
        <v>795584.2718917866</v>
      </c>
      <c r="J236" s="31">
        <f t="shared" si="141"/>
        <v>3872.5466724249036</v>
      </c>
      <c r="K236" s="163">
        <f t="shared" si="142"/>
        <v>-20</v>
      </c>
      <c r="L236" s="163">
        <f t="shared" si="153"/>
        <v>-662.98689324315558</v>
      </c>
      <c r="M236" s="163">
        <f t="shared" si="169"/>
        <v>0</v>
      </c>
      <c r="N236" s="163">
        <f t="shared" si="154"/>
        <v>-755.80505829719743</v>
      </c>
      <c r="O236" s="84">
        <f t="shared" si="143"/>
        <v>-6234.7220095610019</v>
      </c>
      <c r="P236" s="31">
        <f t="shared" si="144"/>
        <v>791783.30460311007</v>
      </c>
      <c r="Q236" s="5"/>
      <c r="R236">
        <f t="shared" ca="1" si="155"/>
        <v>353</v>
      </c>
      <c r="S236" s="133">
        <f t="shared" ca="1" si="156"/>
        <v>97.56</v>
      </c>
      <c r="T236" s="132">
        <f t="shared" ca="1" si="145"/>
        <v>3.9455895364607696E-2</v>
      </c>
      <c r="U236" s="133">
        <f t="shared" ca="1" si="163"/>
        <v>1.2891017418993664E-2</v>
      </c>
      <c r="V236" s="31">
        <f t="shared" ca="1" si="157"/>
        <v>2475.5014383630046</v>
      </c>
      <c r="W236" s="31">
        <f t="shared" ca="1" si="146"/>
        <v>12.049628425811372</v>
      </c>
      <c r="X236" s="163">
        <f t="shared" ca="1" si="164"/>
        <v>-0.25782034837987328</v>
      </c>
      <c r="Y236" s="163">
        <f t="shared" ca="1" si="165"/>
        <v>-2.062917865302504</v>
      </c>
      <c r="Z236" s="163">
        <f t="shared" ca="1" si="158"/>
        <v>0</v>
      </c>
      <c r="AA236" s="163">
        <f t="shared" ca="1" si="166"/>
        <v>-2.3517263664448547</v>
      </c>
      <c r="AB236" s="84">
        <f t="shared" ca="1" si="147"/>
        <v>-80.371910027834048</v>
      </c>
      <c r="AC236" s="160">
        <f t="shared" si="148"/>
        <v>0</v>
      </c>
      <c r="AD236" s="31">
        <f t="shared" ca="1" si="149"/>
        <v>2402.5066921808548</v>
      </c>
      <c r="AE236" s="5"/>
      <c r="AF236" s="151">
        <f t="shared" ca="1" si="150"/>
        <v>-6234.722009561001</v>
      </c>
      <c r="AG236" s="151">
        <f t="shared" ca="1" si="151"/>
        <v>186370.60319544634</v>
      </c>
      <c r="AH236" s="5"/>
      <c r="AI236" s="5"/>
      <c r="AS236" s="55">
        <f t="shared" si="159"/>
        <v>20</v>
      </c>
      <c r="AT236" s="56">
        <f t="shared" si="167"/>
        <v>233</v>
      </c>
      <c r="AU236" s="57">
        <f t="shared" si="170"/>
        <v>0.32080926843547874</v>
      </c>
      <c r="AV236" s="58">
        <f t="shared" si="160"/>
        <v>4.8675505653430484E-3</v>
      </c>
      <c r="AW236" s="59">
        <f t="shared" si="161"/>
        <v>1.004867550565343</v>
      </c>
      <c r="AX236" s="60">
        <f>PRODUCT(AW$4:AW236)</f>
        <v>3.0999561495167156</v>
      </c>
    </row>
    <row r="237" spans="5:50">
      <c r="E237">
        <f t="shared" si="171"/>
        <v>234</v>
      </c>
      <c r="F237" s="9">
        <f t="shared" si="162"/>
        <v>88.416666666665563</v>
      </c>
      <c r="G237" s="132">
        <f t="shared" si="140"/>
        <v>0</v>
      </c>
      <c r="H237" s="133">
        <f t="shared" si="168"/>
        <v>1</v>
      </c>
      <c r="I237" s="31">
        <f t="shared" si="152"/>
        <v>791783.30460311007</v>
      </c>
      <c r="J237" s="31">
        <f t="shared" si="141"/>
        <v>3854.0452719500554</v>
      </c>
      <c r="K237" s="163">
        <f t="shared" si="142"/>
        <v>-20</v>
      </c>
      <c r="L237" s="163">
        <f t="shared" si="153"/>
        <v>-659.81942050259181</v>
      </c>
      <c r="M237" s="163">
        <f t="shared" si="169"/>
        <v>0</v>
      </c>
      <c r="N237" s="163">
        <f t="shared" si="154"/>
        <v>-752.19413937295474</v>
      </c>
      <c r="O237" s="84">
        <f t="shared" si="143"/>
        <v>-6234.7220095610019</v>
      </c>
      <c r="P237" s="31">
        <f t="shared" si="144"/>
        <v>787970.61430562357</v>
      </c>
      <c r="Q237" s="5"/>
      <c r="R237">
        <f t="shared" ca="1" si="155"/>
        <v>354</v>
      </c>
      <c r="S237" s="133">
        <f t="shared" ca="1" si="156"/>
        <v>97.64</v>
      </c>
      <c r="T237" s="132">
        <f t="shared" ca="1" si="145"/>
        <v>3.9455895364607696E-2</v>
      </c>
      <c r="U237" s="133">
        <f t="shared" ca="1" si="163"/>
        <v>1.2382390784566514E-2</v>
      </c>
      <c r="V237" s="31">
        <f t="shared" ca="1" si="157"/>
        <v>2307.713639521397</v>
      </c>
      <c r="W237" s="31">
        <f t="shared" ca="1" si="146"/>
        <v>11.23291283070224</v>
      </c>
      <c r="X237" s="163">
        <f t="shared" ca="1" si="164"/>
        <v>-0.24764781569133029</v>
      </c>
      <c r="Y237" s="163">
        <f t="shared" ca="1" si="165"/>
        <v>-1.9230946996011642</v>
      </c>
      <c r="Z237" s="163">
        <f t="shared" ca="1" si="158"/>
        <v>0</v>
      </c>
      <c r="AA237" s="163">
        <f t="shared" ca="1" si="166"/>
        <v>-2.1923279575453276</v>
      </c>
      <c r="AB237" s="84">
        <f t="shared" ca="1" si="147"/>
        <v>-77.200764355522168</v>
      </c>
      <c r="AC237" s="160">
        <f t="shared" si="148"/>
        <v>0</v>
      </c>
      <c r="AD237" s="31">
        <f t="shared" ca="1" si="149"/>
        <v>2237.3827175237393</v>
      </c>
      <c r="AE237" s="5"/>
      <c r="AF237" s="151">
        <f t="shared" ca="1" si="150"/>
        <v>-6234.7220095610019</v>
      </c>
      <c r="AG237" s="151">
        <f t="shared" ca="1" si="151"/>
        <v>180690.68861180075</v>
      </c>
      <c r="AH237" s="5"/>
      <c r="AI237" s="5"/>
      <c r="AS237" s="55">
        <f t="shared" si="159"/>
        <v>20</v>
      </c>
      <c r="AT237" s="56">
        <f t="shared" si="167"/>
        <v>234</v>
      </c>
      <c r="AU237" s="57">
        <f t="shared" si="170"/>
        <v>0.31924771309953837</v>
      </c>
      <c r="AV237" s="58">
        <f t="shared" si="160"/>
        <v>4.8675505653430484E-3</v>
      </c>
      <c r="AW237" s="59">
        <f t="shared" si="161"/>
        <v>1.004867550565343</v>
      </c>
      <c r="AX237" s="60">
        <f>PRODUCT(AW$4:AW237)</f>
        <v>3.1150453428248341</v>
      </c>
    </row>
    <row r="238" spans="5:50">
      <c r="E238">
        <f t="shared" si="171"/>
        <v>235</v>
      </c>
      <c r="F238" s="9">
        <f t="shared" si="162"/>
        <v>88.499999999998892</v>
      </c>
      <c r="G238" s="132">
        <f t="shared" si="140"/>
        <v>0</v>
      </c>
      <c r="H238" s="133">
        <f t="shared" si="168"/>
        <v>1</v>
      </c>
      <c r="I238" s="31">
        <f t="shared" si="152"/>
        <v>787970.61430562357</v>
      </c>
      <c r="J238" s="31">
        <f t="shared" si="141"/>
        <v>3835.4868091370472</v>
      </c>
      <c r="K238" s="163">
        <f t="shared" si="142"/>
        <v>-20</v>
      </c>
      <c r="L238" s="163">
        <f t="shared" si="153"/>
        <v>-656.64217858801965</v>
      </c>
      <c r="M238" s="163">
        <f t="shared" si="169"/>
        <v>0</v>
      </c>
      <c r="N238" s="163">
        <f t="shared" si="154"/>
        <v>-748.57208359034257</v>
      </c>
      <c r="O238" s="84">
        <f t="shared" si="143"/>
        <v>-6234.7220095610019</v>
      </c>
      <c r="P238" s="31">
        <f t="shared" si="144"/>
        <v>784146.16484302131</v>
      </c>
      <c r="Q238" s="5"/>
      <c r="R238">
        <f t="shared" ca="1" si="155"/>
        <v>355</v>
      </c>
      <c r="S238" s="133">
        <f t="shared" ca="1" si="156"/>
        <v>97.72</v>
      </c>
      <c r="T238" s="132">
        <f t="shared" ca="1" si="145"/>
        <v>3.9455895364607696E-2</v>
      </c>
      <c r="U238" s="133">
        <f t="shared" ca="1" si="163"/>
        <v>1.1893832469406975E-2</v>
      </c>
      <c r="V238" s="31">
        <f t="shared" ca="1" si="157"/>
        <v>2149.1047791305409</v>
      </c>
      <c r="W238" s="31">
        <f t="shared" ca="1" si="146"/>
        <v>10.460876182638312</v>
      </c>
      <c r="X238" s="163">
        <f t="shared" ca="1" si="164"/>
        <v>-0.23787664938813952</v>
      </c>
      <c r="Y238" s="163">
        <f t="shared" ca="1" si="165"/>
        <v>-1.7909206492754508</v>
      </c>
      <c r="Z238" s="163">
        <f t="shared" ca="1" si="158"/>
        <v>0</v>
      </c>
      <c r="AA238" s="163">
        <f t="shared" ca="1" si="166"/>
        <v>-2.041649540174014</v>
      </c>
      <c r="AB238" s="84">
        <f t="shared" ca="1" si="147"/>
        <v>-74.15473907504294</v>
      </c>
      <c r="AC238" s="160">
        <f t="shared" si="148"/>
        <v>0</v>
      </c>
      <c r="AD238" s="31">
        <f t="shared" ca="1" si="149"/>
        <v>2081.3404693992989</v>
      </c>
      <c r="AE238" s="5"/>
      <c r="AF238" s="151">
        <f t="shared" ca="1" si="150"/>
        <v>-6234.722009561001</v>
      </c>
      <c r="AG238" s="151">
        <f t="shared" ca="1" si="151"/>
        <v>174993.25593771998</v>
      </c>
      <c r="AH238" s="5"/>
      <c r="AI238" s="5"/>
      <c r="AS238" s="55">
        <f t="shared" si="159"/>
        <v>20</v>
      </c>
      <c r="AT238" s="56">
        <f t="shared" si="167"/>
        <v>235</v>
      </c>
      <c r="AU238" s="57">
        <f t="shared" si="170"/>
        <v>0.31769375871315625</v>
      </c>
      <c r="AV238" s="58">
        <f t="shared" si="160"/>
        <v>4.8675505653430484E-3</v>
      </c>
      <c r="AW238" s="59">
        <f t="shared" si="161"/>
        <v>1.004867550565343</v>
      </c>
      <c r="AX238" s="60">
        <f>PRODUCT(AW$4:AW238)</f>
        <v>3.1302079835443704</v>
      </c>
    </row>
    <row r="239" spans="5:50">
      <c r="E239">
        <f t="shared" si="171"/>
        <v>236</v>
      </c>
      <c r="F239" s="9">
        <f t="shared" si="162"/>
        <v>88.58333333333222</v>
      </c>
      <c r="G239" s="132">
        <f t="shared" si="140"/>
        <v>0</v>
      </c>
      <c r="H239" s="133">
        <f t="shared" si="168"/>
        <v>1</v>
      </c>
      <c r="I239" s="31">
        <f t="shared" si="152"/>
        <v>784146.16484302131</v>
      </c>
      <c r="J239" s="31">
        <f t="shared" si="141"/>
        <v>3816.8711079932318</v>
      </c>
      <c r="K239" s="163">
        <f t="shared" si="142"/>
        <v>-20</v>
      </c>
      <c r="L239" s="163">
        <f t="shared" si="153"/>
        <v>-653.45513736918451</v>
      </c>
      <c r="M239" s="163">
        <f t="shared" si="169"/>
        <v>0</v>
      </c>
      <c r="N239" s="163">
        <f t="shared" si="154"/>
        <v>-744.93885660087028</v>
      </c>
      <c r="O239" s="84">
        <f t="shared" si="143"/>
        <v>-6234.7220095610019</v>
      </c>
      <c r="P239" s="31">
        <f t="shared" si="144"/>
        <v>780309.91994748334</v>
      </c>
      <c r="Q239" s="5"/>
      <c r="R239">
        <f t="shared" ca="1" si="155"/>
        <v>356</v>
      </c>
      <c r="S239" s="133">
        <f t="shared" ca="1" si="156"/>
        <v>97.8</v>
      </c>
      <c r="T239" s="132">
        <f t="shared" ca="1" si="145"/>
        <v>3.9455895364607696E-2</v>
      </c>
      <c r="U239" s="133">
        <f t="shared" ca="1" si="163"/>
        <v>1.142455066000988E-2</v>
      </c>
      <c r="V239" s="31">
        <f t="shared" ca="1" si="157"/>
        <v>1999.2193176205567</v>
      </c>
      <c r="W239" s="31">
        <f t="shared" ca="1" si="146"/>
        <v>9.7313011197286841</v>
      </c>
      <c r="X239" s="163">
        <f t="shared" ca="1" si="164"/>
        <v>-0.2284910132001976</v>
      </c>
      <c r="Y239" s="163">
        <f t="shared" ca="1" si="165"/>
        <v>-1.6660160980171306</v>
      </c>
      <c r="Z239" s="163">
        <f t="shared" ca="1" si="158"/>
        <v>0</v>
      </c>
      <c r="AA239" s="163">
        <f t="shared" ca="1" si="166"/>
        <v>-1.8992583517395294</v>
      </c>
      <c r="AB239" s="84">
        <f t="shared" ca="1" si="147"/>
        <v>-71.228897449308263</v>
      </c>
      <c r="AC239" s="160">
        <f t="shared" si="148"/>
        <v>0</v>
      </c>
      <c r="AD239" s="31">
        <f t="shared" ca="1" si="149"/>
        <v>1933.9279558280202</v>
      </c>
      <c r="AE239" s="5"/>
      <c r="AF239" s="151">
        <f t="shared" ca="1" si="150"/>
        <v>-6234.722009561001</v>
      </c>
      <c r="AG239" s="151">
        <f t="shared" ca="1" si="151"/>
        <v>169278.25114360757</v>
      </c>
      <c r="AH239" s="5"/>
      <c r="AI239" s="5"/>
      <c r="AS239" s="55">
        <f t="shared" si="159"/>
        <v>20</v>
      </c>
      <c r="AT239" s="56">
        <f t="shared" si="167"/>
        <v>236</v>
      </c>
      <c r="AU239" s="57">
        <f t="shared" si="170"/>
        <v>0.31614736827832607</v>
      </c>
      <c r="AV239" s="58">
        <f t="shared" si="160"/>
        <v>4.8675505653430484E-3</v>
      </c>
      <c r="AW239" s="59">
        <f t="shared" si="161"/>
        <v>1.004867550565343</v>
      </c>
      <c r="AX239" s="60">
        <f>PRODUCT(AW$4:AW239)</f>
        <v>3.1454444291843129</v>
      </c>
    </row>
    <row r="240" spans="5:50">
      <c r="E240">
        <f t="shared" si="171"/>
        <v>237</v>
      </c>
      <c r="F240" s="9">
        <f t="shared" si="162"/>
        <v>88.666666666665549</v>
      </c>
      <c r="G240" s="132">
        <f t="shared" si="140"/>
        <v>0</v>
      </c>
      <c r="H240" s="133">
        <f t="shared" si="168"/>
        <v>1</v>
      </c>
      <c r="I240" s="31">
        <f t="shared" si="152"/>
        <v>780309.91994748334</v>
      </c>
      <c r="J240" s="31">
        <f t="shared" si="141"/>
        <v>3798.1979919831615</v>
      </c>
      <c r="K240" s="163">
        <f t="shared" si="142"/>
        <v>-20</v>
      </c>
      <c r="L240" s="163">
        <f t="shared" si="153"/>
        <v>-650.25826662290285</v>
      </c>
      <c r="M240" s="163">
        <f t="shared" si="169"/>
        <v>0</v>
      </c>
      <c r="N240" s="163">
        <f t="shared" si="154"/>
        <v>-741.29442395010938</v>
      </c>
      <c r="O240" s="84">
        <f t="shared" si="143"/>
        <v>-6234.7220095610019</v>
      </c>
      <c r="P240" s="31">
        <f t="shared" si="144"/>
        <v>776461.84323933243</v>
      </c>
      <c r="Q240" s="5"/>
      <c r="R240">
        <f t="shared" ca="1" si="155"/>
        <v>357</v>
      </c>
      <c r="S240" s="133">
        <f t="shared" ca="1" si="156"/>
        <v>97.88</v>
      </c>
      <c r="T240" s="132">
        <f t="shared" ca="1" si="145"/>
        <v>3.9455895364607696E-2</v>
      </c>
      <c r="U240" s="133">
        <f t="shared" ca="1" si="163"/>
        <v>1.0973784784580871E-2</v>
      </c>
      <c r="V240" s="31">
        <f t="shared" ca="1" si="157"/>
        <v>1857.6230967601803</v>
      </c>
      <c r="W240" s="31">
        <f t="shared" ca="1" si="146"/>
        <v>9.0420743548293192</v>
      </c>
      <c r="X240" s="163">
        <f t="shared" ca="1" si="164"/>
        <v>-0.21947569569161743</v>
      </c>
      <c r="Y240" s="163">
        <f t="shared" ca="1" si="165"/>
        <v>-1.5480192473001504</v>
      </c>
      <c r="Z240" s="163">
        <f t="shared" ca="1" si="158"/>
        <v>0</v>
      </c>
      <c r="AA240" s="163">
        <f t="shared" ca="1" si="166"/>
        <v>-1.7647419419221715</v>
      </c>
      <c r="AB240" s="84">
        <f t="shared" ca="1" si="147"/>
        <v>-68.418497524611993</v>
      </c>
      <c r="AC240" s="160">
        <f t="shared" si="148"/>
        <v>0</v>
      </c>
      <c r="AD240" s="31">
        <f t="shared" ca="1" si="149"/>
        <v>1794.7144367054836</v>
      </c>
      <c r="AE240" s="5"/>
      <c r="AF240" s="151">
        <f t="shared" ca="1" si="150"/>
        <v>-6234.7220095610019</v>
      </c>
      <c r="AG240" s="151">
        <f t="shared" ca="1" si="151"/>
        <v>163545.62003322816</v>
      </c>
      <c r="AH240" s="5"/>
      <c r="AI240" s="5"/>
      <c r="AS240" s="55">
        <f t="shared" si="159"/>
        <v>20</v>
      </c>
      <c r="AT240" s="56">
        <f t="shared" si="167"/>
        <v>237</v>
      </c>
      <c r="AU240" s="57">
        <f t="shared" si="170"/>
        <v>0.31460850497713116</v>
      </c>
      <c r="AV240" s="58">
        <f t="shared" si="160"/>
        <v>4.8675505653430484E-3</v>
      </c>
      <c r="AW240" s="59">
        <f t="shared" si="161"/>
        <v>1.004867550565343</v>
      </c>
      <c r="AX240" s="60">
        <f>PRODUCT(AW$4:AW240)</f>
        <v>3.1607550389938441</v>
      </c>
    </row>
    <row r="241" spans="5:50">
      <c r="E241">
        <f t="shared" si="171"/>
        <v>238</v>
      </c>
      <c r="F241" s="9">
        <f t="shared" si="162"/>
        <v>88.749999999998877</v>
      </c>
      <c r="G241" s="132">
        <f t="shared" si="140"/>
        <v>0</v>
      </c>
      <c r="H241" s="133">
        <f t="shared" si="168"/>
        <v>1</v>
      </c>
      <c r="I241" s="31">
        <f t="shared" si="152"/>
        <v>776461.84323933243</v>
      </c>
      <c r="J241" s="31">
        <f t="shared" si="141"/>
        <v>3779.4672840269182</v>
      </c>
      <c r="K241" s="163">
        <f t="shared" si="142"/>
        <v>-20</v>
      </c>
      <c r="L241" s="163">
        <f t="shared" si="153"/>
        <v>-647.05153603277711</v>
      </c>
      <c r="M241" s="163">
        <f t="shared" si="169"/>
        <v>0</v>
      </c>
      <c r="N241" s="163">
        <f t="shared" si="154"/>
        <v>-737.63875107736601</v>
      </c>
      <c r="O241" s="84">
        <f t="shared" si="143"/>
        <v>-6234.7220095610019</v>
      </c>
      <c r="P241" s="31">
        <f t="shared" si="144"/>
        <v>772601.89822668815</v>
      </c>
      <c r="Q241" s="5"/>
      <c r="R241">
        <f t="shared" ca="1" si="155"/>
        <v>358</v>
      </c>
      <c r="S241" s="133">
        <f t="shared" ca="1" si="156"/>
        <v>97.96</v>
      </c>
      <c r="T241" s="132">
        <f t="shared" ca="1" si="145"/>
        <v>3.9455895364607696E-2</v>
      </c>
      <c r="U241" s="133">
        <f t="shared" ca="1" si="163"/>
        <v>1.0540804280366724E-2</v>
      </c>
      <c r="V241" s="31">
        <f t="shared" ca="1" si="157"/>
        <v>1723.9023716814813</v>
      </c>
      <c r="W241" s="31">
        <f t="shared" ca="1" si="146"/>
        <v>8.3911819638744163</v>
      </c>
      <c r="X241" s="163">
        <f t="shared" ca="1" si="164"/>
        <v>-0.21081608560733447</v>
      </c>
      <c r="Y241" s="163">
        <f t="shared" ca="1" si="165"/>
        <v>-1.4365853097345678</v>
      </c>
      <c r="Z241" s="163">
        <f t="shared" ca="1" si="158"/>
        <v>0</v>
      </c>
      <c r="AA241" s="163">
        <f t="shared" ca="1" si="166"/>
        <v>-1.6377072530974075</v>
      </c>
      <c r="AB241" s="84">
        <f t="shared" ca="1" si="147"/>
        <v>-65.718984445277229</v>
      </c>
      <c r="AC241" s="160">
        <f t="shared" si="148"/>
        <v>0</v>
      </c>
      <c r="AD241" s="31">
        <f t="shared" ca="1" si="149"/>
        <v>1663.2894605516392</v>
      </c>
      <c r="AE241" s="5"/>
      <c r="AF241" s="151">
        <f t="shared" ca="1" si="150"/>
        <v>-6234.7220095610019</v>
      </c>
      <c r="AG241" s="151">
        <f t="shared" ca="1" si="151"/>
        <v>157795.30824319337</v>
      </c>
      <c r="AH241" s="5"/>
      <c r="AI241" s="5"/>
      <c r="AS241" s="55">
        <f t="shared" si="159"/>
        <v>20</v>
      </c>
      <c r="AT241" s="56">
        <f t="shared" si="167"/>
        <v>238</v>
      </c>
      <c r="AU241" s="57">
        <f t="shared" si="170"/>
        <v>0.31307713217086802</v>
      </c>
      <c r="AV241" s="58">
        <f t="shared" si="160"/>
        <v>4.8675505653430484E-3</v>
      </c>
      <c r="AW241" s="59">
        <f t="shared" si="161"/>
        <v>1.004867550565343</v>
      </c>
      <c r="AX241" s="60">
        <f>PRODUCT(AW$4:AW241)</f>
        <v>3.1761401739708095</v>
      </c>
    </row>
    <row r="242" spans="5:50">
      <c r="E242">
        <f t="shared" si="171"/>
        <v>239</v>
      </c>
      <c r="F242" s="9">
        <f t="shared" si="162"/>
        <v>88.833333333332206</v>
      </c>
      <c r="G242" s="132">
        <f t="shared" si="140"/>
        <v>0</v>
      </c>
      <c r="H242" s="133">
        <f t="shared" si="168"/>
        <v>1</v>
      </c>
      <c r="I242" s="31">
        <f t="shared" si="152"/>
        <v>772601.89822668815</v>
      </c>
      <c r="J242" s="31">
        <f t="shared" si="141"/>
        <v>3760.6788064984285</v>
      </c>
      <c r="K242" s="163">
        <f t="shared" si="142"/>
        <v>-20</v>
      </c>
      <c r="L242" s="163">
        <f t="shared" si="153"/>
        <v>-643.83491518890685</v>
      </c>
      <c r="M242" s="163">
        <f t="shared" si="169"/>
        <v>0</v>
      </c>
      <c r="N242" s="163">
        <f t="shared" si="154"/>
        <v>-733.9718033153539</v>
      </c>
      <c r="O242" s="84">
        <f t="shared" si="143"/>
        <v>-6234.7220095610019</v>
      </c>
      <c r="P242" s="31">
        <f t="shared" si="144"/>
        <v>768730.04830512125</v>
      </c>
      <c r="Q242" s="5"/>
      <c r="R242">
        <f t="shared" ca="1" si="155"/>
        <v>359</v>
      </c>
      <c r="S242" s="133">
        <f t="shared" ca="1" si="156"/>
        <v>98.04</v>
      </c>
      <c r="T242" s="132">
        <f t="shared" ca="1" si="145"/>
        <v>3.9455895364607696E-2</v>
      </c>
      <c r="U242" s="133">
        <f t="shared" ca="1" si="163"/>
        <v>1.0124907409621766E-2</v>
      </c>
      <c r="V242" s="31">
        <f t="shared" ca="1" si="157"/>
        <v>1597.662885635059</v>
      </c>
      <c r="W242" s="31">
        <f t="shared" ca="1" si="146"/>
        <v>7.7767048822005371</v>
      </c>
      <c r="X242" s="163">
        <f t="shared" ca="1" si="164"/>
        <v>-0.20249814819243533</v>
      </c>
      <c r="Y242" s="163">
        <f t="shared" ca="1" si="165"/>
        <v>-1.3313857380292158</v>
      </c>
      <c r="Z242" s="163">
        <f t="shared" ca="1" si="158"/>
        <v>0</v>
      </c>
      <c r="AA242" s="163">
        <f t="shared" ca="1" si="166"/>
        <v>-1.5177797413533065</v>
      </c>
      <c r="AB242" s="84">
        <f t="shared" ca="1" si="147"/>
        <v>-63.125983071536091</v>
      </c>
      <c r="AC242" s="160">
        <f t="shared" si="148"/>
        <v>0</v>
      </c>
      <c r="AD242" s="31">
        <f t="shared" ca="1" si="149"/>
        <v>1539.2619438181487</v>
      </c>
      <c r="AE242" s="5"/>
      <c r="AF242" s="151">
        <f t="shared" ca="1" si="150"/>
        <v>-6234.7220095610019</v>
      </c>
      <c r="AG242" s="151">
        <f t="shared" ca="1" si="151"/>
        <v>152027.26124244632</v>
      </c>
      <c r="AH242" s="5"/>
      <c r="AI242" s="5"/>
      <c r="AS242" s="55">
        <f t="shared" si="159"/>
        <v>20</v>
      </c>
      <c r="AT242" s="56">
        <f t="shared" si="167"/>
        <v>239</v>
      </c>
      <c r="AU242" s="57">
        <f t="shared" si="170"/>
        <v>0.31155321339917375</v>
      </c>
      <c r="AV242" s="58">
        <f t="shared" si="160"/>
        <v>4.8675505653430484E-3</v>
      </c>
      <c r="AW242" s="59">
        <f t="shared" si="161"/>
        <v>1.004867550565343</v>
      </c>
      <c r="AX242" s="60">
        <f>PRODUCT(AW$4:AW242)</f>
        <v>3.1916001968702297</v>
      </c>
    </row>
    <row r="243" spans="5:50">
      <c r="E243">
        <f t="shared" si="171"/>
        <v>240</v>
      </c>
      <c r="F243" s="9">
        <f t="shared" si="162"/>
        <v>88.916666666665535</v>
      </c>
      <c r="G243" s="132">
        <f t="shared" si="140"/>
        <v>0</v>
      </c>
      <c r="H243" s="133">
        <f t="shared" si="168"/>
        <v>1</v>
      </c>
      <c r="I243" s="31">
        <f t="shared" si="152"/>
        <v>768730.04830512125</v>
      </c>
      <c r="J243" s="31">
        <f t="shared" si="141"/>
        <v>3741.8323812237818</v>
      </c>
      <c r="K243" s="163">
        <f t="shared" si="142"/>
        <v>-20</v>
      </c>
      <c r="L243" s="163">
        <f t="shared" si="153"/>
        <v>-640.60837358760114</v>
      </c>
      <c r="M243" s="163">
        <f t="shared" si="169"/>
        <v>0</v>
      </c>
      <c r="N243" s="163">
        <f t="shared" si="154"/>
        <v>-730.29354588986541</v>
      </c>
      <c r="O243" s="84">
        <f t="shared" si="143"/>
        <v>-6234.7220095610019</v>
      </c>
      <c r="P243" s="31">
        <f t="shared" si="144"/>
        <v>764846.25675730652</v>
      </c>
      <c r="Q243" s="5"/>
      <c r="R243">
        <f t="shared" ca="1" si="155"/>
        <v>360</v>
      </c>
      <c r="S243" s="133">
        <f t="shared" ca="1" si="156"/>
        <v>98.12</v>
      </c>
      <c r="T243" s="132">
        <f t="shared" ca="1" si="145"/>
        <v>3.9455895364607696E-2</v>
      </c>
      <c r="U243" s="133">
        <f t="shared" ca="1" si="163"/>
        <v>9.7254201222913891E-3</v>
      </c>
      <c r="V243" s="31">
        <f t="shared" ca="1" si="157"/>
        <v>1478.5289856241372</v>
      </c>
      <c r="W243" s="31">
        <f t="shared" ca="1" si="146"/>
        <v>7.1968145998508533</v>
      </c>
      <c r="X243" s="163">
        <f t="shared" ca="1" si="164"/>
        <v>-0.19450840244582779</v>
      </c>
      <c r="Y243" s="163">
        <f t="shared" ca="1" si="165"/>
        <v>-1.2321074880201144</v>
      </c>
      <c r="Z243" s="163">
        <f t="shared" ca="1" si="158"/>
        <v>-11.088967392181029</v>
      </c>
      <c r="AA243" s="163">
        <f t="shared" ca="1" si="166"/>
        <v>-1.4046025363429306</v>
      </c>
      <c r="AB243" s="84">
        <f t="shared" ca="1" si="147"/>
        <v>-60.635290888677567</v>
      </c>
      <c r="AC243" s="160">
        <f t="shared" si="148"/>
        <v>0</v>
      </c>
      <c r="AD243" s="31">
        <f t="shared" ca="1" si="149"/>
        <v>1411.1703235163204</v>
      </c>
      <c r="AE243" s="5"/>
      <c r="AF243" s="151">
        <f t="shared" ca="1" si="150"/>
        <v>-6234.722009561001</v>
      </c>
      <c r="AG243" s="151">
        <f t="shared" ca="1" si="151"/>
        <v>145101.21987242615</v>
      </c>
      <c r="AH243" s="5"/>
      <c r="AI243" s="5"/>
      <c r="AS243" s="55">
        <f t="shared" si="159"/>
        <v>20</v>
      </c>
      <c r="AT243" s="56">
        <f t="shared" si="167"/>
        <v>240</v>
      </c>
      <c r="AU243" s="57">
        <f t="shared" si="170"/>
        <v>0.31003671237915814</v>
      </c>
      <c r="AV243" s="58">
        <f t="shared" si="160"/>
        <v>4.8675505653430484E-3</v>
      </c>
      <c r="AW243" s="59">
        <f t="shared" si="161"/>
        <v>1.004867550565343</v>
      </c>
      <c r="AX243" s="60">
        <f>PRODUCT(AW$4:AW243)</f>
        <v>3.2071354722128542</v>
      </c>
    </row>
    <row r="244" spans="5:50">
      <c r="E244">
        <f t="shared" si="171"/>
        <v>241</v>
      </c>
      <c r="F244" s="9">
        <f t="shared" si="162"/>
        <v>88.999999999998863</v>
      </c>
      <c r="G244" s="132">
        <f t="shared" si="140"/>
        <v>0</v>
      </c>
      <c r="H244" s="133">
        <f t="shared" si="168"/>
        <v>1</v>
      </c>
      <c r="I244" s="31">
        <f t="shared" si="152"/>
        <v>764846.25675730652</v>
      </c>
      <c r="J244" s="31">
        <f t="shared" si="141"/>
        <v>3722.9278294795417</v>
      </c>
      <c r="K244" s="163">
        <f t="shared" si="142"/>
        <v>-20</v>
      </c>
      <c r="L244" s="163">
        <f t="shared" si="153"/>
        <v>-637.37188063108886</v>
      </c>
      <c r="M244" s="163">
        <f t="shared" si="169"/>
        <v>-5736.3469256797989</v>
      </c>
      <c r="N244" s="163">
        <f t="shared" si="154"/>
        <v>-726.60394391944135</v>
      </c>
      <c r="O244" s="84">
        <f t="shared" si="143"/>
        <v>-6234.7220095610019</v>
      </c>
      <c r="P244" s="31">
        <f t="shared" si="144"/>
        <v>755214.13982699474</v>
      </c>
      <c r="Q244" s="5"/>
      <c r="R244">
        <f t="shared" ca="1" si="155"/>
        <v>361</v>
      </c>
      <c r="S244" s="133">
        <f t="shared" ca="1" si="156"/>
        <v>98.2</v>
      </c>
      <c r="T244" s="132">
        <f t="shared" ca="1" si="145"/>
        <v>3.9455895364607696E-2</v>
      </c>
      <c r="U244" s="133">
        <f t="shared" ca="1" si="163"/>
        <v>9.3416949635694094E-3</v>
      </c>
      <c r="V244" s="31">
        <f t="shared" ca="1" si="157"/>
        <v>1355.4913348900209</v>
      </c>
      <c r="W244" s="31">
        <f t="shared" ca="1" si="146"/>
        <v>6.5979226134615248</v>
      </c>
      <c r="X244" s="163">
        <f t="shared" ca="1" si="164"/>
        <v>-0.18683389927138819</v>
      </c>
      <c r="Y244" s="163">
        <f t="shared" ca="1" si="165"/>
        <v>-1.1295761124083508</v>
      </c>
      <c r="Z244" s="163">
        <f t="shared" ca="1" si="158"/>
        <v>0</v>
      </c>
      <c r="AA244" s="163">
        <f t="shared" ca="1" si="166"/>
        <v>-1.2877167681455199</v>
      </c>
      <c r="AB244" s="84">
        <f t="shared" ca="1" si="147"/>
        <v>-58.242871195971354</v>
      </c>
      <c r="AC244" s="160">
        <f t="shared" si="148"/>
        <v>0</v>
      </c>
      <c r="AD244" s="31">
        <f t="shared" ca="1" si="149"/>
        <v>1301.242259527686</v>
      </c>
      <c r="AE244" s="5"/>
      <c r="AF244" s="151">
        <f t="shared" ca="1" si="150"/>
        <v>-6234.722009561001</v>
      </c>
      <c r="AG244" s="151">
        <f t="shared" ca="1" si="151"/>
        <v>139294.02154558134</v>
      </c>
      <c r="AH244" s="5"/>
      <c r="AI244" s="5"/>
      <c r="AS244" s="55">
        <f t="shared" si="159"/>
        <v>21</v>
      </c>
      <c r="AT244" s="56">
        <f t="shared" si="167"/>
        <v>241</v>
      </c>
      <c r="AU244" s="57">
        <f t="shared" si="170"/>
        <v>0.30852759300453986</v>
      </c>
      <c r="AV244" s="58">
        <f t="shared" si="160"/>
        <v>4.8675505653430484E-3</v>
      </c>
      <c r="AW244" s="59">
        <f t="shared" si="161"/>
        <v>1.004867550565343</v>
      </c>
      <c r="AX244" s="60">
        <f>PRODUCT(AW$4:AW244)</f>
        <v>3.2227463662937557</v>
      </c>
    </row>
    <row r="245" spans="5:50">
      <c r="E245">
        <f t="shared" si="171"/>
        <v>242</v>
      </c>
      <c r="F245" s="9">
        <f t="shared" si="162"/>
        <v>89.083333333332192</v>
      </c>
      <c r="G245" s="132">
        <f t="shared" si="140"/>
        <v>0</v>
      </c>
      <c r="H245" s="133">
        <f t="shared" si="168"/>
        <v>1</v>
      </c>
      <c r="I245" s="31">
        <f t="shared" si="152"/>
        <v>755214.13982699474</v>
      </c>
      <c r="J245" s="31">
        <f t="shared" si="141"/>
        <v>3676.0430132699521</v>
      </c>
      <c r="K245" s="163">
        <f t="shared" si="142"/>
        <v>-20</v>
      </c>
      <c r="L245" s="163">
        <f t="shared" si="153"/>
        <v>-629.34511652249569</v>
      </c>
      <c r="M245" s="163">
        <f t="shared" si="169"/>
        <v>0</v>
      </c>
      <c r="N245" s="163">
        <f t="shared" si="154"/>
        <v>-717.45343283564523</v>
      </c>
      <c r="O245" s="84">
        <f t="shared" si="143"/>
        <v>-6234.7220095610019</v>
      </c>
      <c r="P245" s="31">
        <f t="shared" si="144"/>
        <v>751288.66228134546</v>
      </c>
      <c r="Q245" s="5"/>
      <c r="R245">
        <f t="shared" ca="1" si="155"/>
        <v>362</v>
      </c>
      <c r="S245" s="133">
        <f t="shared" ca="1" si="156"/>
        <v>98.28</v>
      </c>
      <c r="T245" s="132">
        <f t="shared" ca="1" si="145"/>
        <v>3.9455895364607696E-2</v>
      </c>
      <c r="U245" s="133">
        <f t="shared" ca="1" si="163"/>
        <v>8.9731100245587312E-3</v>
      </c>
      <c r="V245" s="31">
        <f t="shared" ca="1" si="157"/>
        <v>1249.9005810917558</v>
      </c>
      <c r="W245" s="31">
        <f t="shared" ca="1" si="146"/>
        <v>6.0839542801157807</v>
      </c>
      <c r="X245" s="163">
        <f t="shared" ca="1" si="164"/>
        <v>-0.17946220049117462</v>
      </c>
      <c r="Y245" s="163">
        <f t="shared" ca="1" si="165"/>
        <v>-1.0415838175764633</v>
      </c>
      <c r="Z245" s="163">
        <f t="shared" ca="1" si="158"/>
        <v>0</v>
      </c>
      <c r="AA245" s="163">
        <f t="shared" ca="1" si="166"/>
        <v>-1.1874055520371682</v>
      </c>
      <c r="AB245" s="84">
        <f t="shared" ca="1" si="147"/>
        <v>-55.944846564328778</v>
      </c>
      <c r="AC245" s="160">
        <f t="shared" si="148"/>
        <v>0</v>
      </c>
      <c r="AD245" s="31">
        <f t="shared" ca="1" si="149"/>
        <v>1197.6312372374377</v>
      </c>
      <c r="AE245" s="5"/>
      <c r="AF245" s="151">
        <f t="shared" ca="1" si="150"/>
        <v>-6234.722009561001</v>
      </c>
      <c r="AG245" s="151">
        <f t="shared" ca="1" si="151"/>
        <v>133468.91255758711</v>
      </c>
      <c r="AH245" s="5"/>
      <c r="AI245" s="5"/>
      <c r="AS245" s="55">
        <f t="shared" si="159"/>
        <v>21</v>
      </c>
      <c r="AT245" s="56">
        <f t="shared" si="167"/>
        <v>242</v>
      </c>
      <c r="AU245" s="57">
        <f t="shared" si="170"/>
        <v>0.30702581934478668</v>
      </c>
      <c r="AV245" s="58">
        <f t="shared" si="160"/>
        <v>4.8675505653430484E-3</v>
      </c>
      <c r="AW245" s="59">
        <f t="shared" si="161"/>
        <v>1.004867550565343</v>
      </c>
      <c r="AX245" s="60">
        <f>PRODUCT(AW$4:AW245)</f>
        <v>3.238433247190966</v>
      </c>
    </row>
    <row r="246" spans="5:50">
      <c r="E246">
        <f t="shared" si="171"/>
        <v>243</v>
      </c>
      <c r="F246" s="9">
        <f t="shared" si="162"/>
        <v>89.16666666666552</v>
      </c>
      <c r="G246" s="132">
        <f t="shared" si="140"/>
        <v>0</v>
      </c>
      <c r="H246" s="133">
        <f t="shared" si="168"/>
        <v>1</v>
      </c>
      <c r="I246" s="31">
        <f t="shared" si="152"/>
        <v>751288.66228134546</v>
      </c>
      <c r="J246" s="31">
        <f t="shared" si="141"/>
        <v>3656.9355528233855</v>
      </c>
      <c r="K246" s="163">
        <f t="shared" si="142"/>
        <v>-20</v>
      </c>
      <c r="L246" s="163">
        <f t="shared" si="153"/>
        <v>-626.07388523445456</v>
      </c>
      <c r="M246" s="163">
        <f t="shared" si="169"/>
        <v>0</v>
      </c>
      <c r="N246" s="163">
        <f t="shared" si="154"/>
        <v>-713.72422916727828</v>
      </c>
      <c r="O246" s="84">
        <f t="shared" si="143"/>
        <v>-6234.7220095610019</v>
      </c>
      <c r="P246" s="31">
        <f t="shared" si="144"/>
        <v>747351.07771020604</v>
      </c>
      <c r="Q246" s="5"/>
      <c r="R246">
        <f t="shared" ca="1" si="155"/>
        <v>363</v>
      </c>
      <c r="S246" s="133">
        <f t="shared" ca="1" si="156"/>
        <v>98.36</v>
      </c>
      <c r="T246" s="132">
        <f t="shared" ca="1" si="145"/>
        <v>3.9455895364607696E-2</v>
      </c>
      <c r="U246" s="133">
        <f t="shared" ca="1" si="163"/>
        <v>8.6190679343346299E-3</v>
      </c>
      <c r="V246" s="31">
        <f t="shared" ca="1" si="157"/>
        <v>1150.3776244556118</v>
      </c>
      <c r="W246" s="31">
        <f t="shared" ca="1" si="146"/>
        <v>5.5995212562769066</v>
      </c>
      <c r="X246" s="163">
        <f t="shared" ca="1" si="164"/>
        <v>-0.1723813586866926</v>
      </c>
      <c r="Y246" s="163">
        <f t="shared" ca="1" si="165"/>
        <v>-0.95864802037967656</v>
      </c>
      <c r="Z246" s="163">
        <f t="shared" ca="1" si="158"/>
        <v>0</v>
      </c>
      <c r="AA246" s="163">
        <f t="shared" ca="1" si="166"/>
        <v>-1.0928587432328314</v>
      </c>
      <c r="AB246" s="84">
        <f t="shared" ca="1" si="147"/>
        <v>-53.737492552097592</v>
      </c>
      <c r="AC246" s="160">
        <f t="shared" si="148"/>
        <v>0</v>
      </c>
      <c r="AD246" s="31">
        <f t="shared" ca="1" si="149"/>
        <v>1100.0157650374917</v>
      </c>
      <c r="AE246" s="5"/>
      <c r="AF246" s="151">
        <f t="shared" ca="1" si="150"/>
        <v>-6234.722009561001</v>
      </c>
      <c r="AG246" s="151">
        <f t="shared" ca="1" si="151"/>
        <v>127625.83766807381</v>
      </c>
      <c r="AH246" s="5"/>
      <c r="AI246" s="5"/>
      <c r="AS246" s="55">
        <f t="shared" si="159"/>
        <v>21</v>
      </c>
      <c r="AT246" s="56">
        <f t="shared" si="167"/>
        <v>243</v>
      </c>
      <c r="AU246" s="57">
        <f t="shared" si="170"/>
        <v>0.30553135564426004</v>
      </c>
      <c r="AV246" s="58">
        <f t="shared" si="160"/>
        <v>4.8675505653430484E-3</v>
      </c>
      <c r="AW246" s="59">
        <f t="shared" si="161"/>
        <v>1.004867550565343</v>
      </c>
      <c r="AX246" s="60">
        <f>PRODUCT(AW$4:AW246)</f>
        <v>3.2541964847741562</v>
      </c>
    </row>
    <row r="247" spans="5:50">
      <c r="E247">
        <f t="shared" si="171"/>
        <v>244</v>
      </c>
      <c r="F247" s="9">
        <f t="shared" si="162"/>
        <v>89.249999999998849</v>
      </c>
      <c r="G247" s="132">
        <f t="shared" si="140"/>
        <v>0</v>
      </c>
      <c r="H247" s="133">
        <f t="shared" si="168"/>
        <v>1</v>
      </c>
      <c r="I247" s="31">
        <f t="shared" si="152"/>
        <v>747351.07771020604</v>
      </c>
      <c r="J247" s="31">
        <f t="shared" si="141"/>
        <v>3637.7691608180498</v>
      </c>
      <c r="K247" s="163">
        <f t="shared" si="142"/>
        <v>-20</v>
      </c>
      <c r="L247" s="163">
        <f t="shared" si="153"/>
        <v>-622.79256475850502</v>
      </c>
      <c r="M247" s="163">
        <f t="shared" si="169"/>
        <v>0</v>
      </c>
      <c r="N247" s="163">
        <f t="shared" si="154"/>
        <v>-709.98352382469591</v>
      </c>
      <c r="O247" s="84">
        <f t="shared" si="143"/>
        <v>-6234.7220095610019</v>
      </c>
      <c r="P247" s="31">
        <f t="shared" si="144"/>
        <v>743401.34877287992</v>
      </c>
      <c r="Q247" s="5"/>
      <c r="R247">
        <f t="shared" ca="1" si="155"/>
        <v>364</v>
      </c>
      <c r="S247" s="133">
        <f t="shared" ca="1" si="156"/>
        <v>98.44</v>
      </c>
      <c r="T247" s="132">
        <f t="shared" ca="1" si="145"/>
        <v>3.9455895364607696E-2</v>
      </c>
      <c r="U247" s="133">
        <f t="shared" ca="1" si="163"/>
        <v>8.2789948917770771E-3</v>
      </c>
      <c r="V247" s="31">
        <f t="shared" ca="1" si="157"/>
        <v>1056.6136581127537</v>
      </c>
      <c r="W247" s="31">
        <f t="shared" ca="1" si="146"/>
        <v>5.1431204088959204</v>
      </c>
      <c r="X247" s="163">
        <f t="shared" ca="1" si="164"/>
        <v>-0.16557989783554156</v>
      </c>
      <c r="Y247" s="163">
        <f t="shared" ca="1" si="165"/>
        <v>-0.88051138176062815</v>
      </c>
      <c r="Z247" s="163">
        <f t="shared" ca="1" si="158"/>
        <v>0</v>
      </c>
      <c r="AA247" s="163">
        <f t="shared" ca="1" si="166"/>
        <v>-1.0037829752071161</v>
      </c>
      <c r="AB247" s="84">
        <f t="shared" ca="1" si="147"/>
        <v>-51.617231668805651</v>
      </c>
      <c r="AC247" s="160">
        <f t="shared" si="148"/>
        <v>0</v>
      </c>
      <c r="AD247" s="31">
        <f t="shared" ca="1" si="149"/>
        <v>1008.0896725980405</v>
      </c>
      <c r="AE247" s="5"/>
      <c r="AF247" s="151">
        <f t="shared" ca="1" si="150"/>
        <v>-6234.7220095610019</v>
      </c>
      <c r="AG247" s="151">
        <f t="shared" ca="1" si="151"/>
        <v>121764.74146629835</v>
      </c>
      <c r="AH247" s="5"/>
      <c r="AI247" s="5"/>
      <c r="AS247" s="55">
        <f t="shared" si="159"/>
        <v>21</v>
      </c>
      <c r="AT247" s="56">
        <f t="shared" si="167"/>
        <v>244</v>
      </c>
      <c r="AU247" s="57">
        <f t="shared" si="170"/>
        <v>0.30404416632136377</v>
      </c>
      <c r="AV247" s="58">
        <f t="shared" si="160"/>
        <v>4.8675505653430484E-3</v>
      </c>
      <c r="AW247" s="59">
        <f t="shared" si="161"/>
        <v>1.004867550565343</v>
      </c>
      <c r="AX247" s="60">
        <f>PRODUCT(AW$4:AW247)</f>
        <v>3.2700364507133561</v>
      </c>
    </row>
    <row r="248" spans="5:50">
      <c r="E248">
        <f t="shared" si="171"/>
        <v>245</v>
      </c>
      <c r="F248" s="9">
        <f t="shared" si="162"/>
        <v>89.333333333332178</v>
      </c>
      <c r="G248" s="132">
        <f t="shared" si="140"/>
        <v>0</v>
      </c>
      <c r="H248" s="133">
        <f t="shared" si="168"/>
        <v>1</v>
      </c>
      <c r="I248" s="31">
        <f t="shared" si="152"/>
        <v>743401.34877287992</v>
      </c>
      <c r="J248" s="31">
        <f t="shared" si="141"/>
        <v>3618.5436554962162</v>
      </c>
      <c r="K248" s="163">
        <f t="shared" si="142"/>
        <v>-20</v>
      </c>
      <c r="L248" s="163">
        <f t="shared" si="153"/>
        <v>-619.50112397739997</v>
      </c>
      <c r="M248" s="163">
        <f t="shared" si="169"/>
        <v>0</v>
      </c>
      <c r="N248" s="163">
        <f t="shared" si="154"/>
        <v>-706.23128133423609</v>
      </c>
      <c r="O248" s="84">
        <f t="shared" si="143"/>
        <v>-6234.7220095610019</v>
      </c>
      <c r="P248" s="31">
        <f t="shared" si="144"/>
        <v>739439.43801350356</v>
      </c>
      <c r="Q248" s="5"/>
      <c r="R248">
        <f t="shared" ca="1" si="155"/>
        <v>365</v>
      </c>
      <c r="S248" s="133">
        <f t="shared" ca="1" si="156"/>
        <v>98.52</v>
      </c>
      <c r="T248" s="132">
        <f t="shared" ca="1" si="145"/>
        <v>4.3122248964169052E-2</v>
      </c>
      <c r="U248" s="133">
        <f t="shared" ca="1" si="163"/>
        <v>7.9219860128807822E-3</v>
      </c>
      <c r="V248" s="31">
        <f t="shared" ca="1" si="157"/>
        <v>964.61857875806015</v>
      </c>
      <c r="W248" s="31">
        <f t="shared" ca="1" si="146"/>
        <v>4.6953297083742038</v>
      </c>
      <c r="X248" s="163">
        <f t="shared" ca="1" si="164"/>
        <v>-0.15843972025761566</v>
      </c>
      <c r="Y248" s="163">
        <f t="shared" ca="1" si="165"/>
        <v>-0.80384881563171684</v>
      </c>
      <c r="Z248" s="163">
        <f t="shared" ca="1" si="158"/>
        <v>0</v>
      </c>
      <c r="AA248" s="163">
        <f t="shared" ca="1" si="166"/>
        <v>-0.91638764982015741</v>
      </c>
      <c r="AB248" s="84">
        <f t="shared" ca="1" si="147"/>
        <v>-49.391380553942213</v>
      </c>
      <c r="AC248" s="160">
        <f t="shared" si="148"/>
        <v>0</v>
      </c>
      <c r="AD248" s="31">
        <f t="shared" ca="1" si="149"/>
        <v>918.04385172678258</v>
      </c>
      <c r="AE248" s="5"/>
      <c r="AF248" s="151">
        <f t="shared" ca="1" si="150"/>
        <v>-6234.722009561001</v>
      </c>
      <c r="AG248" s="151">
        <f t="shared" ca="1" si="151"/>
        <v>115885.56837061892</v>
      </c>
      <c r="AH248" s="5"/>
      <c r="AI248" s="5"/>
      <c r="AS248" s="55">
        <f t="shared" si="159"/>
        <v>21</v>
      </c>
      <c r="AT248" s="56">
        <f t="shared" si="167"/>
        <v>245</v>
      </c>
      <c r="AU248" s="57">
        <f t="shared" si="170"/>
        <v>0.30256421596769695</v>
      </c>
      <c r="AV248" s="58">
        <f t="shared" si="160"/>
        <v>4.8675505653430484E-3</v>
      </c>
      <c r="AW248" s="59">
        <f t="shared" si="161"/>
        <v>1.004867550565343</v>
      </c>
      <c r="AX248" s="60">
        <f>PRODUCT(AW$4:AW248)</f>
        <v>3.2859535184877182</v>
      </c>
    </row>
    <row r="249" spans="5:50">
      <c r="E249">
        <f t="shared" si="171"/>
        <v>246</v>
      </c>
      <c r="F249" s="9">
        <f t="shared" si="162"/>
        <v>89.416666666665506</v>
      </c>
      <c r="G249" s="132">
        <f t="shared" si="140"/>
        <v>0</v>
      </c>
      <c r="H249" s="133">
        <f t="shared" si="168"/>
        <v>1</v>
      </c>
      <c r="I249" s="31">
        <f t="shared" si="152"/>
        <v>739439.43801350356</v>
      </c>
      <c r="J249" s="31">
        <f t="shared" si="141"/>
        <v>3599.2588545395752</v>
      </c>
      <c r="K249" s="163">
        <f t="shared" si="142"/>
        <v>-20</v>
      </c>
      <c r="L249" s="163">
        <f t="shared" si="153"/>
        <v>-616.19953167791971</v>
      </c>
      <c r="M249" s="163">
        <f t="shared" si="169"/>
        <v>0</v>
      </c>
      <c r="N249" s="163">
        <f t="shared" si="154"/>
        <v>-702.46746611282845</v>
      </c>
      <c r="O249" s="84">
        <f t="shared" si="143"/>
        <v>-6234.7220095610019</v>
      </c>
      <c r="P249" s="31">
        <f t="shared" si="144"/>
        <v>735465.30786069145</v>
      </c>
      <c r="Q249" s="5"/>
      <c r="R249">
        <f t="shared" ca="1" si="155"/>
        <v>366</v>
      </c>
      <c r="S249" s="133">
        <f t="shared" ca="1" si="156"/>
        <v>98.6</v>
      </c>
      <c r="T249" s="132">
        <f t="shared" ca="1" si="145"/>
        <v>4.3122248964169052E-2</v>
      </c>
      <c r="U249" s="133">
        <f t="shared" ca="1" si="163"/>
        <v>7.5803721597426724E-3</v>
      </c>
      <c r="V249" s="31">
        <f t="shared" ca="1" si="157"/>
        <v>878.45573619259551</v>
      </c>
      <c r="W249" s="31">
        <f t="shared" ca="1" si="146"/>
        <v>4.2759277153331121</v>
      </c>
      <c r="X249" s="163">
        <f t="shared" ca="1" si="164"/>
        <v>-0.15160744319485345</v>
      </c>
      <c r="Y249" s="163">
        <f t="shared" ca="1" si="165"/>
        <v>-0.73204644682716302</v>
      </c>
      <c r="Z249" s="163">
        <f t="shared" ca="1" si="158"/>
        <v>0</v>
      </c>
      <c r="AA249" s="163">
        <f t="shared" ca="1" si="166"/>
        <v>-0.83453294938296585</v>
      </c>
      <c r="AB249" s="84">
        <f t="shared" ca="1" si="147"/>
        <v>-47.261513145011101</v>
      </c>
      <c r="AC249" s="160">
        <f t="shared" si="148"/>
        <v>0</v>
      </c>
      <c r="AD249" s="31">
        <f t="shared" ca="1" si="149"/>
        <v>833.75196392351245</v>
      </c>
      <c r="AE249" s="5"/>
      <c r="AF249" s="151">
        <f t="shared" ca="1" si="150"/>
        <v>-6234.722009561001</v>
      </c>
      <c r="AG249" s="151">
        <f t="shared" ca="1" si="151"/>
        <v>109988.26262796779</v>
      </c>
      <c r="AH249" s="5"/>
      <c r="AI249" s="5"/>
      <c r="AS249" s="55">
        <f t="shared" si="159"/>
        <v>21</v>
      </c>
      <c r="AT249" s="56">
        <f t="shared" si="167"/>
        <v>246</v>
      </c>
      <c r="AU249" s="57">
        <f t="shared" si="170"/>
        <v>0.30109146934721082</v>
      </c>
      <c r="AV249" s="58">
        <f t="shared" si="160"/>
        <v>4.8675505653430484E-3</v>
      </c>
      <c r="AW249" s="59">
        <f t="shared" si="161"/>
        <v>1.004867550565343</v>
      </c>
      <c r="AX249" s="60">
        <f>PRODUCT(AW$4:AW249)</f>
        <v>3.3019480633943239</v>
      </c>
    </row>
    <row r="250" spans="5:50">
      <c r="E250">
        <f t="shared" si="171"/>
        <v>247</v>
      </c>
      <c r="F250" s="9">
        <f t="shared" si="162"/>
        <v>89.499999999998835</v>
      </c>
      <c r="G250" s="132">
        <f t="shared" si="140"/>
        <v>0</v>
      </c>
      <c r="H250" s="133">
        <f t="shared" si="168"/>
        <v>1</v>
      </c>
      <c r="I250" s="31">
        <f t="shared" si="152"/>
        <v>735465.30786069145</v>
      </c>
      <c r="J250" s="31">
        <f t="shared" si="141"/>
        <v>3579.9145750675079</v>
      </c>
      <c r="K250" s="163">
        <f t="shared" si="142"/>
        <v>-20</v>
      </c>
      <c r="L250" s="163">
        <f t="shared" si="153"/>
        <v>-612.88775655057623</v>
      </c>
      <c r="M250" s="163">
        <f t="shared" si="169"/>
        <v>0</v>
      </c>
      <c r="N250" s="163">
        <f t="shared" si="154"/>
        <v>-698.69204246765696</v>
      </c>
      <c r="O250" s="84">
        <f t="shared" si="143"/>
        <v>-6234.7220095610019</v>
      </c>
      <c r="P250" s="31">
        <f t="shared" si="144"/>
        <v>731478.92062717967</v>
      </c>
      <c r="Q250" s="5"/>
      <c r="R250">
        <f t="shared" ca="1" si="155"/>
        <v>367</v>
      </c>
      <c r="S250" s="133">
        <f t="shared" ca="1" si="156"/>
        <v>98.68</v>
      </c>
      <c r="T250" s="132">
        <f t="shared" ca="1" si="145"/>
        <v>4.3122248964169052E-2</v>
      </c>
      <c r="U250" s="133">
        <f t="shared" ca="1" si="163"/>
        <v>7.2534894642291934E-3</v>
      </c>
      <c r="V250" s="31">
        <f t="shared" ca="1" si="157"/>
        <v>797.79870416083781</v>
      </c>
      <c r="W250" s="31">
        <f t="shared" ca="1" si="146"/>
        <v>3.8833255334680374</v>
      </c>
      <c r="X250" s="163">
        <f t="shared" ca="1" si="164"/>
        <v>-0.14506978928458386</v>
      </c>
      <c r="Y250" s="163">
        <f t="shared" ca="1" si="165"/>
        <v>-0.66483225346736485</v>
      </c>
      <c r="Z250" s="163">
        <f t="shared" ca="1" si="158"/>
        <v>0</v>
      </c>
      <c r="AA250" s="163">
        <f t="shared" ca="1" si="166"/>
        <v>-0.75790876895279613</v>
      </c>
      <c r="AB250" s="84">
        <f t="shared" ca="1" si="147"/>
        <v>-45.223490408748596</v>
      </c>
      <c r="AC250" s="160">
        <f t="shared" si="148"/>
        <v>0</v>
      </c>
      <c r="AD250" s="31">
        <f t="shared" ca="1" si="149"/>
        <v>754.8907284738525</v>
      </c>
      <c r="AE250" s="5"/>
      <c r="AF250" s="151">
        <f t="shared" ca="1" si="150"/>
        <v>-6234.7220095610028</v>
      </c>
      <c r="AG250" s="151">
        <f t="shared" ca="1" si="151"/>
        <v>104072.76831332277</v>
      </c>
      <c r="AH250" s="5"/>
      <c r="AI250" s="5"/>
      <c r="AS250" s="55">
        <f t="shared" si="159"/>
        <v>21</v>
      </c>
      <c r="AT250" s="56">
        <f t="shared" si="167"/>
        <v>247</v>
      </c>
      <c r="AU250" s="57">
        <f t="shared" si="170"/>
        <v>0.29962589139536983</v>
      </c>
      <c r="AV250" s="58">
        <f t="shared" si="160"/>
        <v>4.8675505653430484E-3</v>
      </c>
      <c r="AW250" s="59">
        <f t="shared" si="161"/>
        <v>1.004867550565343</v>
      </c>
      <c r="AX250" s="60">
        <f>PRODUCT(AW$4:AW250)</f>
        <v>3.3180204625570324</v>
      </c>
    </row>
    <row r="251" spans="5:50">
      <c r="E251">
        <f t="shared" si="171"/>
        <v>248</v>
      </c>
      <c r="F251" s="9">
        <f t="shared" si="162"/>
        <v>89.583333333332163</v>
      </c>
      <c r="G251" s="132">
        <f t="shared" si="140"/>
        <v>0</v>
      </c>
      <c r="H251" s="133">
        <f t="shared" si="168"/>
        <v>1</v>
      </c>
      <c r="I251" s="31">
        <f t="shared" si="152"/>
        <v>731478.92062717967</v>
      </c>
      <c r="J251" s="31">
        <f t="shared" si="141"/>
        <v>3560.510633635351</v>
      </c>
      <c r="K251" s="163">
        <f t="shared" si="142"/>
        <v>-20</v>
      </c>
      <c r="L251" s="163">
        <f t="shared" si="153"/>
        <v>-609.56576718931649</v>
      </c>
      <c r="M251" s="163">
        <f t="shared" si="169"/>
        <v>0</v>
      </c>
      <c r="N251" s="163">
        <f t="shared" si="154"/>
        <v>-694.90497459582082</v>
      </c>
      <c r="O251" s="84">
        <f t="shared" si="143"/>
        <v>-6234.7220095610019</v>
      </c>
      <c r="P251" s="31">
        <f t="shared" si="144"/>
        <v>727480.23850946873</v>
      </c>
      <c r="Q251" s="5"/>
      <c r="R251">
        <f t="shared" ca="1" si="155"/>
        <v>368</v>
      </c>
      <c r="S251" s="133">
        <f t="shared" ca="1" si="156"/>
        <v>98.76</v>
      </c>
      <c r="T251" s="132">
        <f t="shared" ca="1" si="145"/>
        <v>4.3122248964169052E-2</v>
      </c>
      <c r="U251" s="133">
        <f t="shared" ca="1" si="163"/>
        <v>6.9407026856937249E-3</v>
      </c>
      <c r="V251" s="31">
        <f t="shared" ca="1" si="157"/>
        <v>722.33814253986009</v>
      </c>
      <c r="W251" s="31">
        <f t="shared" ca="1" si="146"/>
        <v>3.5160174340887433</v>
      </c>
      <c r="X251" s="163">
        <f t="shared" ca="1" si="164"/>
        <v>-0.13881405371387451</v>
      </c>
      <c r="Y251" s="163">
        <f t="shared" ca="1" si="165"/>
        <v>-0.60194845211655013</v>
      </c>
      <c r="Z251" s="163">
        <f t="shared" ca="1" si="158"/>
        <v>0</v>
      </c>
      <c r="AA251" s="163">
        <f t="shared" ca="1" si="166"/>
        <v>-0.68622123541286717</v>
      </c>
      <c r="AB251" s="84">
        <f t="shared" ca="1" si="147"/>
        <v>-43.273351796313818</v>
      </c>
      <c r="AC251" s="160">
        <f t="shared" si="148"/>
        <v>0</v>
      </c>
      <c r="AD251" s="31">
        <f t="shared" ca="1" si="149"/>
        <v>681.1538244363918</v>
      </c>
      <c r="AE251" s="5"/>
      <c r="AF251" s="151">
        <f t="shared" ca="1" si="150"/>
        <v>-6234.722009561001</v>
      </c>
      <c r="AG251" s="151">
        <f t="shared" ca="1" si="151"/>
        <v>98139.029329176672</v>
      </c>
      <c r="AH251" s="5"/>
      <c r="AI251" s="5"/>
      <c r="AS251" s="55">
        <f t="shared" si="159"/>
        <v>21</v>
      </c>
      <c r="AT251" s="56">
        <f t="shared" si="167"/>
        <v>248</v>
      </c>
      <c r="AU251" s="57">
        <f t="shared" si="170"/>
        <v>0.29816744721831689</v>
      </c>
      <c r="AV251" s="58">
        <f t="shared" si="160"/>
        <v>4.8675505653430484E-3</v>
      </c>
      <c r="AW251" s="59">
        <f t="shared" si="161"/>
        <v>1.004867550565343</v>
      </c>
      <c r="AX251" s="60">
        <f>PRODUCT(AW$4:AW251)</f>
        <v>3.3341710949353716</v>
      </c>
    </row>
    <row r="252" spans="5:50">
      <c r="E252">
        <f t="shared" si="171"/>
        <v>249</v>
      </c>
      <c r="F252" s="9">
        <f t="shared" si="162"/>
        <v>89.666666666665492</v>
      </c>
      <c r="G252" s="132">
        <f t="shared" si="140"/>
        <v>0</v>
      </c>
      <c r="H252" s="133">
        <f t="shared" si="168"/>
        <v>1</v>
      </c>
      <c r="I252" s="31">
        <f t="shared" si="152"/>
        <v>727480.23850946873</v>
      </c>
      <c r="J252" s="31">
        <f t="shared" si="141"/>
        <v>3541.0468462326603</v>
      </c>
      <c r="K252" s="163">
        <f t="shared" si="142"/>
        <v>-20</v>
      </c>
      <c r="L252" s="163">
        <f t="shared" si="153"/>
        <v>-606.23353209122399</v>
      </c>
      <c r="M252" s="163">
        <f t="shared" si="169"/>
        <v>0</v>
      </c>
      <c r="N252" s="163">
        <f t="shared" si="154"/>
        <v>-691.10622658399541</v>
      </c>
      <c r="O252" s="84">
        <f t="shared" si="143"/>
        <v>-6234.7220095610019</v>
      </c>
      <c r="P252" s="31">
        <f t="shared" si="144"/>
        <v>723469.22358746512</v>
      </c>
      <c r="Q252" s="5"/>
      <c r="R252">
        <f t="shared" ca="1" si="155"/>
        <v>369</v>
      </c>
      <c r="S252" s="133">
        <f t="shared" ca="1" si="156"/>
        <v>98.84</v>
      </c>
      <c r="T252" s="132">
        <f t="shared" ca="1" si="145"/>
        <v>4.3122248964169052E-2</v>
      </c>
      <c r="U252" s="133">
        <f t="shared" ca="1" si="163"/>
        <v>6.6414039764949636E-3</v>
      </c>
      <c r="V252" s="31">
        <f t="shared" ca="1" si="157"/>
        <v>651.78093963614981</v>
      </c>
      <c r="W252" s="31">
        <f t="shared" ca="1" si="146"/>
        <v>3.1725766812057645</v>
      </c>
      <c r="X252" s="163">
        <f t="shared" ca="1" si="164"/>
        <v>-0.13282807952989928</v>
      </c>
      <c r="Y252" s="163">
        <f t="shared" ca="1" si="165"/>
        <v>-0.54315078303012487</v>
      </c>
      <c r="Z252" s="163">
        <f t="shared" ca="1" si="158"/>
        <v>0</v>
      </c>
      <c r="AA252" s="163">
        <f t="shared" ca="1" si="166"/>
        <v>-0.61919189265434238</v>
      </c>
      <c r="AB252" s="84">
        <f t="shared" ca="1" si="147"/>
        <v>-41.40730754663911</v>
      </c>
      <c r="AC252" s="160">
        <f t="shared" si="148"/>
        <v>0</v>
      </c>
      <c r="AD252" s="31">
        <f t="shared" ca="1" si="149"/>
        <v>612.2510380155021</v>
      </c>
      <c r="AE252" s="5"/>
      <c r="AF252" s="151">
        <f t="shared" ca="1" si="150"/>
        <v>-6234.7220095610019</v>
      </c>
      <c r="AG252" s="151">
        <f t="shared" ca="1" si="151"/>
        <v>92186.989405005428</v>
      </c>
      <c r="AH252" s="5"/>
      <c r="AI252" s="5"/>
      <c r="AS252" s="55">
        <f t="shared" si="159"/>
        <v>21</v>
      </c>
      <c r="AT252" s="56">
        <f t="shared" si="167"/>
        <v>249</v>
      </c>
      <c r="AU252" s="57">
        <f t="shared" si="170"/>
        <v>0.29671610209204247</v>
      </c>
      <c r="AV252" s="58">
        <f t="shared" si="160"/>
        <v>4.8675505653430484E-3</v>
      </c>
      <c r="AW252" s="59">
        <f t="shared" si="161"/>
        <v>1.004867550565343</v>
      </c>
      <c r="AX252" s="60">
        <f>PRODUCT(AW$4:AW252)</f>
        <v>3.3504003413334749</v>
      </c>
    </row>
    <row r="253" spans="5:50">
      <c r="E253">
        <f t="shared" si="171"/>
        <v>250</v>
      </c>
      <c r="F253" s="9">
        <f t="shared" si="162"/>
        <v>89.74999999999882</v>
      </c>
      <c r="G253" s="132">
        <f t="shared" si="140"/>
        <v>0</v>
      </c>
      <c r="H253" s="133">
        <f t="shared" si="168"/>
        <v>1</v>
      </c>
      <c r="I253" s="31">
        <f t="shared" si="152"/>
        <v>723469.22358746512</v>
      </c>
      <c r="J253" s="31">
        <f t="shared" si="141"/>
        <v>3521.5230282814623</v>
      </c>
      <c r="K253" s="163">
        <f t="shared" si="142"/>
        <v>-20</v>
      </c>
      <c r="L253" s="163">
        <f t="shared" si="153"/>
        <v>-602.89101965622092</v>
      </c>
      <c r="M253" s="163">
        <f t="shared" si="169"/>
        <v>0</v>
      </c>
      <c r="N253" s="163">
        <f t="shared" si="154"/>
        <v>-687.29576240809195</v>
      </c>
      <c r="O253" s="84">
        <f t="shared" si="143"/>
        <v>-6234.7220095610019</v>
      </c>
      <c r="P253" s="31">
        <f t="shared" si="144"/>
        <v>719445.83782412135</v>
      </c>
      <c r="Q253" s="5"/>
      <c r="R253">
        <f t="shared" ca="1" si="155"/>
        <v>370</v>
      </c>
      <c r="S253" s="133">
        <f t="shared" ca="1" si="156"/>
        <v>98.92</v>
      </c>
      <c r="T253" s="132">
        <f t="shared" ca="1" si="145"/>
        <v>4.3122248964169052E-2</v>
      </c>
      <c r="U253" s="133">
        <f t="shared" ca="1" si="163"/>
        <v>6.3550117007489257E-3</v>
      </c>
      <c r="V253" s="31">
        <f t="shared" ca="1" si="157"/>
        <v>585.84939632562669</v>
      </c>
      <c r="W253" s="31">
        <f t="shared" ca="1" si="146"/>
        <v>2.851651560290688</v>
      </c>
      <c r="X253" s="163">
        <f t="shared" ca="1" si="164"/>
        <v>-0.12710023401497852</v>
      </c>
      <c r="Y253" s="163">
        <f t="shared" ca="1" si="165"/>
        <v>-0.48820783027135561</v>
      </c>
      <c r="Z253" s="163">
        <f t="shared" ca="1" si="158"/>
        <v>0</v>
      </c>
      <c r="AA253" s="163">
        <f t="shared" ca="1" si="166"/>
        <v>-0.55655692650934541</v>
      </c>
      <c r="AB253" s="84">
        <f t="shared" ca="1" si="147"/>
        <v>-39.621731321677025</v>
      </c>
      <c r="AC253" s="160">
        <f t="shared" si="148"/>
        <v>0</v>
      </c>
      <c r="AD253" s="31">
        <f t="shared" ca="1" si="149"/>
        <v>547.90745157344475</v>
      </c>
      <c r="AE253" s="5"/>
      <c r="AF253" s="151">
        <f t="shared" ca="1" si="150"/>
        <v>-6234.7220095610019</v>
      </c>
      <c r="AG253" s="151">
        <f t="shared" ca="1" si="151"/>
        <v>86216.592096734443</v>
      </c>
      <c r="AH253" s="5"/>
      <c r="AI253" s="5"/>
      <c r="AS253" s="55">
        <f t="shared" si="159"/>
        <v>21</v>
      </c>
      <c r="AT253" s="56">
        <f t="shared" si="167"/>
        <v>250</v>
      </c>
      <c r="AU253" s="57">
        <f t="shared" si="170"/>
        <v>0.29527182146155795</v>
      </c>
      <c r="AV253" s="58">
        <f t="shared" si="160"/>
        <v>4.8675505653430484E-3</v>
      </c>
      <c r="AW253" s="59">
        <f t="shared" si="161"/>
        <v>1.004867550565343</v>
      </c>
      <c r="AX253" s="60">
        <f>PRODUCT(AW$4:AW253)</f>
        <v>3.3667085844090581</v>
      </c>
    </row>
    <row r="254" spans="5:50">
      <c r="E254">
        <f t="shared" si="171"/>
        <v>251</v>
      </c>
      <c r="F254" s="9">
        <f t="shared" si="162"/>
        <v>89.833333333332149</v>
      </c>
      <c r="G254" s="132">
        <f t="shared" si="140"/>
        <v>0</v>
      </c>
      <c r="H254" s="133">
        <f t="shared" si="168"/>
        <v>1</v>
      </c>
      <c r="I254" s="31">
        <f t="shared" si="152"/>
        <v>719445.83782412135</v>
      </c>
      <c r="J254" s="31">
        <f t="shared" si="141"/>
        <v>3501.938994634505</v>
      </c>
      <c r="K254" s="163">
        <f t="shared" si="142"/>
        <v>-20</v>
      </c>
      <c r="L254" s="163">
        <f t="shared" si="153"/>
        <v>-599.53819818676789</v>
      </c>
      <c r="M254" s="163">
        <f t="shared" si="169"/>
        <v>0</v>
      </c>
      <c r="N254" s="163">
        <f t="shared" si="154"/>
        <v>-683.47354593291539</v>
      </c>
      <c r="O254" s="84">
        <f t="shared" si="143"/>
        <v>-6234.7220095610019</v>
      </c>
      <c r="P254" s="31">
        <f t="shared" si="144"/>
        <v>715410.04306507518</v>
      </c>
      <c r="Q254" s="5"/>
      <c r="R254">
        <f t="shared" ca="1" si="155"/>
        <v>371</v>
      </c>
      <c r="S254" s="133">
        <f t="shared" ca="1" si="156"/>
        <v>99</v>
      </c>
      <c r="T254" s="132">
        <f t="shared" ca="1" si="145"/>
        <v>4.3122248964169052E-2</v>
      </c>
      <c r="U254" s="133">
        <f t="shared" ca="1" si="163"/>
        <v>6.0809693040190229E-3</v>
      </c>
      <c r="V254" s="31">
        <f t="shared" ca="1" si="157"/>
        <v>524.28045003737122</v>
      </c>
      <c r="W254" s="31">
        <f t="shared" ca="1" si="146"/>
        <v>2.5519616009777142</v>
      </c>
      <c r="X254" s="163">
        <f t="shared" ca="1" si="164"/>
        <v>-0.12161938608038046</v>
      </c>
      <c r="Y254" s="163">
        <f t="shared" ca="1" si="165"/>
        <v>-0.43690037503114271</v>
      </c>
      <c r="Z254" s="163">
        <f t="shared" ca="1" si="158"/>
        <v>0</v>
      </c>
      <c r="AA254" s="163">
        <f t="shared" ca="1" si="166"/>
        <v>-0.49806642753550273</v>
      </c>
      <c r="AB254" s="84">
        <f t="shared" ca="1" si="147"/>
        <v>-37.913153159232245</v>
      </c>
      <c r="AC254" s="160">
        <f t="shared" si="148"/>
        <v>0</v>
      </c>
      <c r="AD254" s="31">
        <f t="shared" ca="1" si="149"/>
        <v>487.86267229046973</v>
      </c>
      <c r="AE254" s="5"/>
      <c r="AF254" s="151">
        <f t="shared" ca="1" si="150"/>
        <v>-6234.722009561001</v>
      </c>
      <c r="AG254" s="151">
        <f t="shared" ca="1" si="151"/>
        <v>80227.780786203351</v>
      </c>
      <c r="AH254" s="5"/>
      <c r="AI254" s="5"/>
      <c r="AS254" s="55">
        <f t="shared" si="159"/>
        <v>21</v>
      </c>
      <c r="AT254" s="56">
        <f t="shared" si="167"/>
        <v>251</v>
      </c>
      <c r="AU254" s="57">
        <f t="shared" si="170"/>
        <v>0.29383457094007287</v>
      </c>
      <c r="AV254" s="58">
        <f t="shared" si="160"/>
        <v>4.8675505653430484E-3</v>
      </c>
      <c r="AW254" s="59">
        <f t="shared" si="161"/>
        <v>1.004867550565343</v>
      </c>
      <c r="AX254" s="60">
        <f>PRODUCT(AW$4:AW254)</f>
        <v>3.3830962086824439</v>
      </c>
    </row>
    <row r="255" spans="5:50">
      <c r="E255">
        <f t="shared" si="171"/>
        <v>252</v>
      </c>
      <c r="F255" s="9">
        <f t="shared" si="162"/>
        <v>89.916666666665478</v>
      </c>
      <c r="G255" s="132">
        <f t="shared" si="140"/>
        <v>0</v>
      </c>
      <c r="H255" s="133">
        <f t="shared" si="168"/>
        <v>1</v>
      </c>
      <c r="I255" s="31">
        <f t="shared" si="152"/>
        <v>715410.04306507518</v>
      </c>
      <c r="J255" s="31">
        <f t="shared" si="141"/>
        <v>3482.2945595735014</v>
      </c>
      <c r="K255" s="163">
        <f t="shared" si="142"/>
        <v>-20</v>
      </c>
      <c r="L255" s="163">
        <f t="shared" si="153"/>
        <v>-596.17503588756267</v>
      </c>
      <c r="M255" s="163">
        <f t="shared" si="169"/>
        <v>0</v>
      </c>
      <c r="N255" s="163">
        <f t="shared" si="154"/>
        <v>-679.63954091182154</v>
      </c>
      <c r="O255" s="84">
        <f t="shared" si="143"/>
        <v>-6234.7220095610019</v>
      </c>
      <c r="P255" s="31">
        <f t="shared" si="144"/>
        <v>711361.80103828839</v>
      </c>
      <c r="Q255" s="5"/>
      <c r="R255">
        <f t="shared" ca="1" si="155"/>
        <v>372</v>
      </c>
      <c r="S255" s="133">
        <f t="shared" ca="1" si="156"/>
        <v>99.08</v>
      </c>
      <c r="T255" s="132">
        <f t="shared" ca="1" si="145"/>
        <v>4.3122248964169052E-2</v>
      </c>
      <c r="U255" s="133">
        <f t="shared" ca="1" si="163"/>
        <v>5.8187442317476452E-3</v>
      </c>
      <c r="V255" s="31">
        <f t="shared" ca="1" si="157"/>
        <v>466.82493667563529</v>
      </c>
      <c r="W255" s="31">
        <f t="shared" ca="1" si="146"/>
        <v>2.2722939844317214</v>
      </c>
      <c r="X255" s="163">
        <f t="shared" ca="1" si="164"/>
        <v>-0.11637488463495291</v>
      </c>
      <c r="Y255" s="163">
        <f t="shared" ca="1" si="165"/>
        <v>-0.38902078056302941</v>
      </c>
      <c r="Z255" s="163">
        <f t="shared" ca="1" si="158"/>
        <v>-3.5011870250672645</v>
      </c>
      <c r="AA255" s="163">
        <f t="shared" ca="1" si="166"/>
        <v>-0.44348368984185366</v>
      </c>
      <c r="AB255" s="84">
        <f t="shared" ca="1" si="147"/>
        <v>-36.278252729683167</v>
      </c>
      <c r="AC255" s="160">
        <f t="shared" si="148"/>
        <v>0</v>
      </c>
      <c r="AD255" s="31">
        <f t="shared" ca="1" si="149"/>
        <v>428.36891155027666</v>
      </c>
      <c r="AE255" s="5"/>
      <c r="AF255" s="151">
        <f t="shared" ca="1" si="150"/>
        <v>-6234.7220095610019</v>
      </c>
      <c r="AG255" s="151">
        <f t="shared" ca="1" si="151"/>
        <v>73618.790324732516</v>
      </c>
      <c r="AH255" s="5"/>
      <c r="AI255" s="5"/>
      <c r="AS255" s="55">
        <f t="shared" si="159"/>
        <v>21</v>
      </c>
      <c r="AT255" s="56">
        <f t="shared" si="167"/>
        <v>252</v>
      </c>
      <c r="AU255" s="57">
        <f t="shared" si="170"/>
        <v>0.2924043163081762</v>
      </c>
      <c r="AV255" s="58">
        <f t="shared" si="160"/>
        <v>4.8675505653430484E-3</v>
      </c>
      <c r="AW255" s="59">
        <f t="shared" si="161"/>
        <v>1.004867550565343</v>
      </c>
      <c r="AX255" s="60">
        <f>PRODUCT(AW$4:AW255)</f>
        <v>3.3995636005456262</v>
      </c>
    </row>
    <row r="256" spans="5:50">
      <c r="E256">
        <f t="shared" si="171"/>
        <v>253</v>
      </c>
      <c r="F256" s="9">
        <f t="shared" si="162"/>
        <v>89.999999999998806</v>
      </c>
      <c r="G256" s="132">
        <f t="shared" si="140"/>
        <v>0</v>
      </c>
      <c r="H256" s="133">
        <f t="shared" si="168"/>
        <v>1</v>
      </c>
      <c r="I256" s="31">
        <f t="shared" si="152"/>
        <v>711361.80103828839</v>
      </c>
      <c r="J256" s="31">
        <f t="shared" si="141"/>
        <v>3462.5895368073698</v>
      </c>
      <c r="K256" s="163">
        <f t="shared" si="142"/>
        <v>-20</v>
      </c>
      <c r="L256" s="163">
        <f t="shared" si="153"/>
        <v>-592.80150086524031</v>
      </c>
      <c r="M256" s="163">
        <f t="shared" si="169"/>
        <v>-5335.2135077871626</v>
      </c>
      <c r="N256" s="163">
        <f t="shared" si="154"/>
        <v>-675.79371098637409</v>
      </c>
      <c r="O256" s="84">
        <f t="shared" si="143"/>
        <v>-6234.7220095610019</v>
      </c>
      <c r="P256" s="31">
        <f t="shared" si="144"/>
        <v>701965.8598458959</v>
      </c>
      <c r="Q256" s="5"/>
      <c r="R256">
        <f t="shared" ca="1" si="155"/>
        <v>373</v>
      </c>
      <c r="S256" s="133">
        <f t="shared" ca="1" si="156"/>
        <v>99.16</v>
      </c>
      <c r="T256" s="132">
        <f t="shared" ca="1" si="145"/>
        <v>4.3122248964169052E-2</v>
      </c>
      <c r="U256" s="133">
        <f t="shared" ca="1" si="163"/>
        <v>5.5678268943274009E-3</v>
      </c>
      <c r="V256" s="31">
        <f t="shared" ca="1" si="157"/>
        <v>409.89668069789553</v>
      </c>
      <c r="W256" s="31">
        <f t="shared" ca="1" si="146"/>
        <v>1.9951928198632805</v>
      </c>
      <c r="X256" s="163">
        <f t="shared" ca="1" si="164"/>
        <v>-0.11135653788654802</v>
      </c>
      <c r="Y256" s="163">
        <f t="shared" ca="1" si="165"/>
        <v>-0.34158056724824631</v>
      </c>
      <c r="Z256" s="163">
        <f t="shared" ca="1" si="158"/>
        <v>0</v>
      </c>
      <c r="AA256" s="163">
        <f t="shared" ca="1" si="166"/>
        <v>-0.38940184666300087</v>
      </c>
      <c r="AB256" s="84">
        <f t="shared" ca="1" si="147"/>
        <v>-34.71385288348872</v>
      </c>
      <c r="AC256" s="160">
        <f t="shared" si="148"/>
        <v>0</v>
      </c>
      <c r="AD256" s="31">
        <f t="shared" ca="1" si="149"/>
        <v>376.33568168247234</v>
      </c>
      <c r="AE256" s="5"/>
      <c r="AF256" s="151">
        <f t="shared" ca="1" si="150"/>
        <v>-6234.722009561001</v>
      </c>
      <c r="AG256" s="151">
        <f t="shared" ca="1" si="151"/>
        <v>67591.124656890766</v>
      </c>
      <c r="AH256" s="5"/>
      <c r="AI256" s="5"/>
      <c r="AS256" s="55">
        <f t="shared" si="159"/>
        <v>22</v>
      </c>
      <c r="AT256" s="56">
        <f t="shared" si="167"/>
        <v>253</v>
      </c>
      <c r="AU256" s="57">
        <f t="shared" si="170"/>
        <v>0.29098102351302157</v>
      </c>
      <c r="AV256" s="58">
        <f t="shared" si="160"/>
        <v>4.8675505653430484E-3</v>
      </c>
      <c r="AW256" s="59">
        <f t="shared" si="161"/>
        <v>1.004867550565343</v>
      </c>
      <c r="AX256" s="60">
        <f>PRODUCT(AW$4:AW256)</f>
        <v>3.4161111482713817</v>
      </c>
    </row>
    <row r="257" spans="5:50">
      <c r="E257">
        <f t="shared" si="171"/>
        <v>254</v>
      </c>
      <c r="F257" s="9">
        <f t="shared" si="162"/>
        <v>90.083333333332135</v>
      </c>
      <c r="G257" s="132">
        <f t="shared" si="140"/>
        <v>0</v>
      </c>
      <c r="H257" s="133">
        <f t="shared" si="168"/>
        <v>1</v>
      </c>
      <c r="I257" s="31">
        <f t="shared" si="152"/>
        <v>701965.8598458959</v>
      </c>
      <c r="J257" s="31">
        <f t="shared" si="141"/>
        <v>3416.8543179444096</v>
      </c>
      <c r="K257" s="163">
        <f t="shared" si="142"/>
        <v>-20</v>
      </c>
      <c r="L257" s="163">
        <f t="shared" si="153"/>
        <v>-584.97154987158001</v>
      </c>
      <c r="M257" s="163">
        <f t="shared" si="169"/>
        <v>0</v>
      </c>
      <c r="N257" s="163">
        <f t="shared" si="154"/>
        <v>-666.86756685360126</v>
      </c>
      <c r="O257" s="84">
        <f t="shared" si="143"/>
        <v>-6234.7220095610019</v>
      </c>
      <c r="P257" s="31">
        <f t="shared" si="144"/>
        <v>697876.153037554</v>
      </c>
      <c r="Q257" s="5"/>
      <c r="R257">
        <f t="shared" ca="1" si="155"/>
        <v>374</v>
      </c>
      <c r="S257" s="133">
        <f t="shared" ca="1" si="156"/>
        <v>99.24</v>
      </c>
      <c r="T257" s="132">
        <f t="shared" ca="1" si="145"/>
        <v>4.3122248964169052E-2</v>
      </c>
      <c r="U257" s="133">
        <f t="shared" ca="1" si="163"/>
        <v>5.3277296768008183E-3</v>
      </c>
      <c r="V257" s="31">
        <f t="shared" ca="1" si="157"/>
        <v>360.10724072286047</v>
      </c>
      <c r="W257" s="31">
        <f t="shared" ca="1" si="146"/>
        <v>1.7528402031646848</v>
      </c>
      <c r="X257" s="163">
        <f t="shared" ca="1" si="164"/>
        <v>-0.10655459353601637</v>
      </c>
      <c r="Y257" s="163">
        <f t="shared" ca="1" si="165"/>
        <v>-0.30008936726905039</v>
      </c>
      <c r="Z257" s="163">
        <f t="shared" ca="1" si="158"/>
        <v>0</v>
      </c>
      <c r="AA257" s="163">
        <f t="shared" ca="1" si="166"/>
        <v>-0.34210187868671754</v>
      </c>
      <c r="AB257" s="84">
        <f t="shared" ca="1" si="147"/>
        <v>-33.216913476941379</v>
      </c>
      <c r="AC257" s="160">
        <f t="shared" si="148"/>
        <v>0</v>
      </c>
      <c r="AD257" s="31">
        <f t="shared" ca="1" si="149"/>
        <v>327.89442160959197</v>
      </c>
      <c r="AE257" s="5"/>
      <c r="AF257" s="151">
        <f t="shared" ca="1" si="150"/>
        <v>-6234.722009561001</v>
      </c>
      <c r="AG257" s="151">
        <f t="shared" ca="1" si="151"/>
        <v>61544.868358727465</v>
      </c>
      <c r="AH257" s="5"/>
      <c r="AI257" s="5"/>
      <c r="AS257" s="55">
        <f t="shared" si="159"/>
        <v>22</v>
      </c>
      <c r="AT257" s="56">
        <f t="shared" si="167"/>
        <v>254</v>
      </c>
      <c r="AU257" s="57">
        <f t="shared" si="170"/>
        <v>0.28956465866751668</v>
      </c>
      <c r="AV257" s="58">
        <f t="shared" si="160"/>
        <v>4.8675505653430484E-3</v>
      </c>
      <c r="AW257" s="59">
        <f t="shared" si="161"/>
        <v>1.004867550565343</v>
      </c>
      <c r="AX257" s="60">
        <f>PRODUCT(AW$4:AW257)</f>
        <v>3.432739242022425</v>
      </c>
    </row>
    <row r="258" spans="5:50">
      <c r="E258">
        <f t="shared" si="171"/>
        <v>255</v>
      </c>
      <c r="F258" s="9">
        <f t="shared" si="162"/>
        <v>90.166666666665463</v>
      </c>
      <c r="G258" s="132">
        <f t="shared" si="140"/>
        <v>0</v>
      </c>
      <c r="H258" s="133">
        <f t="shared" si="168"/>
        <v>1</v>
      </c>
      <c r="I258" s="31">
        <f t="shared" si="152"/>
        <v>697876.153037554</v>
      </c>
      <c r="J258" s="31">
        <f t="shared" si="141"/>
        <v>3396.9474632573779</v>
      </c>
      <c r="K258" s="163">
        <f t="shared" si="142"/>
        <v>-20</v>
      </c>
      <c r="L258" s="163">
        <f t="shared" si="153"/>
        <v>-581.56346086462838</v>
      </c>
      <c r="M258" s="163">
        <f t="shared" si="169"/>
        <v>0</v>
      </c>
      <c r="N258" s="163">
        <f t="shared" si="154"/>
        <v>-662.98234538567647</v>
      </c>
      <c r="O258" s="84">
        <f t="shared" si="143"/>
        <v>-6234.7220095610019</v>
      </c>
      <c r="P258" s="31">
        <f t="shared" si="144"/>
        <v>693773.83268500003</v>
      </c>
      <c r="Q258" s="5"/>
      <c r="R258">
        <f t="shared" ca="1" si="155"/>
        <v>375</v>
      </c>
      <c r="S258" s="133">
        <f t="shared" ca="1" si="156"/>
        <v>99.32</v>
      </c>
      <c r="T258" s="132">
        <f t="shared" ca="1" si="145"/>
        <v>4.3122248964169052E-2</v>
      </c>
      <c r="U258" s="133">
        <f t="shared" ca="1" si="163"/>
        <v>5.0979859912640216E-3</v>
      </c>
      <c r="V258" s="31">
        <f t="shared" ca="1" si="157"/>
        <v>313.75487672698091</v>
      </c>
      <c r="W258" s="31">
        <f t="shared" ca="1" si="146"/>
        <v>1.5272177275915544</v>
      </c>
      <c r="X258" s="163">
        <f t="shared" ca="1" si="164"/>
        <v>-0.10195971982528043</v>
      </c>
      <c r="Y258" s="163">
        <f t="shared" ca="1" si="165"/>
        <v>-0.2614623972724841</v>
      </c>
      <c r="Z258" s="163">
        <f t="shared" ca="1" si="158"/>
        <v>0</v>
      </c>
      <c r="AA258" s="163">
        <f t="shared" ca="1" si="166"/>
        <v>-0.29806713289063191</v>
      </c>
      <c r="AB258" s="84">
        <f t="shared" ca="1" si="147"/>
        <v>-31.784525464167455</v>
      </c>
      <c r="AC258" s="160">
        <f t="shared" si="148"/>
        <v>0</v>
      </c>
      <c r="AD258" s="31">
        <f t="shared" ca="1" si="149"/>
        <v>282.83607974041655</v>
      </c>
      <c r="AE258" s="5"/>
      <c r="AF258" s="151">
        <f t="shared" ca="1" si="150"/>
        <v>-6234.7220095610019</v>
      </c>
      <c r="AG258" s="151">
        <f t="shared" ca="1" si="151"/>
        <v>55479.964092700196</v>
      </c>
      <c r="AH258" s="5"/>
      <c r="AI258" s="5"/>
      <c r="AS258" s="55">
        <f t="shared" si="159"/>
        <v>22</v>
      </c>
      <c r="AT258" s="56">
        <f t="shared" si="167"/>
        <v>255</v>
      </c>
      <c r="AU258" s="57">
        <f t="shared" si="170"/>
        <v>0.28815518804951623</v>
      </c>
      <c r="AV258" s="58">
        <f t="shared" si="160"/>
        <v>4.8675505653430484E-3</v>
      </c>
      <c r="AW258" s="59">
        <f t="shared" si="161"/>
        <v>1.004867550565343</v>
      </c>
      <c r="AX258" s="60">
        <f>PRODUCT(AW$4:AW258)</f>
        <v>3.4494482738606065</v>
      </c>
    </row>
    <row r="259" spans="5:50">
      <c r="E259">
        <f t="shared" si="171"/>
        <v>256</v>
      </c>
      <c r="F259" s="9">
        <f t="shared" si="162"/>
        <v>90.249999999998792</v>
      </c>
      <c r="G259" s="132">
        <f t="shared" si="140"/>
        <v>0</v>
      </c>
      <c r="H259" s="133">
        <f t="shared" si="168"/>
        <v>1</v>
      </c>
      <c r="I259" s="31">
        <f t="shared" si="152"/>
        <v>693773.83268500003</v>
      </c>
      <c r="J259" s="31">
        <f t="shared" si="141"/>
        <v>3376.9792115060854</v>
      </c>
      <c r="K259" s="163">
        <f t="shared" si="142"/>
        <v>-20</v>
      </c>
      <c r="L259" s="163">
        <f t="shared" si="153"/>
        <v>-578.14486057083343</v>
      </c>
      <c r="M259" s="163">
        <f t="shared" si="169"/>
        <v>0</v>
      </c>
      <c r="N259" s="163">
        <f t="shared" si="154"/>
        <v>-659.08514105075017</v>
      </c>
      <c r="O259" s="84">
        <f t="shared" si="143"/>
        <v>-6234.7220095610019</v>
      </c>
      <c r="P259" s="31">
        <f t="shared" si="144"/>
        <v>689658.85988532356</v>
      </c>
      <c r="Q259" s="5"/>
      <c r="R259">
        <f t="shared" ca="1" si="155"/>
        <v>376</v>
      </c>
      <c r="S259" s="133">
        <f t="shared" ca="1" si="156"/>
        <v>99.4</v>
      </c>
      <c r="T259" s="132">
        <f t="shared" ca="1" si="145"/>
        <v>4.3122248964169052E-2</v>
      </c>
      <c r="U259" s="133">
        <f t="shared" ca="1" si="163"/>
        <v>4.8781493701328879E-3</v>
      </c>
      <c r="V259" s="31">
        <f t="shared" ca="1" si="157"/>
        <v>270.63955189380073</v>
      </c>
      <c r="W259" s="31">
        <f t="shared" ca="1" si="146"/>
        <v>1.317351703824859</v>
      </c>
      <c r="X259" s="163">
        <f t="shared" ca="1" si="164"/>
        <v>-9.7562987402657758E-2</v>
      </c>
      <c r="Y259" s="163">
        <f t="shared" ca="1" si="165"/>
        <v>-0.22553295991150063</v>
      </c>
      <c r="Z259" s="163">
        <f t="shared" ca="1" si="158"/>
        <v>0</v>
      </c>
      <c r="AA259" s="163">
        <f t="shared" ca="1" si="166"/>
        <v>-0.25710757429911074</v>
      </c>
      <c r="AB259" s="84">
        <f t="shared" ca="1" si="147"/>
        <v>-30.413905243893652</v>
      </c>
      <c r="AC259" s="160">
        <f t="shared" si="148"/>
        <v>0</v>
      </c>
      <c r="AD259" s="31">
        <f t="shared" ca="1" si="149"/>
        <v>240.96279483211865</v>
      </c>
      <c r="AE259" s="5"/>
      <c r="AF259" s="151">
        <f t="shared" ca="1" si="150"/>
        <v>-6234.722009561001</v>
      </c>
      <c r="AG259" s="151">
        <f t="shared" ca="1" si="151"/>
        <v>49396.354344425185</v>
      </c>
      <c r="AH259" s="5"/>
      <c r="AI259" s="5"/>
      <c r="AS259" s="55">
        <f t="shared" si="159"/>
        <v>22</v>
      </c>
      <c r="AT259" s="56">
        <f t="shared" si="167"/>
        <v>256</v>
      </c>
      <c r="AU259" s="57">
        <f t="shared" si="170"/>
        <v>0.28675257810101928</v>
      </c>
      <c r="AV259" s="58">
        <f t="shared" si="160"/>
        <v>4.8675505653430484E-3</v>
      </c>
      <c r="AW259" s="59">
        <f t="shared" si="161"/>
        <v>1.004867550565343</v>
      </c>
      <c r="AX259" s="60">
        <f>PRODUCT(AW$4:AW259)</f>
        <v>3.4662386377561583</v>
      </c>
    </row>
    <row r="260" spans="5:50">
      <c r="E260">
        <f t="shared" si="171"/>
        <v>257</v>
      </c>
      <c r="F260" s="9">
        <f t="shared" si="162"/>
        <v>90.333333333332121</v>
      </c>
      <c r="G260" s="132">
        <f t="shared" ref="G260:G323" si="172">(1-(1-IF(F260&gt;$AK$90,0,VLOOKUP(ROUND(F260,0),$AK$4:$AL$90,2,FALSE)))^(1/12))*0</f>
        <v>0</v>
      </c>
      <c r="H260" s="133">
        <f t="shared" si="168"/>
        <v>1</v>
      </c>
      <c r="I260" s="31">
        <f t="shared" si="152"/>
        <v>689658.85988532356</v>
      </c>
      <c r="J260" s="31">
        <f t="shared" ref="J260:J323" si="173">(I260)*$AV260</f>
        <v>3356.949373328649</v>
      </c>
      <c r="K260" s="163">
        <f t="shared" ref="K260:K323" si="174">IF(I260=0,0,-$C$19)*H260</f>
        <v>-20</v>
      </c>
      <c r="L260" s="163">
        <f t="shared" si="153"/>
        <v>-574.71571657110303</v>
      </c>
      <c r="M260" s="163">
        <f t="shared" si="169"/>
        <v>0</v>
      </c>
      <c r="N260" s="163">
        <f t="shared" si="154"/>
        <v>-655.17591689105745</v>
      </c>
      <c r="O260" s="84">
        <f t="shared" ref="O260:O323" si="175">-MIN(
IF(MOD(E260-1,IF($C$7="Annual",12,1))=0,1,0)
*IF(F260&lt;=$C$6,H260*$C$5*$C$4/IF($C$7="Monthly",12,1),$C$12),I260)</f>
        <v>-6234.7220095610019</v>
      </c>
      <c r="P260" s="31">
        <f t="shared" ref="P260:P323" si="176">SUM(I260:O260)</f>
        <v>685531.19561562897</v>
      </c>
      <c r="Q260" s="5"/>
      <c r="R260">
        <f t="shared" ca="1" si="155"/>
        <v>377</v>
      </c>
      <c r="S260" s="133">
        <f t="shared" ca="1" si="156"/>
        <v>99.48</v>
      </c>
      <c r="T260" s="132">
        <f t="shared" ref="T260:T323" ca="1" si="177">(1-(1-IF(S260&gt;$AK$90,0,VLOOKUP(ROUND(S260,0),$AK$4:$AL$90,2,FALSE)))^(1/12))</f>
        <v>4.3122248964169052E-2</v>
      </c>
      <c r="U260" s="133">
        <f t="shared" ca="1" si="163"/>
        <v>4.667792598509613E-3</v>
      </c>
      <c r="V260" s="31">
        <f t="shared" ca="1" si="157"/>
        <v>230.57193720226604</v>
      </c>
      <c r="W260" s="31">
        <f t="shared" ref="W260:W323" ca="1" si="178">(V260)*$AV260</f>
        <v>1.1223205632811319</v>
      </c>
      <c r="X260" s="163">
        <f t="shared" ca="1" si="164"/>
        <v>-9.3355851970192263E-2</v>
      </c>
      <c r="Y260" s="163">
        <f t="shared" ca="1" si="165"/>
        <v>-0.19214328100188838</v>
      </c>
      <c r="Z260" s="163">
        <f t="shared" ca="1" si="158"/>
        <v>0</v>
      </c>
      <c r="AA260" s="163">
        <f t="shared" ca="1" si="166"/>
        <v>-0.21904334034215278</v>
      </c>
      <c r="AB260" s="84">
        <f t="shared" ref="AB260:AB323" ca="1" si="179">-MIN(IF(MOD(R260,IF($C$7="Annual",12,1))=0,1,0)*$C$39*U260/IF($C$7="Monthly",12,1),V260)</f>
        <v>-29.102389249993823</v>
      </c>
      <c r="AC260" s="160">
        <f t="shared" ref="AC260:AC323" si="180">IF($C$8="Yes",-V260*T260,0)</f>
        <v>0</v>
      </c>
      <c r="AD260" s="31">
        <f t="shared" ref="AD260:AD323" ca="1" si="181">SUM(V260:AC260)</f>
        <v>202.08732604223914</v>
      </c>
      <c r="AE260" s="5"/>
      <c r="AF260" s="151">
        <f t="shared" ref="AF260:AF323" ca="1" si="182">AB260/U260</f>
        <v>-6234.7220095610019</v>
      </c>
      <c r="AG260" s="151">
        <f t="shared" ref="AG260:AG323" ca="1" si="183">AD260/U260</f>
        <v>43293.981422131721</v>
      </c>
      <c r="AH260" s="5"/>
      <c r="AI260" s="5"/>
      <c r="AS260" s="55">
        <f t="shared" si="159"/>
        <v>22</v>
      </c>
      <c r="AT260" s="56">
        <f t="shared" si="167"/>
        <v>257</v>
      </c>
      <c r="AU260" s="57">
        <f t="shared" si="170"/>
        <v>0.28535679542737008</v>
      </c>
      <c r="AV260" s="58">
        <f t="shared" si="160"/>
        <v>4.8675505653430484E-3</v>
      </c>
      <c r="AW260" s="59">
        <f t="shared" si="161"/>
        <v>1.004867550565343</v>
      </c>
      <c r="AX260" s="60">
        <f>PRODUCT(AW$4:AW260)</f>
        <v>3.4831107295969823</v>
      </c>
    </row>
    <row r="261" spans="5:50">
      <c r="E261">
        <f t="shared" si="171"/>
        <v>258</v>
      </c>
      <c r="F261" s="9">
        <f t="shared" si="162"/>
        <v>90.416666666665449</v>
      </c>
      <c r="G261" s="132">
        <f t="shared" si="172"/>
        <v>0</v>
      </c>
      <c r="H261" s="133">
        <f t="shared" si="168"/>
        <v>1</v>
      </c>
      <c r="I261" s="31">
        <f t="shared" ref="I261:I324" si="184">MAX(P260,0)*(1-G261)</f>
        <v>685531.19561562897</v>
      </c>
      <c r="J261" s="31">
        <f t="shared" si="173"/>
        <v>3336.8577587791506</v>
      </c>
      <c r="K261" s="163">
        <f t="shared" si="174"/>
        <v>-20</v>
      </c>
      <c r="L261" s="163">
        <f t="shared" ref="L261:L324" si="185">IF(OR(I260+O260=0,K260=0),0,-I261*($C$16/12))</f>
        <v>-571.27599634635749</v>
      </c>
      <c r="M261" s="163">
        <f t="shared" si="169"/>
        <v>0</v>
      </c>
      <c r="N261" s="163">
        <f t="shared" ref="N261:N324" si="186">IF(OR(I260+O260=0,K260=0),0,-I261*($C$18*(1+$C$20))/12)</f>
        <v>-651.25463583484759</v>
      </c>
      <c r="O261" s="84">
        <f t="shared" si="175"/>
        <v>-6234.7220095610019</v>
      </c>
      <c r="P261" s="31">
        <f t="shared" si="176"/>
        <v>681390.80073266593</v>
      </c>
      <c r="Q261" s="5"/>
      <c r="R261">
        <f t="shared" ref="R261:R324" ca="1" si="187">R260+1</f>
        <v>378</v>
      </c>
      <c r="S261" s="133">
        <f t="shared" ref="S261:S324" ca="1" si="188">ROUND((R261-R260)/12+S260,2)</f>
        <v>99.56</v>
      </c>
      <c r="T261" s="132">
        <f t="shared" ca="1" si="177"/>
        <v>4.7121264130946305E-2</v>
      </c>
      <c r="U261" s="133">
        <f t="shared" ca="1" si="163"/>
        <v>4.4478403105667657E-3</v>
      </c>
      <c r="V261" s="31">
        <f t="shared" ref="V261:V324" ca="1" si="189">MAX(AD260,0)*(1-T261)</f>
        <v>192.56471577428613</v>
      </c>
      <c r="W261" s="31">
        <f t="shared" ca="1" si="178"/>
        <v>0.93731849113224985</v>
      </c>
      <c r="X261" s="163">
        <f t="shared" ca="1" si="164"/>
        <v>-8.895680621133531E-2</v>
      </c>
      <c r="Y261" s="163">
        <f t="shared" ca="1" si="165"/>
        <v>-0.16047059647857179</v>
      </c>
      <c r="Z261" s="163">
        <f t="shared" ref="Z261:Z324" ca="1" si="190">IF(OR(V260+AB260=0,X260=0),0,-IF(MOD(E261,12)=0,1,0)*V261*($C$17))</f>
        <v>0</v>
      </c>
      <c r="AA261" s="163">
        <f t="shared" ca="1" si="166"/>
        <v>-0.18293647998557186</v>
      </c>
      <c r="AB261" s="84">
        <f t="shared" ca="1" si="179"/>
        <v>-27.731047879303258</v>
      </c>
      <c r="AC261" s="160">
        <f t="shared" si="180"/>
        <v>0</v>
      </c>
      <c r="AD261" s="31">
        <f t="shared" ca="1" si="181"/>
        <v>165.33862250343964</v>
      </c>
      <c r="AE261" s="5"/>
      <c r="AF261" s="151">
        <f t="shared" ca="1" si="182"/>
        <v>-6234.7220095610028</v>
      </c>
      <c r="AG261" s="151">
        <f t="shared" ca="1" si="183"/>
        <v>37172.787456115162</v>
      </c>
      <c r="AH261" s="5"/>
      <c r="AI261" s="5"/>
      <c r="AS261" s="55">
        <f t="shared" ref="AS261:AS324" si="191">ROUNDDOWN((AT261-1)/12,0)+1</f>
        <v>22</v>
      </c>
      <c r="AT261" s="56">
        <f t="shared" si="167"/>
        <v>258</v>
      </c>
      <c r="AU261" s="57">
        <f t="shared" si="170"/>
        <v>0.28396780679646311</v>
      </c>
      <c r="AV261" s="58">
        <f t="shared" ref="AV261:AV324" si="192">((1+$AV$1)^(1/12))-1</f>
        <v>4.8675505653430484E-3</v>
      </c>
      <c r="AW261" s="59">
        <f t="shared" ref="AW261:AW324" si="193">(1+AV261)</f>
        <v>1.004867550565343</v>
      </c>
      <c r="AX261" s="60">
        <f>PRODUCT(AW$4:AW261)</f>
        <v>3.5000649471979846</v>
      </c>
    </row>
    <row r="262" spans="5:50">
      <c r="E262">
        <f t="shared" si="171"/>
        <v>259</v>
      </c>
      <c r="F262" s="9">
        <f t="shared" ref="F262:F325" si="194">1/12+F261</f>
        <v>90.499999999998778</v>
      </c>
      <c r="G262" s="132">
        <f t="shared" si="172"/>
        <v>0</v>
      </c>
      <c r="H262" s="133">
        <f t="shared" si="168"/>
        <v>1</v>
      </c>
      <c r="I262" s="31">
        <f t="shared" si="184"/>
        <v>681390.80073266593</v>
      </c>
      <c r="J262" s="31">
        <f t="shared" si="173"/>
        <v>3316.7041773258406</v>
      </c>
      <c r="K262" s="163">
        <f t="shared" si="174"/>
        <v>-20</v>
      </c>
      <c r="L262" s="163">
        <f t="shared" si="185"/>
        <v>-567.82566727722167</v>
      </c>
      <c r="M262" s="163">
        <f t="shared" si="169"/>
        <v>0</v>
      </c>
      <c r="N262" s="163">
        <f t="shared" si="186"/>
        <v>-647.32126069603271</v>
      </c>
      <c r="O262" s="84">
        <f t="shared" si="175"/>
        <v>-6234.7220095610019</v>
      </c>
      <c r="P262" s="31">
        <f t="shared" si="176"/>
        <v>677237.63597245747</v>
      </c>
      <c r="Q262" s="5"/>
      <c r="R262">
        <f t="shared" ca="1" si="187"/>
        <v>379</v>
      </c>
      <c r="S262" s="133">
        <f t="shared" ca="1" si="188"/>
        <v>99.64</v>
      </c>
      <c r="T262" s="132">
        <f t="shared" ca="1" si="177"/>
        <v>4.7121264130946305E-2</v>
      </c>
      <c r="U262" s="133">
        <f t="shared" ref="U262:U325" ca="1" si="195">U261*(1-T262)</f>
        <v>4.2382524524802786E-3</v>
      </c>
      <c r="V262" s="31">
        <f t="shared" ca="1" si="189"/>
        <v>157.54765760140825</v>
      </c>
      <c r="W262" s="31">
        <f t="shared" ca="1" si="178"/>
        <v>0.76687118982620772</v>
      </c>
      <c r="X262" s="163">
        <f t="shared" ref="X262:X325" ca="1" si="196">IF(V262=0,0,-$C$19)*U262</f>
        <v>-8.4765049049605579E-2</v>
      </c>
      <c r="Y262" s="163">
        <f t="shared" ref="Y262:Y325" ca="1" si="197">IF(OR(V261+AB261=0,X261=0),0,-V262*($C$16/12))</f>
        <v>-0.1312897146678402</v>
      </c>
      <c r="Z262" s="163">
        <f t="shared" ca="1" si="190"/>
        <v>0</v>
      </c>
      <c r="AA262" s="163">
        <f t="shared" ref="AA262:AA325" ca="1" si="198">IF(OR(V261+AB261=0,X261=0),0,-V262*($C$18*(1+$C$20))/12)</f>
        <v>-0.14967027472133787</v>
      </c>
      <c r="AB262" s="84">
        <f t="shared" ca="1" si="179"/>
        <v>-26.424325847554684</v>
      </c>
      <c r="AC262" s="160">
        <f t="shared" si="180"/>
        <v>0</v>
      </c>
      <c r="AD262" s="31">
        <f t="shared" ca="1" si="181"/>
        <v>131.52447790524101</v>
      </c>
      <c r="AE262" s="5"/>
      <c r="AF262" s="151">
        <f t="shared" ca="1" si="182"/>
        <v>-6234.722009561001</v>
      </c>
      <c r="AG262" s="151">
        <f t="shared" ca="1" si="183"/>
        <v>31032.714398188156</v>
      </c>
      <c r="AH262" s="5"/>
      <c r="AI262" s="5"/>
      <c r="AS262" s="55">
        <f t="shared" si="191"/>
        <v>22</v>
      </c>
      <c r="AT262" s="56">
        <f t="shared" ref="AT262:AT325" si="199">AT261+1</f>
        <v>259</v>
      </c>
      <c r="AU262" s="57">
        <f t="shared" si="170"/>
        <v>0.28258557913795174</v>
      </c>
      <c r="AV262" s="58">
        <f t="shared" si="192"/>
        <v>4.8675505653430484E-3</v>
      </c>
      <c r="AW262" s="59">
        <f t="shared" si="193"/>
        <v>1.004867550565343</v>
      </c>
      <c r="AX262" s="60">
        <f>PRODUCT(AW$4:AW262)</f>
        <v>3.5171016903104553</v>
      </c>
    </row>
    <row r="263" spans="5:50">
      <c r="E263">
        <f t="shared" si="171"/>
        <v>260</v>
      </c>
      <c r="F263" s="9">
        <f t="shared" si="194"/>
        <v>90.583333333332106</v>
      </c>
      <c r="G263" s="132">
        <f t="shared" si="172"/>
        <v>0</v>
      </c>
      <c r="H263" s="133">
        <f t="shared" ref="H263:H326" si="200">H262*(1-G263)</f>
        <v>1</v>
      </c>
      <c r="I263" s="31">
        <f t="shared" si="184"/>
        <v>677237.63597245747</v>
      </c>
      <c r="J263" s="31">
        <f t="shared" si="173"/>
        <v>3296.4884378493248</v>
      </c>
      <c r="K263" s="163">
        <f t="shared" si="174"/>
        <v>-20</v>
      </c>
      <c r="L263" s="163">
        <f t="shared" si="185"/>
        <v>-564.36469664371464</v>
      </c>
      <c r="M263" s="163">
        <f t="shared" si="169"/>
        <v>0</v>
      </c>
      <c r="N263" s="163">
        <f t="shared" si="186"/>
        <v>-643.37575417383471</v>
      </c>
      <c r="O263" s="84">
        <f t="shared" si="175"/>
        <v>-6234.7220095610019</v>
      </c>
      <c r="P263" s="31">
        <f t="shared" si="176"/>
        <v>673071.66194992827</v>
      </c>
      <c r="Q263" s="5"/>
      <c r="R263">
        <f t="shared" ca="1" si="187"/>
        <v>380</v>
      </c>
      <c r="S263" s="133">
        <f t="shared" ca="1" si="188"/>
        <v>99.72</v>
      </c>
      <c r="T263" s="132">
        <f t="shared" ca="1" si="177"/>
        <v>4.7121264130946305E-2</v>
      </c>
      <c r="U263" s="133">
        <f t="shared" ca="1" si="195"/>
        <v>4.0385406392133248E-3</v>
      </c>
      <c r="V263" s="31">
        <f t="shared" ca="1" si="189"/>
        <v>125.32687824218334</v>
      </c>
      <c r="W263" s="31">
        <f t="shared" ca="1" si="178"/>
        <v>0.6100349170404189</v>
      </c>
      <c r="X263" s="163">
        <f t="shared" ca="1" si="196"/>
        <v>-8.0770812784266496E-2</v>
      </c>
      <c r="Y263" s="163">
        <f t="shared" ca="1" si="197"/>
        <v>-0.10443906520181946</v>
      </c>
      <c r="Z263" s="163">
        <f t="shared" ca="1" si="190"/>
        <v>0</v>
      </c>
      <c r="AA263" s="163">
        <f t="shared" ca="1" si="198"/>
        <v>-0.1190605343300742</v>
      </c>
      <c r="AB263" s="84">
        <f t="shared" ca="1" si="179"/>
        <v>-25.179178209809873</v>
      </c>
      <c r="AC263" s="160">
        <f t="shared" si="180"/>
        <v>0</v>
      </c>
      <c r="AD263" s="31">
        <f t="shared" ca="1" si="181"/>
        <v>100.45346453709773</v>
      </c>
      <c r="AE263" s="5"/>
      <c r="AF263" s="151">
        <f t="shared" ca="1" si="182"/>
        <v>-6234.7220095610019</v>
      </c>
      <c r="AG263" s="151">
        <f t="shared" ca="1" si="183"/>
        <v>24873.704021130081</v>
      </c>
      <c r="AH263" s="5"/>
      <c r="AI263" s="5"/>
      <c r="AS263" s="55">
        <f t="shared" si="191"/>
        <v>22</v>
      </c>
      <c r="AT263" s="56">
        <f t="shared" si="199"/>
        <v>260</v>
      </c>
      <c r="AU263" s="57">
        <f t="shared" si="170"/>
        <v>0.28121007954246102</v>
      </c>
      <c r="AV263" s="58">
        <f t="shared" si="192"/>
        <v>4.8675505653430484E-3</v>
      </c>
      <c r="AW263" s="59">
        <f t="shared" si="193"/>
        <v>1.004867550565343</v>
      </c>
      <c r="AX263" s="60">
        <f>PRODUCT(AW$4:AW263)</f>
        <v>3.5342213606314949</v>
      </c>
    </row>
    <row r="264" spans="5:50">
      <c r="E264">
        <f t="shared" si="171"/>
        <v>261</v>
      </c>
      <c r="F264" s="9">
        <f t="shared" si="194"/>
        <v>90.666666666665435</v>
      </c>
      <c r="G264" s="132">
        <f t="shared" si="172"/>
        <v>0</v>
      </c>
      <c r="H264" s="133">
        <f t="shared" si="200"/>
        <v>1</v>
      </c>
      <c r="I264" s="31">
        <f t="shared" si="184"/>
        <v>673071.66194992827</v>
      </c>
      <c r="J264" s="31">
        <f t="shared" si="173"/>
        <v>3276.2103486407586</v>
      </c>
      <c r="K264" s="163">
        <f t="shared" si="174"/>
        <v>-20</v>
      </c>
      <c r="L264" s="163">
        <f t="shared" si="185"/>
        <v>-560.89305162494031</v>
      </c>
      <c r="M264" s="163">
        <f t="shared" si="169"/>
        <v>0</v>
      </c>
      <c r="N264" s="163">
        <f t="shared" si="186"/>
        <v>-639.4180788524319</v>
      </c>
      <c r="O264" s="84">
        <f t="shared" si="175"/>
        <v>-6234.7220095610019</v>
      </c>
      <c r="P264" s="31">
        <f t="shared" si="176"/>
        <v>668892.83915853058</v>
      </c>
      <c r="Q264" s="5"/>
      <c r="R264">
        <f t="shared" ca="1" si="187"/>
        <v>381</v>
      </c>
      <c r="S264" s="133">
        <f t="shared" ca="1" si="188"/>
        <v>99.8</v>
      </c>
      <c r="T264" s="132">
        <f t="shared" ca="1" si="177"/>
        <v>4.7121264130946305E-2</v>
      </c>
      <c r="U264" s="133">
        <f t="shared" ca="1" si="195"/>
        <v>3.8482394990493932E-3</v>
      </c>
      <c r="V264" s="31">
        <f t="shared" ca="1" si="189"/>
        <v>95.719970301776499</v>
      </c>
      <c r="W264" s="31">
        <f t="shared" ca="1" si="178"/>
        <v>0.465921795557032</v>
      </c>
      <c r="X264" s="163">
        <f t="shared" ca="1" si="196"/>
        <v>-7.6964789980987866E-2</v>
      </c>
      <c r="Y264" s="163">
        <f t="shared" ca="1" si="197"/>
        <v>-7.9766641918147085E-2</v>
      </c>
      <c r="Z264" s="163">
        <f t="shared" ca="1" si="190"/>
        <v>0</v>
      </c>
      <c r="AA264" s="163">
        <f t="shared" ca="1" si="198"/>
        <v>-9.0933971786687703E-2</v>
      </c>
      <c r="AB264" s="84">
        <f t="shared" ca="1" si="179"/>
        <v>-23.992703502785258</v>
      </c>
      <c r="AC264" s="160">
        <f t="shared" si="180"/>
        <v>0</v>
      </c>
      <c r="AD264" s="31">
        <f t="shared" ca="1" si="181"/>
        <v>71.94552319086246</v>
      </c>
      <c r="AE264" s="5"/>
      <c r="AF264" s="151">
        <f t="shared" ca="1" si="182"/>
        <v>-6234.7220095610019</v>
      </c>
      <c r="AG264" s="151">
        <f t="shared" ca="1" si="183"/>
        <v>18695.69791813496</v>
      </c>
      <c r="AH264" s="5"/>
      <c r="AI264" s="5"/>
      <c r="AS264" s="55">
        <f t="shared" si="191"/>
        <v>22</v>
      </c>
      <c r="AT264" s="56">
        <f t="shared" si="199"/>
        <v>261</v>
      </c>
      <c r="AU264" s="57">
        <f t="shared" si="170"/>
        <v>0.27984127526080393</v>
      </c>
      <c r="AV264" s="58">
        <f t="shared" si="192"/>
        <v>4.8675505653430484E-3</v>
      </c>
      <c r="AW264" s="59">
        <f t="shared" si="193"/>
        <v>1.004867550565343</v>
      </c>
      <c r="AX264" s="60">
        <f>PRODUCT(AW$4:AW264)</f>
        <v>3.5514243618134844</v>
      </c>
    </row>
    <row r="265" spans="5:50">
      <c r="E265">
        <f t="shared" si="171"/>
        <v>262</v>
      </c>
      <c r="F265" s="9">
        <f t="shared" si="194"/>
        <v>90.749999999998764</v>
      </c>
      <c r="G265" s="132">
        <f t="shared" si="172"/>
        <v>0</v>
      </c>
      <c r="H265" s="133">
        <f t="shared" si="200"/>
        <v>1</v>
      </c>
      <c r="I265" s="31">
        <f t="shared" si="184"/>
        <v>668892.83915853058</v>
      </c>
      <c r="J265" s="31">
        <f t="shared" si="173"/>
        <v>3255.8697174000222</v>
      </c>
      <c r="K265" s="163">
        <f t="shared" si="174"/>
        <v>-20</v>
      </c>
      <c r="L265" s="163">
        <f t="shared" si="185"/>
        <v>-557.41069929877551</v>
      </c>
      <c r="M265" s="163">
        <f t="shared" si="169"/>
        <v>0</v>
      </c>
      <c r="N265" s="163">
        <f t="shared" si="186"/>
        <v>-635.44819720060411</v>
      </c>
      <c r="O265" s="84">
        <f t="shared" si="175"/>
        <v>-6234.7220095610019</v>
      </c>
      <c r="P265" s="31">
        <f t="shared" si="176"/>
        <v>664701.12796987023</v>
      </c>
      <c r="Q265" s="5"/>
      <c r="R265">
        <f t="shared" ca="1" si="187"/>
        <v>382</v>
      </c>
      <c r="S265" s="133">
        <f t="shared" ca="1" si="188"/>
        <v>99.88</v>
      </c>
      <c r="T265" s="132">
        <f t="shared" ca="1" si="177"/>
        <v>4.7121264130946305E-2</v>
      </c>
      <c r="U265" s="133">
        <f t="shared" ca="1" si="195"/>
        <v>3.6669055891755463E-3</v>
      </c>
      <c r="V265" s="31">
        <f t="shared" ca="1" si="189"/>
        <v>68.555359189546706</v>
      </c>
      <c r="W265" s="31">
        <f t="shared" ca="1" si="178"/>
        <v>0.33369667738037384</v>
      </c>
      <c r="X265" s="163">
        <f t="shared" ca="1" si="196"/>
        <v>-7.333811178351092E-2</v>
      </c>
      <c r="Y265" s="163">
        <f t="shared" ca="1" si="197"/>
        <v>-5.7129465991288923E-2</v>
      </c>
      <c r="Z265" s="163">
        <f t="shared" ca="1" si="190"/>
        <v>0</v>
      </c>
      <c r="AA265" s="163">
        <f t="shared" ca="1" si="198"/>
        <v>-6.5127591230069379E-2</v>
      </c>
      <c r="AB265" s="84">
        <f t="shared" ca="1" si="179"/>
        <v>-22.862136983815031</v>
      </c>
      <c r="AC265" s="160">
        <f t="shared" si="180"/>
        <v>0</v>
      </c>
      <c r="AD265" s="31">
        <f t="shared" ca="1" si="181"/>
        <v>45.831323714107171</v>
      </c>
      <c r="AE265" s="5"/>
      <c r="AF265" s="151">
        <f t="shared" ca="1" si="182"/>
        <v>-6234.7220095610019</v>
      </c>
      <c r="AG265" s="151">
        <f t="shared" ca="1" si="183"/>
        <v>12498.637502257516</v>
      </c>
      <c r="AH265" s="5"/>
      <c r="AI265" s="5"/>
      <c r="AS265" s="55">
        <f t="shared" si="191"/>
        <v>22</v>
      </c>
      <c r="AT265" s="56">
        <f t="shared" si="199"/>
        <v>262</v>
      </c>
      <c r="AU265" s="57">
        <f t="shared" si="170"/>
        <v>0.27847913370320188</v>
      </c>
      <c r="AV265" s="58">
        <f t="shared" si="192"/>
        <v>4.8675505653430484E-3</v>
      </c>
      <c r="AW265" s="59">
        <f t="shared" si="193"/>
        <v>1.004867550565343</v>
      </c>
      <c r="AX265" s="60">
        <f>PRODUCT(AW$4:AW265)</f>
        <v>3.5687110994736027</v>
      </c>
    </row>
    <row r="266" spans="5:50">
      <c r="E266">
        <f t="shared" si="171"/>
        <v>263</v>
      </c>
      <c r="F266" s="9">
        <f t="shared" si="194"/>
        <v>90.833333333332092</v>
      </c>
      <c r="G266" s="132">
        <f t="shared" si="172"/>
        <v>0</v>
      </c>
      <c r="H266" s="133">
        <f t="shared" si="200"/>
        <v>1</v>
      </c>
      <c r="I266" s="31">
        <f t="shared" si="184"/>
        <v>664701.12796987023</v>
      </c>
      <c r="J266" s="31">
        <f t="shared" si="173"/>
        <v>3235.4663512339039</v>
      </c>
      <c r="K266" s="163">
        <f t="shared" si="174"/>
        <v>-20</v>
      </c>
      <c r="L266" s="163">
        <f t="shared" si="185"/>
        <v>-553.91760664155856</v>
      </c>
      <c r="M266" s="163">
        <f t="shared" si="169"/>
        <v>0</v>
      </c>
      <c r="N266" s="163">
        <f t="shared" si="186"/>
        <v>-631.4660715713768</v>
      </c>
      <c r="O266" s="84">
        <f t="shared" si="175"/>
        <v>-6234.7220095610019</v>
      </c>
      <c r="P266" s="31">
        <f t="shared" si="176"/>
        <v>660496.48863333021</v>
      </c>
      <c r="Q266" s="5"/>
      <c r="R266">
        <f t="shared" ca="1" si="187"/>
        <v>383</v>
      </c>
      <c r="S266" s="133">
        <f t="shared" ca="1" si="188"/>
        <v>99.96</v>
      </c>
      <c r="T266" s="132">
        <f t="shared" ca="1" si="177"/>
        <v>4.7121264130946305E-2</v>
      </c>
      <c r="U266" s="133">
        <f t="shared" ca="1" si="195"/>
        <v>3.4941163623647621E-3</v>
      </c>
      <c r="V266" s="31">
        <f t="shared" ca="1" si="189"/>
        <v>43.671693803903821</v>
      </c>
      <c r="W266" s="31">
        <f t="shared" ca="1" si="178"/>
        <v>0.21257417786468055</v>
      </c>
      <c r="X266" s="163">
        <f t="shared" ca="1" si="196"/>
        <v>-6.9882327247295248E-2</v>
      </c>
      <c r="Y266" s="163">
        <f t="shared" ca="1" si="197"/>
        <v>-3.6393078169919851E-2</v>
      </c>
      <c r="Z266" s="163">
        <f t="shared" ca="1" si="190"/>
        <v>0</v>
      </c>
      <c r="AA266" s="163">
        <f t="shared" ca="1" si="198"/>
        <v>-4.1488109113708642E-2</v>
      </c>
      <c r="AB266" s="84">
        <f t="shared" ca="1" si="179"/>
        <v>-21.784844188402804</v>
      </c>
      <c r="AC266" s="160">
        <f t="shared" si="180"/>
        <v>0</v>
      </c>
      <c r="AD266" s="31">
        <f t="shared" ca="1" si="181"/>
        <v>21.951660278834776</v>
      </c>
      <c r="AE266" s="5"/>
      <c r="AF266" s="151">
        <f t="shared" ca="1" si="182"/>
        <v>-6234.722009561001</v>
      </c>
      <c r="AG266" s="151">
        <f t="shared" ca="1" si="183"/>
        <v>6282.4640058576197</v>
      </c>
      <c r="AH266" s="5"/>
      <c r="AI266" s="5"/>
      <c r="AS266" s="55">
        <f t="shared" si="191"/>
        <v>22</v>
      </c>
      <c r="AT266" s="56">
        <f t="shared" si="199"/>
        <v>263</v>
      </c>
      <c r="AU266" s="57">
        <f t="shared" si="170"/>
        <v>0.27712362243850863</v>
      </c>
      <c r="AV266" s="58">
        <f t="shared" si="192"/>
        <v>4.8675505653430484E-3</v>
      </c>
      <c r="AW266" s="59">
        <f t="shared" si="193"/>
        <v>1.004867550565343</v>
      </c>
      <c r="AX266" s="60">
        <f>PRODUCT(AW$4:AW266)</f>
        <v>3.5860819812033915</v>
      </c>
    </row>
    <row r="267" spans="5:50">
      <c r="E267">
        <f t="shared" si="171"/>
        <v>264</v>
      </c>
      <c r="F267" s="9">
        <f t="shared" si="194"/>
        <v>90.916666666665421</v>
      </c>
      <c r="G267" s="132">
        <f t="shared" si="172"/>
        <v>0</v>
      </c>
      <c r="H267" s="133">
        <f t="shared" si="200"/>
        <v>1</v>
      </c>
      <c r="I267" s="31">
        <f t="shared" si="184"/>
        <v>660496.48863333021</v>
      </c>
      <c r="J267" s="31">
        <f t="shared" si="173"/>
        <v>3215.0000566542649</v>
      </c>
      <c r="K267" s="163">
        <f t="shared" si="174"/>
        <v>-20</v>
      </c>
      <c r="L267" s="163">
        <f t="shared" si="185"/>
        <v>-550.41374052777519</v>
      </c>
      <c r="M267" s="163">
        <f t="shared" si="169"/>
        <v>0</v>
      </c>
      <c r="N267" s="163">
        <f t="shared" si="186"/>
        <v>-627.47166420166388</v>
      </c>
      <c r="O267" s="84">
        <f t="shared" si="175"/>
        <v>-6234.7220095610019</v>
      </c>
      <c r="P267" s="31">
        <f t="shared" si="176"/>
        <v>656278.88127569389</v>
      </c>
      <c r="Q267" s="5"/>
      <c r="R267">
        <f t="shared" ca="1" si="187"/>
        <v>384</v>
      </c>
      <c r="S267" s="133">
        <f t="shared" ca="1" si="188"/>
        <v>100.04</v>
      </c>
      <c r="T267" s="132">
        <f t="shared" ca="1" si="177"/>
        <v>4.7121264130946305E-2</v>
      </c>
      <c r="U267" s="133">
        <f t="shared" ca="1" si="195"/>
        <v>3.3294691823495108E-3</v>
      </c>
      <c r="V267" s="31">
        <f t="shared" ca="1" si="189"/>
        <v>20.917270296723</v>
      </c>
      <c r="W267" s="31">
        <f t="shared" ca="1" si="178"/>
        <v>0.10181587085824739</v>
      </c>
      <c r="X267" s="163">
        <f t="shared" ca="1" si="196"/>
        <v>-6.6589383646990213E-2</v>
      </c>
      <c r="Y267" s="163">
        <f t="shared" ca="1" si="197"/>
        <v>-1.7431058580602503E-2</v>
      </c>
      <c r="Z267" s="163">
        <f t="shared" ca="1" si="190"/>
        <v>-0.1568795272254225</v>
      </c>
      <c r="AA267" s="163">
        <f t="shared" ca="1" si="198"/>
        <v>-1.9871406781886855E-2</v>
      </c>
      <c r="AB267" s="84">
        <f t="shared" ca="1" si="179"/>
        <v>-20.758314791349566</v>
      </c>
      <c r="AC267" s="160">
        <f t="shared" si="180"/>
        <v>0</v>
      </c>
      <c r="AD267" s="31">
        <f t="shared" ca="1" si="181"/>
        <v>-3.2258640203508548E-12</v>
      </c>
      <c r="AE267" s="5"/>
      <c r="AF267" s="151">
        <f t="shared" ca="1" si="182"/>
        <v>-6234.722009561001</v>
      </c>
      <c r="AG267" s="151">
        <f t="shared" ca="1" si="183"/>
        <v>-9.6888237844401839E-10</v>
      </c>
      <c r="AH267" s="5"/>
      <c r="AI267" s="5"/>
      <c r="AS267" s="55">
        <f t="shared" si="191"/>
        <v>22</v>
      </c>
      <c r="AT267" s="56">
        <f t="shared" si="199"/>
        <v>264</v>
      </c>
      <c r="AU267" s="57">
        <f t="shared" si="170"/>
        <v>0.27577470919343816</v>
      </c>
      <c r="AV267" s="58">
        <f t="shared" si="192"/>
        <v>4.8675505653430484E-3</v>
      </c>
      <c r="AW267" s="59">
        <f t="shared" si="193"/>
        <v>1.004867550565343</v>
      </c>
      <c r="AX267" s="60">
        <f>PRODUCT(AW$4:AW267)</f>
        <v>3.6035374165783645</v>
      </c>
    </row>
    <row r="268" spans="5:50">
      <c r="E268">
        <f t="shared" si="171"/>
        <v>265</v>
      </c>
      <c r="F268" s="9">
        <f t="shared" si="194"/>
        <v>90.999999999998749</v>
      </c>
      <c r="G268" s="132">
        <f t="shared" si="172"/>
        <v>0</v>
      </c>
      <c r="H268" s="133">
        <f t="shared" si="200"/>
        <v>1</v>
      </c>
      <c r="I268" s="31">
        <f t="shared" si="184"/>
        <v>656278.88127569389</v>
      </c>
      <c r="J268" s="31">
        <f t="shared" si="173"/>
        <v>3194.4706395762073</v>
      </c>
      <c r="K268" s="163">
        <f t="shared" si="174"/>
        <v>-20</v>
      </c>
      <c r="L268" s="163">
        <f t="shared" si="185"/>
        <v>-546.89906772974496</v>
      </c>
      <c r="M268" s="163">
        <f t="shared" si="169"/>
        <v>-4922.0916095677039</v>
      </c>
      <c r="N268" s="163">
        <f t="shared" si="186"/>
        <v>-623.46493721190927</v>
      </c>
      <c r="O268" s="84">
        <f t="shared" si="175"/>
        <v>-6234.7220095610019</v>
      </c>
      <c r="P268" s="31">
        <f t="shared" si="176"/>
        <v>647126.17429119966</v>
      </c>
      <c r="Q268" s="5"/>
      <c r="R268">
        <f t="shared" ca="1" si="187"/>
        <v>385</v>
      </c>
      <c r="S268" s="133">
        <f t="shared" ca="1" si="188"/>
        <v>100.12</v>
      </c>
      <c r="T268" s="132">
        <f t="shared" ca="1" si="177"/>
        <v>4.7121264130946305E-2</v>
      </c>
      <c r="U268" s="133">
        <f t="shared" ca="1" si="195"/>
        <v>3.1725803855921736E-3</v>
      </c>
      <c r="V268" s="31">
        <f t="shared" ca="1" si="189"/>
        <v>0</v>
      </c>
      <c r="W268" s="31">
        <f t="shared" ca="1" si="178"/>
        <v>0</v>
      </c>
      <c r="X268" s="163">
        <f t="shared" ca="1" si="196"/>
        <v>0</v>
      </c>
      <c r="Y268" s="163">
        <f t="shared" ca="1" si="197"/>
        <v>0</v>
      </c>
      <c r="Z268" s="163">
        <f t="shared" ca="1" si="190"/>
        <v>0</v>
      </c>
      <c r="AA268" s="163">
        <f t="shared" ca="1" si="198"/>
        <v>0</v>
      </c>
      <c r="AB268" s="84">
        <f t="shared" ca="1" si="179"/>
        <v>0</v>
      </c>
      <c r="AC268" s="160">
        <f t="shared" si="180"/>
        <v>0</v>
      </c>
      <c r="AD268" s="31">
        <f t="shared" ca="1" si="181"/>
        <v>0</v>
      </c>
      <c r="AE268" s="5"/>
      <c r="AF268" s="151">
        <f t="shared" ca="1" si="182"/>
        <v>0</v>
      </c>
      <c r="AG268" s="151">
        <f t="shared" ca="1" si="183"/>
        <v>0</v>
      </c>
      <c r="AH268" s="5"/>
      <c r="AI268" s="5"/>
      <c r="AS268" s="55">
        <f t="shared" si="191"/>
        <v>23</v>
      </c>
      <c r="AT268" s="56">
        <f t="shared" si="199"/>
        <v>265</v>
      </c>
      <c r="AU268" s="57">
        <f t="shared" si="170"/>
        <v>0.27443236185179631</v>
      </c>
      <c r="AV268" s="58">
        <f t="shared" si="192"/>
        <v>4.8675505653430484E-3</v>
      </c>
      <c r="AW268" s="59">
        <f t="shared" si="193"/>
        <v>1.004867550565343</v>
      </c>
      <c r="AX268" s="60">
        <f>PRODUCT(AW$4:AW268)</f>
        <v>3.6210778171676652</v>
      </c>
    </row>
    <row r="269" spans="5:50">
      <c r="E269">
        <f t="shared" si="171"/>
        <v>266</v>
      </c>
      <c r="F269" s="9">
        <f t="shared" si="194"/>
        <v>91.083333333332078</v>
      </c>
      <c r="G269" s="132">
        <f t="shared" si="172"/>
        <v>0</v>
      </c>
      <c r="H269" s="133">
        <f t="shared" si="200"/>
        <v>1</v>
      </c>
      <c r="I269" s="31">
        <f t="shared" si="184"/>
        <v>647126.17429119966</v>
      </c>
      <c r="J269" s="31">
        <f t="shared" si="173"/>
        <v>3149.9193755194128</v>
      </c>
      <c r="K269" s="163">
        <f t="shared" si="174"/>
        <v>-20</v>
      </c>
      <c r="L269" s="163">
        <f t="shared" si="185"/>
        <v>-539.27181190933311</v>
      </c>
      <c r="M269" s="163">
        <f t="shared" si="169"/>
        <v>0</v>
      </c>
      <c r="N269" s="163">
        <f t="shared" si="186"/>
        <v>-614.76986557663975</v>
      </c>
      <c r="O269" s="84">
        <f t="shared" si="175"/>
        <v>-6234.7220095610019</v>
      </c>
      <c r="P269" s="31">
        <f t="shared" si="176"/>
        <v>642867.3299796721</v>
      </c>
      <c r="Q269" s="5"/>
      <c r="R269">
        <f t="shared" ca="1" si="187"/>
        <v>386</v>
      </c>
      <c r="S269" s="133">
        <f t="shared" ca="1" si="188"/>
        <v>100.2</v>
      </c>
      <c r="T269" s="132">
        <f t="shared" ca="1" si="177"/>
        <v>4.7121264130946305E-2</v>
      </c>
      <c r="U269" s="133">
        <f t="shared" ca="1" si="195"/>
        <v>3.0230843872660253E-3</v>
      </c>
      <c r="V269" s="31">
        <f t="shared" ca="1" si="189"/>
        <v>0</v>
      </c>
      <c r="W269" s="31">
        <f t="shared" ca="1" si="178"/>
        <v>0</v>
      </c>
      <c r="X269" s="163">
        <f t="shared" ca="1" si="196"/>
        <v>0</v>
      </c>
      <c r="Y269" s="163">
        <f t="shared" ca="1" si="197"/>
        <v>0</v>
      </c>
      <c r="Z269" s="163">
        <f t="shared" ca="1" si="190"/>
        <v>0</v>
      </c>
      <c r="AA269" s="163">
        <f t="shared" ca="1" si="198"/>
        <v>0</v>
      </c>
      <c r="AB269" s="84">
        <f t="shared" ca="1" si="179"/>
        <v>0</v>
      </c>
      <c r="AC269" s="160">
        <f t="shared" si="180"/>
        <v>0</v>
      </c>
      <c r="AD269" s="31">
        <f t="shared" ca="1" si="181"/>
        <v>0</v>
      </c>
      <c r="AE269" s="5"/>
      <c r="AF269" s="151">
        <f t="shared" ca="1" si="182"/>
        <v>0</v>
      </c>
      <c r="AG269" s="151">
        <f t="shared" ca="1" si="183"/>
        <v>0</v>
      </c>
      <c r="AH269" s="5"/>
      <c r="AI269" s="5"/>
      <c r="AS269" s="55">
        <f t="shared" si="191"/>
        <v>23</v>
      </c>
      <c r="AT269" s="56">
        <f t="shared" si="199"/>
        <v>266</v>
      </c>
      <c r="AU269" s="57">
        <f t="shared" si="170"/>
        <v>0.27309654845371617</v>
      </c>
      <c r="AV269" s="58">
        <f t="shared" si="192"/>
        <v>4.8675505653430484E-3</v>
      </c>
      <c r="AW269" s="59">
        <f t="shared" si="193"/>
        <v>1.004867550565343</v>
      </c>
      <c r="AX269" s="60">
        <f>PRODUCT(AW$4:AW269)</f>
        <v>3.6387035965437708</v>
      </c>
    </row>
    <row r="270" spans="5:50">
      <c r="E270">
        <f t="shared" si="171"/>
        <v>267</v>
      </c>
      <c r="F270" s="9">
        <f t="shared" si="194"/>
        <v>91.166666666665407</v>
      </c>
      <c r="G270" s="132">
        <f t="shared" si="172"/>
        <v>0</v>
      </c>
      <c r="H270" s="133">
        <f t="shared" si="200"/>
        <v>1</v>
      </c>
      <c r="I270" s="31">
        <f t="shared" si="184"/>
        <v>642867.3299796721</v>
      </c>
      <c r="J270" s="31">
        <f t="shared" si="173"/>
        <v>3129.1892354831289</v>
      </c>
      <c r="K270" s="163">
        <f t="shared" si="174"/>
        <v>-20</v>
      </c>
      <c r="L270" s="163">
        <f t="shared" si="185"/>
        <v>-535.72277498306016</v>
      </c>
      <c r="M270" s="163">
        <f t="shared" si="169"/>
        <v>0</v>
      </c>
      <c r="N270" s="163">
        <f t="shared" si="186"/>
        <v>-610.72396348068867</v>
      </c>
      <c r="O270" s="84">
        <f t="shared" si="175"/>
        <v>-6234.7220095610019</v>
      </c>
      <c r="P270" s="31">
        <f t="shared" si="176"/>
        <v>638595.35046713054</v>
      </c>
      <c r="Q270" s="5"/>
      <c r="R270">
        <f t="shared" ca="1" si="187"/>
        <v>387</v>
      </c>
      <c r="S270" s="133">
        <f t="shared" ca="1" si="188"/>
        <v>100.28</v>
      </c>
      <c r="T270" s="132">
        <f t="shared" ca="1" si="177"/>
        <v>4.7121264130946305E-2</v>
      </c>
      <c r="U270" s="133">
        <f t="shared" ca="1" si="195"/>
        <v>2.8806328293635229E-3</v>
      </c>
      <c r="V270" s="31">
        <f t="shared" ca="1" si="189"/>
        <v>0</v>
      </c>
      <c r="W270" s="31">
        <f t="shared" ca="1" si="178"/>
        <v>0</v>
      </c>
      <c r="X270" s="163">
        <f t="shared" ca="1" si="196"/>
        <v>0</v>
      </c>
      <c r="Y270" s="163">
        <f t="shared" ca="1" si="197"/>
        <v>0</v>
      </c>
      <c r="Z270" s="163">
        <f t="shared" ca="1" si="190"/>
        <v>0</v>
      </c>
      <c r="AA270" s="163">
        <f t="shared" ca="1" si="198"/>
        <v>0</v>
      </c>
      <c r="AB270" s="84">
        <f t="shared" ca="1" si="179"/>
        <v>0</v>
      </c>
      <c r="AC270" s="160">
        <f t="shared" si="180"/>
        <v>0</v>
      </c>
      <c r="AD270" s="31">
        <f t="shared" ca="1" si="181"/>
        <v>0</v>
      </c>
      <c r="AE270" s="5"/>
      <c r="AF270" s="151">
        <f t="shared" ca="1" si="182"/>
        <v>0</v>
      </c>
      <c r="AG270" s="151">
        <f t="shared" ca="1" si="183"/>
        <v>0</v>
      </c>
      <c r="AH270" s="5"/>
      <c r="AI270" s="5"/>
      <c r="AS270" s="55">
        <f t="shared" si="191"/>
        <v>23</v>
      </c>
      <c r="AT270" s="56">
        <f t="shared" si="199"/>
        <v>267</v>
      </c>
      <c r="AU270" s="57">
        <f t="shared" si="170"/>
        <v>0.27176723719489704</v>
      </c>
      <c r="AV270" s="58">
        <f t="shared" si="192"/>
        <v>4.8675505653430484E-3</v>
      </c>
      <c r="AW270" s="59">
        <f t="shared" si="193"/>
        <v>1.004867550565343</v>
      </c>
      <c r="AX270" s="60">
        <f>PRODUCT(AW$4:AW270)</f>
        <v>3.6564151702922434</v>
      </c>
    </row>
    <row r="271" spans="5:50">
      <c r="E271">
        <f t="shared" si="171"/>
        <v>268</v>
      </c>
      <c r="F271" s="9">
        <f t="shared" si="194"/>
        <v>91.249999999998735</v>
      </c>
      <c r="G271" s="132">
        <f t="shared" si="172"/>
        <v>0</v>
      </c>
      <c r="H271" s="133">
        <f t="shared" si="200"/>
        <v>1</v>
      </c>
      <c r="I271" s="31">
        <f t="shared" si="184"/>
        <v>638595.35046713054</v>
      </c>
      <c r="J271" s="31">
        <f t="shared" si="173"/>
        <v>3108.3951591917235</v>
      </c>
      <c r="K271" s="163">
        <f t="shared" si="174"/>
        <v>-20</v>
      </c>
      <c r="L271" s="163">
        <f t="shared" si="185"/>
        <v>-532.16279205594219</v>
      </c>
      <c r="M271" s="163">
        <f t="shared" si="169"/>
        <v>0</v>
      </c>
      <c r="N271" s="163">
        <f t="shared" si="186"/>
        <v>-606.6655829437741</v>
      </c>
      <c r="O271" s="84">
        <f t="shared" si="175"/>
        <v>-6234.7220095610019</v>
      </c>
      <c r="P271" s="31">
        <f t="shared" si="176"/>
        <v>634310.19524176139</v>
      </c>
      <c r="Q271" s="5"/>
      <c r="R271">
        <f t="shared" ca="1" si="187"/>
        <v>388</v>
      </c>
      <c r="S271" s="133">
        <f t="shared" ca="1" si="188"/>
        <v>100.36</v>
      </c>
      <c r="T271" s="132">
        <f t="shared" ca="1" si="177"/>
        <v>4.7121264130946305E-2</v>
      </c>
      <c r="U271" s="133">
        <f t="shared" ca="1" si="195"/>
        <v>2.744893768946809E-3</v>
      </c>
      <c r="V271" s="31">
        <f t="shared" ca="1" si="189"/>
        <v>0</v>
      </c>
      <c r="W271" s="31">
        <f t="shared" ca="1" si="178"/>
        <v>0</v>
      </c>
      <c r="X271" s="163">
        <f t="shared" ca="1" si="196"/>
        <v>0</v>
      </c>
      <c r="Y271" s="163">
        <f t="shared" ca="1" si="197"/>
        <v>0</v>
      </c>
      <c r="Z271" s="163">
        <f t="shared" ca="1" si="190"/>
        <v>0</v>
      </c>
      <c r="AA271" s="163">
        <f t="shared" ca="1" si="198"/>
        <v>0</v>
      </c>
      <c r="AB271" s="84">
        <f t="shared" ca="1" si="179"/>
        <v>0</v>
      </c>
      <c r="AC271" s="160">
        <f t="shared" si="180"/>
        <v>0</v>
      </c>
      <c r="AD271" s="31">
        <f t="shared" ca="1" si="181"/>
        <v>0</v>
      </c>
      <c r="AE271" s="5"/>
      <c r="AF271" s="151">
        <f t="shared" ca="1" si="182"/>
        <v>0</v>
      </c>
      <c r="AG271" s="151">
        <f t="shared" ca="1" si="183"/>
        <v>0</v>
      </c>
      <c r="AH271" s="5"/>
      <c r="AI271" s="5"/>
      <c r="AS271" s="55">
        <f t="shared" si="191"/>
        <v>23</v>
      </c>
      <c r="AT271" s="56">
        <f t="shared" si="199"/>
        <v>268</v>
      </c>
      <c r="AU271" s="57">
        <f t="shared" si="170"/>
        <v>0.27044439642584728</v>
      </c>
      <c r="AV271" s="58">
        <f t="shared" si="192"/>
        <v>4.8675505653430484E-3</v>
      </c>
      <c r="AW271" s="59">
        <f t="shared" si="193"/>
        <v>1.004867550565343</v>
      </c>
      <c r="AX271" s="60">
        <f>PRODUCT(AW$4:AW271)</f>
        <v>3.6742129560215284</v>
      </c>
    </row>
    <row r="272" spans="5:50">
      <c r="E272">
        <f t="shared" si="171"/>
        <v>269</v>
      </c>
      <c r="F272" s="9">
        <f t="shared" si="194"/>
        <v>91.333333333332064</v>
      </c>
      <c r="G272" s="132">
        <f t="shared" si="172"/>
        <v>0</v>
      </c>
      <c r="H272" s="133">
        <f t="shared" si="200"/>
        <v>1</v>
      </c>
      <c r="I272" s="31">
        <f t="shared" si="184"/>
        <v>634310.19524176139</v>
      </c>
      <c r="J272" s="31">
        <f t="shared" si="173"/>
        <v>3087.536949451895</v>
      </c>
      <c r="K272" s="163">
        <f t="shared" si="174"/>
        <v>-20</v>
      </c>
      <c r="L272" s="163">
        <f t="shared" si="185"/>
        <v>-528.59182936813454</v>
      </c>
      <c r="M272" s="163">
        <f t="shared" ref="M272:M335" si="201">IF(OR(I271+O271=0,K271=0),0,-IF(MOD(E272-1,12)=0,1,0)*I272*($C$17))</f>
        <v>0</v>
      </c>
      <c r="N272" s="163">
        <f t="shared" si="186"/>
        <v>-602.59468547967344</v>
      </c>
      <c r="O272" s="84">
        <f t="shared" si="175"/>
        <v>-6234.7220095610019</v>
      </c>
      <c r="P272" s="31">
        <f t="shared" si="176"/>
        <v>630011.82366680447</v>
      </c>
      <c r="Q272" s="5"/>
      <c r="R272">
        <f t="shared" ca="1" si="187"/>
        <v>389</v>
      </c>
      <c r="S272" s="133">
        <f t="shared" ca="1" si="188"/>
        <v>100.44</v>
      </c>
      <c r="T272" s="132">
        <f t="shared" ca="1" si="177"/>
        <v>4.7121264130946305E-2</v>
      </c>
      <c r="U272" s="133">
        <f t="shared" ca="1" si="195"/>
        <v>2.6155509046488779E-3</v>
      </c>
      <c r="V272" s="31">
        <f t="shared" ca="1" si="189"/>
        <v>0</v>
      </c>
      <c r="W272" s="31">
        <f t="shared" ca="1" si="178"/>
        <v>0</v>
      </c>
      <c r="X272" s="163">
        <f t="shared" ca="1" si="196"/>
        <v>0</v>
      </c>
      <c r="Y272" s="163">
        <f t="shared" ca="1" si="197"/>
        <v>0</v>
      </c>
      <c r="Z272" s="163">
        <f t="shared" ca="1" si="190"/>
        <v>0</v>
      </c>
      <c r="AA272" s="163">
        <f t="shared" ca="1" si="198"/>
        <v>0</v>
      </c>
      <c r="AB272" s="84">
        <f t="shared" ca="1" si="179"/>
        <v>0</v>
      </c>
      <c r="AC272" s="160">
        <f t="shared" si="180"/>
        <v>0</v>
      </c>
      <c r="AD272" s="31">
        <f t="shared" ca="1" si="181"/>
        <v>0</v>
      </c>
      <c r="AE272" s="5"/>
      <c r="AF272" s="151">
        <f t="shared" ca="1" si="182"/>
        <v>0</v>
      </c>
      <c r="AG272" s="151">
        <f t="shared" ca="1" si="183"/>
        <v>0</v>
      </c>
      <c r="AH272" s="5"/>
      <c r="AI272" s="5"/>
      <c r="AS272" s="55">
        <f t="shared" si="191"/>
        <v>23</v>
      </c>
      <c r="AT272" s="56">
        <f t="shared" si="199"/>
        <v>269</v>
      </c>
      <c r="AU272" s="57">
        <f t="shared" ref="AU272:AU283" si="202">(1-AV272)*AU271</f>
        <v>0.2691279946511308</v>
      </c>
      <c r="AV272" s="58">
        <f t="shared" si="192"/>
        <v>4.8675505653430484E-3</v>
      </c>
      <c r="AW272" s="59">
        <f t="shared" si="193"/>
        <v>1.004867550565343</v>
      </c>
      <c r="AX272" s="60">
        <f>PRODUCT(AW$4:AW272)</f>
        <v>3.692097373372802</v>
      </c>
    </row>
    <row r="273" spans="5:50">
      <c r="E273">
        <f t="shared" si="171"/>
        <v>270</v>
      </c>
      <c r="F273" s="9">
        <f t="shared" si="194"/>
        <v>91.416666666665392</v>
      </c>
      <c r="G273" s="132">
        <f t="shared" si="172"/>
        <v>0</v>
      </c>
      <c r="H273" s="133">
        <f t="shared" si="200"/>
        <v>1</v>
      </c>
      <c r="I273" s="31">
        <f t="shared" si="184"/>
        <v>630011.82366680447</v>
      </c>
      <c r="J273" s="31">
        <f t="shared" si="173"/>
        <v>3066.6144084621592</v>
      </c>
      <c r="K273" s="163">
        <f t="shared" si="174"/>
        <v>-20</v>
      </c>
      <c r="L273" s="163">
        <f t="shared" si="185"/>
        <v>-525.00985305567042</v>
      </c>
      <c r="M273" s="163">
        <f t="shared" si="201"/>
        <v>0</v>
      </c>
      <c r="N273" s="163">
        <f t="shared" si="186"/>
        <v>-598.51123248346437</v>
      </c>
      <c r="O273" s="84">
        <f t="shared" si="175"/>
        <v>-6234.7220095610019</v>
      </c>
      <c r="P273" s="31">
        <f t="shared" si="176"/>
        <v>625700.1949801665</v>
      </c>
      <c r="Q273" s="5"/>
      <c r="R273">
        <f t="shared" ca="1" si="187"/>
        <v>390</v>
      </c>
      <c r="S273" s="133">
        <f t="shared" ca="1" si="188"/>
        <v>100.52</v>
      </c>
      <c r="T273" s="132">
        <f t="shared" ca="1" si="177"/>
        <v>5.1480641976337171E-2</v>
      </c>
      <c r="U273" s="133">
        <f t="shared" ca="1" si="195"/>
        <v>2.4809006649557644E-3</v>
      </c>
      <c r="V273" s="31">
        <f t="shared" ca="1" si="189"/>
        <v>0</v>
      </c>
      <c r="W273" s="31">
        <f t="shared" ca="1" si="178"/>
        <v>0</v>
      </c>
      <c r="X273" s="163">
        <f t="shared" ca="1" si="196"/>
        <v>0</v>
      </c>
      <c r="Y273" s="163">
        <f t="shared" ca="1" si="197"/>
        <v>0</v>
      </c>
      <c r="Z273" s="163">
        <f t="shared" ca="1" si="190"/>
        <v>0</v>
      </c>
      <c r="AA273" s="163">
        <f t="shared" ca="1" si="198"/>
        <v>0</v>
      </c>
      <c r="AB273" s="84">
        <f t="shared" ca="1" si="179"/>
        <v>0</v>
      </c>
      <c r="AC273" s="160">
        <f t="shared" si="180"/>
        <v>0</v>
      </c>
      <c r="AD273" s="31">
        <f t="shared" ca="1" si="181"/>
        <v>0</v>
      </c>
      <c r="AE273" s="5"/>
      <c r="AF273" s="151">
        <f t="shared" ca="1" si="182"/>
        <v>0</v>
      </c>
      <c r="AG273" s="151">
        <f t="shared" ca="1" si="183"/>
        <v>0</v>
      </c>
      <c r="AH273" s="5"/>
      <c r="AI273" s="5"/>
      <c r="AS273" s="55">
        <f t="shared" si="191"/>
        <v>23</v>
      </c>
      <c r="AT273" s="56">
        <f t="shared" si="199"/>
        <v>270</v>
      </c>
      <c r="AU273" s="57">
        <f t="shared" si="202"/>
        <v>0.26781800052861704</v>
      </c>
      <c r="AV273" s="58">
        <f t="shared" si="192"/>
        <v>4.8675505653430484E-3</v>
      </c>
      <c r="AW273" s="59">
        <f t="shared" si="193"/>
        <v>1.004867550565343</v>
      </c>
      <c r="AX273" s="60">
        <f>PRODUCT(AW$4:AW273)</f>
        <v>3.7100688440298644</v>
      </c>
    </row>
    <row r="274" spans="5:50">
      <c r="E274">
        <f t="shared" si="171"/>
        <v>271</v>
      </c>
      <c r="F274" s="9">
        <f t="shared" si="194"/>
        <v>91.499999999998721</v>
      </c>
      <c r="G274" s="132">
        <f t="shared" si="172"/>
        <v>0</v>
      </c>
      <c r="H274" s="133">
        <f t="shared" si="200"/>
        <v>1</v>
      </c>
      <c r="I274" s="31">
        <f t="shared" si="184"/>
        <v>625700.1949801665</v>
      </c>
      <c r="J274" s="31">
        <f t="shared" si="173"/>
        <v>3045.6273378109649</v>
      </c>
      <c r="K274" s="163">
        <f t="shared" si="174"/>
        <v>-20</v>
      </c>
      <c r="L274" s="163">
        <f t="shared" si="185"/>
        <v>-521.41682915013882</v>
      </c>
      <c r="M274" s="163">
        <f t="shared" si="201"/>
        <v>0</v>
      </c>
      <c r="N274" s="163">
        <f t="shared" si="186"/>
        <v>-594.41518523115826</v>
      </c>
      <c r="O274" s="84">
        <f t="shared" si="175"/>
        <v>-6234.7220095610019</v>
      </c>
      <c r="P274" s="31">
        <f t="shared" si="176"/>
        <v>621375.26829403511</v>
      </c>
      <c r="Q274" s="5"/>
      <c r="R274">
        <f t="shared" ca="1" si="187"/>
        <v>391</v>
      </c>
      <c r="S274" s="133">
        <f t="shared" ca="1" si="188"/>
        <v>100.6</v>
      </c>
      <c r="T274" s="132">
        <f t="shared" ca="1" si="177"/>
        <v>5.1480641976337171E-2</v>
      </c>
      <c r="U274" s="133">
        <f t="shared" ca="1" si="195"/>
        <v>2.3531823060443198E-3</v>
      </c>
      <c r="V274" s="31">
        <f t="shared" ca="1" si="189"/>
        <v>0</v>
      </c>
      <c r="W274" s="31">
        <f t="shared" ca="1" si="178"/>
        <v>0</v>
      </c>
      <c r="X274" s="163">
        <f t="shared" ca="1" si="196"/>
        <v>0</v>
      </c>
      <c r="Y274" s="163">
        <f t="shared" ca="1" si="197"/>
        <v>0</v>
      </c>
      <c r="Z274" s="163">
        <f t="shared" ca="1" si="190"/>
        <v>0</v>
      </c>
      <c r="AA274" s="163">
        <f t="shared" ca="1" si="198"/>
        <v>0</v>
      </c>
      <c r="AB274" s="84">
        <f t="shared" ca="1" si="179"/>
        <v>0</v>
      </c>
      <c r="AC274" s="160">
        <f t="shared" si="180"/>
        <v>0</v>
      </c>
      <c r="AD274" s="31">
        <f t="shared" ca="1" si="181"/>
        <v>0</v>
      </c>
      <c r="AE274" s="5"/>
      <c r="AF274" s="151">
        <f t="shared" ca="1" si="182"/>
        <v>0</v>
      </c>
      <c r="AG274" s="151">
        <f t="shared" ca="1" si="183"/>
        <v>0</v>
      </c>
      <c r="AH274" s="5"/>
      <c r="AI274" s="5"/>
      <c r="AS274" s="55">
        <f t="shared" si="191"/>
        <v>23</v>
      </c>
      <c r="AT274" s="56">
        <f t="shared" si="199"/>
        <v>271</v>
      </c>
      <c r="AU274" s="57">
        <f t="shared" si="202"/>
        <v>0.26651438286873491</v>
      </c>
      <c r="AV274" s="58">
        <f t="shared" si="192"/>
        <v>4.8675505653430484E-3</v>
      </c>
      <c r="AW274" s="59">
        <f t="shared" si="193"/>
        <v>1.004867550565343</v>
      </c>
      <c r="AX274" s="60">
        <f>PRODUCT(AW$4:AW274)</f>
        <v>3.7281277917290834</v>
      </c>
    </row>
    <row r="275" spans="5:50">
      <c r="E275">
        <f t="shared" si="171"/>
        <v>272</v>
      </c>
      <c r="F275" s="9">
        <f t="shared" si="194"/>
        <v>91.58333333333205</v>
      </c>
      <c r="G275" s="132">
        <f t="shared" si="172"/>
        <v>0</v>
      </c>
      <c r="H275" s="133">
        <f t="shared" si="200"/>
        <v>1</v>
      </c>
      <c r="I275" s="31">
        <f t="shared" si="184"/>
        <v>621375.26829403511</v>
      </c>
      <c r="J275" s="31">
        <f t="shared" si="173"/>
        <v>3024.575538474819</v>
      </c>
      <c r="K275" s="163">
        <f t="shared" si="174"/>
        <v>-20</v>
      </c>
      <c r="L275" s="163">
        <f t="shared" si="185"/>
        <v>-517.81272357836258</v>
      </c>
      <c r="M275" s="163">
        <f t="shared" si="201"/>
        <v>0</v>
      </c>
      <c r="N275" s="163">
        <f t="shared" si="186"/>
        <v>-590.30650487933349</v>
      </c>
      <c r="O275" s="84">
        <f t="shared" si="175"/>
        <v>-6234.7220095610019</v>
      </c>
      <c r="P275" s="31">
        <f t="shared" si="176"/>
        <v>617037.00259449112</v>
      </c>
      <c r="Q275" s="5"/>
      <c r="R275">
        <f t="shared" ca="1" si="187"/>
        <v>392</v>
      </c>
      <c r="S275" s="133">
        <f t="shared" ca="1" si="188"/>
        <v>100.68</v>
      </c>
      <c r="T275" s="132">
        <f t="shared" ca="1" si="177"/>
        <v>5.1480641976337171E-2</v>
      </c>
      <c r="U275" s="133">
        <f t="shared" ca="1" si="195"/>
        <v>2.2320389702418005E-3</v>
      </c>
      <c r="V275" s="31">
        <f t="shared" ca="1" si="189"/>
        <v>0</v>
      </c>
      <c r="W275" s="31">
        <f t="shared" ca="1" si="178"/>
        <v>0</v>
      </c>
      <c r="X275" s="163">
        <f t="shared" ca="1" si="196"/>
        <v>0</v>
      </c>
      <c r="Y275" s="163">
        <f t="shared" ca="1" si="197"/>
        <v>0</v>
      </c>
      <c r="Z275" s="163">
        <f t="shared" ca="1" si="190"/>
        <v>0</v>
      </c>
      <c r="AA275" s="163">
        <f t="shared" ca="1" si="198"/>
        <v>0</v>
      </c>
      <c r="AB275" s="84">
        <f t="shared" ca="1" si="179"/>
        <v>0</v>
      </c>
      <c r="AC275" s="160">
        <f t="shared" si="180"/>
        <v>0</v>
      </c>
      <c r="AD275" s="31">
        <f t="shared" ca="1" si="181"/>
        <v>0</v>
      </c>
      <c r="AE275" s="5"/>
      <c r="AF275" s="151">
        <f t="shared" ca="1" si="182"/>
        <v>0</v>
      </c>
      <c r="AG275" s="151">
        <f t="shared" ca="1" si="183"/>
        <v>0</v>
      </c>
      <c r="AH275" s="5"/>
      <c r="AI275" s="5"/>
      <c r="AS275" s="55">
        <f t="shared" si="191"/>
        <v>23</v>
      </c>
      <c r="AT275" s="56">
        <f t="shared" si="199"/>
        <v>272</v>
      </c>
      <c r="AU275" s="57">
        <f t="shared" si="202"/>
        <v>0.26521711063373016</v>
      </c>
      <c r="AV275" s="58">
        <f t="shared" si="192"/>
        <v>4.8675505653430484E-3</v>
      </c>
      <c r="AW275" s="59">
        <f t="shared" si="193"/>
        <v>1.004867550565343</v>
      </c>
      <c r="AX275" s="60">
        <f>PRODUCT(AW$4:AW275)</f>
        <v>3.7462746422693853</v>
      </c>
    </row>
    <row r="276" spans="5:50">
      <c r="E276">
        <f t="shared" si="171"/>
        <v>273</v>
      </c>
      <c r="F276" s="9">
        <f t="shared" si="194"/>
        <v>91.666666666665378</v>
      </c>
      <c r="G276" s="132">
        <f t="shared" si="172"/>
        <v>0</v>
      </c>
      <c r="H276" s="133">
        <f t="shared" si="200"/>
        <v>1</v>
      </c>
      <c r="I276" s="31">
        <f t="shared" si="184"/>
        <v>617037.00259449112</v>
      </c>
      <c r="J276" s="31">
        <f t="shared" si="173"/>
        <v>3003.4588108163953</v>
      </c>
      <c r="K276" s="163">
        <f t="shared" si="174"/>
        <v>-20</v>
      </c>
      <c r="L276" s="163">
        <f t="shared" si="185"/>
        <v>-514.19750216207592</v>
      </c>
      <c r="M276" s="163">
        <f t="shared" si="201"/>
        <v>0</v>
      </c>
      <c r="N276" s="163">
        <f t="shared" si="186"/>
        <v>-586.1851524647667</v>
      </c>
      <c r="O276" s="84">
        <f t="shared" si="175"/>
        <v>-6234.7220095610019</v>
      </c>
      <c r="P276" s="31">
        <f t="shared" si="176"/>
        <v>612685.35674111964</v>
      </c>
      <c r="Q276" s="5"/>
      <c r="R276">
        <f t="shared" ca="1" si="187"/>
        <v>393</v>
      </c>
      <c r="S276" s="133">
        <f t="shared" ca="1" si="188"/>
        <v>100.76</v>
      </c>
      <c r="T276" s="132">
        <f t="shared" ca="1" si="177"/>
        <v>5.1480641976337171E-2</v>
      </c>
      <c r="U276" s="133">
        <f t="shared" ca="1" si="195"/>
        <v>2.1171321711375502E-3</v>
      </c>
      <c r="V276" s="31">
        <f t="shared" ca="1" si="189"/>
        <v>0</v>
      </c>
      <c r="W276" s="31">
        <f t="shared" ca="1" si="178"/>
        <v>0</v>
      </c>
      <c r="X276" s="163">
        <f t="shared" ca="1" si="196"/>
        <v>0</v>
      </c>
      <c r="Y276" s="163">
        <f t="shared" ca="1" si="197"/>
        <v>0</v>
      </c>
      <c r="Z276" s="163">
        <f t="shared" ca="1" si="190"/>
        <v>0</v>
      </c>
      <c r="AA276" s="163">
        <f t="shared" ca="1" si="198"/>
        <v>0</v>
      </c>
      <c r="AB276" s="84">
        <f t="shared" ca="1" si="179"/>
        <v>0</v>
      </c>
      <c r="AC276" s="160">
        <f t="shared" si="180"/>
        <v>0</v>
      </c>
      <c r="AD276" s="31">
        <f t="shared" ca="1" si="181"/>
        <v>0</v>
      </c>
      <c r="AE276" s="5"/>
      <c r="AF276" s="151">
        <f t="shared" ca="1" si="182"/>
        <v>0</v>
      </c>
      <c r="AG276" s="151">
        <f t="shared" ca="1" si="183"/>
        <v>0</v>
      </c>
      <c r="AH276" s="5"/>
      <c r="AI276" s="5"/>
      <c r="AS276" s="55">
        <f t="shared" si="191"/>
        <v>23</v>
      </c>
      <c r="AT276" s="56">
        <f t="shared" si="199"/>
        <v>273</v>
      </c>
      <c r="AU276" s="57">
        <f t="shared" si="202"/>
        <v>0.26392615293692628</v>
      </c>
      <c r="AV276" s="58">
        <f t="shared" si="192"/>
        <v>4.8675505653430484E-3</v>
      </c>
      <c r="AW276" s="59">
        <f t="shared" si="193"/>
        <v>1.004867550565343</v>
      </c>
      <c r="AX276" s="60">
        <f>PRODUCT(AW$4:AW276)</f>
        <v>3.7645098235222938</v>
      </c>
    </row>
    <row r="277" spans="5:50">
      <c r="E277">
        <f t="shared" si="171"/>
        <v>274</v>
      </c>
      <c r="F277" s="9">
        <f t="shared" si="194"/>
        <v>91.749999999998707</v>
      </c>
      <c r="G277" s="132">
        <f t="shared" si="172"/>
        <v>0</v>
      </c>
      <c r="H277" s="133">
        <f t="shared" si="200"/>
        <v>1</v>
      </c>
      <c r="I277" s="31">
        <f t="shared" si="184"/>
        <v>612685.35674111964</v>
      </c>
      <c r="J277" s="31">
        <f t="shared" si="173"/>
        <v>2982.2769545826441</v>
      </c>
      <c r="K277" s="163">
        <f t="shared" si="174"/>
        <v>-20</v>
      </c>
      <c r="L277" s="163">
        <f t="shared" si="185"/>
        <v>-510.57113061759975</v>
      </c>
      <c r="M277" s="163">
        <f t="shared" si="201"/>
        <v>0</v>
      </c>
      <c r="N277" s="163">
        <f t="shared" si="186"/>
        <v>-582.0510889040637</v>
      </c>
      <c r="O277" s="84">
        <f t="shared" si="175"/>
        <v>-6234.7220095610019</v>
      </c>
      <c r="P277" s="31">
        <f t="shared" si="176"/>
        <v>608320.28946661961</v>
      </c>
      <c r="Q277" s="5"/>
      <c r="R277">
        <f t="shared" ca="1" si="187"/>
        <v>394</v>
      </c>
      <c r="S277" s="133">
        <f t="shared" ca="1" si="188"/>
        <v>100.84</v>
      </c>
      <c r="T277" s="132">
        <f t="shared" ca="1" si="177"/>
        <v>5.1480641976337171E-2</v>
      </c>
      <c r="U277" s="133">
        <f t="shared" ca="1" si="195"/>
        <v>2.0081408478186324E-3</v>
      </c>
      <c r="V277" s="31">
        <f t="shared" ca="1" si="189"/>
        <v>0</v>
      </c>
      <c r="W277" s="31">
        <f t="shared" ca="1" si="178"/>
        <v>0</v>
      </c>
      <c r="X277" s="163">
        <f t="shared" ca="1" si="196"/>
        <v>0</v>
      </c>
      <c r="Y277" s="163">
        <f t="shared" ca="1" si="197"/>
        <v>0</v>
      </c>
      <c r="Z277" s="163">
        <f t="shared" ca="1" si="190"/>
        <v>0</v>
      </c>
      <c r="AA277" s="163">
        <f t="shared" ca="1" si="198"/>
        <v>0</v>
      </c>
      <c r="AB277" s="84">
        <f t="shared" ca="1" si="179"/>
        <v>0</v>
      </c>
      <c r="AC277" s="160">
        <f t="shared" si="180"/>
        <v>0</v>
      </c>
      <c r="AD277" s="31">
        <f t="shared" ca="1" si="181"/>
        <v>0</v>
      </c>
      <c r="AE277" s="5"/>
      <c r="AF277" s="151">
        <f t="shared" ca="1" si="182"/>
        <v>0</v>
      </c>
      <c r="AG277" s="151">
        <f t="shared" ca="1" si="183"/>
        <v>0</v>
      </c>
      <c r="AH277" s="5"/>
      <c r="AI277" s="5"/>
      <c r="AS277" s="55">
        <f t="shared" si="191"/>
        <v>23</v>
      </c>
      <c r="AT277" s="56">
        <f t="shared" si="199"/>
        <v>274</v>
      </c>
      <c r="AU277" s="57">
        <f t="shared" si="202"/>
        <v>0.26264147904198931</v>
      </c>
      <c r="AV277" s="58">
        <f t="shared" si="192"/>
        <v>4.8675505653430484E-3</v>
      </c>
      <c r="AW277" s="59">
        <f t="shared" si="193"/>
        <v>1.004867550565343</v>
      </c>
      <c r="AX277" s="60">
        <f>PRODUCT(AW$4:AW277)</f>
        <v>3.7828337654420192</v>
      </c>
    </row>
    <row r="278" spans="5:50">
      <c r="E278">
        <f t="shared" si="171"/>
        <v>275</v>
      </c>
      <c r="F278" s="9">
        <f t="shared" si="194"/>
        <v>91.833333333332035</v>
      </c>
      <c r="G278" s="132">
        <f t="shared" si="172"/>
        <v>0</v>
      </c>
      <c r="H278" s="133">
        <f t="shared" si="200"/>
        <v>1</v>
      </c>
      <c r="I278" s="31">
        <f t="shared" si="184"/>
        <v>608320.28946661961</v>
      </c>
      <c r="J278" s="31">
        <f t="shared" si="173"/>
        <v>2961.0297689028912</v>
      </c>
      <c r="K278" s="163">
        <f t="shared" si="174"/>
        <v>-20</v>
      </c>
      <c r="L278" s="163">
        <f t="shared" si="185"/>
        <v>-506.93357455551637</v>
      </c>
      <c r="M278" s="163">
        <f t="shared" si="201"/>
        <v>0</v>
      </c>
      <c r="N278" s="163">
        <f t="shared" si="186"/>
        <v>-577.90427499328871</v>
      </c>
      <c r="O278" s="84">
        <f t="shared" si="175"/>
        <v>-6234.7220095610019</v>
      </c>
      <c r="P278" s="31">
        <f t="shared" si="176"/>
        <v>603941.75937641261</v>
      </c>
      <c r="Q278" s="5"/>
      <c r="R278">
        <f t="shared" ca="1" si="187"/>
        <v>395</v>
      </c>
      <c r="S278" s="133">
        <f t="shared" ca="1" si="188"/>
        <v>100.92</v>
      </c>
      <c r="T278" s="132">
        <f t="shared" ca="1" si="177"/>
        <v>5.1480641976337171E-2</v>
      </c>
      <c r="U278" s="133">
        <f t="shared" ca="1" si="195"/>
        <v>1.9047604677940233E-3</v>
      </c>
      <c r="V278" s="31">
        <f t="shared" ca="1" si="189"/>
        <v>0</v>
      </c>
      <c r="W278" s="31">
        <f t="shared" ca="1" si="178"/>
        <v>0</v>
      </c>
      <c r="X278" s="163">
        <f t="shared" ca="1" si="196"/>
        <v>0</v>
      </c>
      <c r="Y278" s="163">
        <f t="shared" ca="1" si="197"/>
        <v>0</v>
      </c>
      <c r="Z278" s="163">
        <f t="shared" ca="1" si="190"/>
        <v>0</v>
      </c>
      <c r="AA278" s="163">
        <f t="shared" ca="1" si="198"/>
        <v>0</v>
      </c>
      <c r="AB278" s="84">
        <f t="shared" ca="1" si="179"/>
        <v>0</v>
      </c>
      <c r="AC278" s="160">
        <f t="shared" si="180"/>
        <v>0</v>
      </c>
      <c r="AD278" s="31">
        <f t="shared" ca="1" si="181"/>
        <v>0</v>
      </c>
      <c r="AE278" s="5"/>
      <c r="AF278" s="151">
        <f t="shared" ca="1" si="182"/>
        <v>0</v>
      </c>
      <c r="AG278" s="151">
        <f t="shared" ca="1" si="183"/>
        <v>0</v>
      </c>
      <c r="AH278" s="5"/>
      <c r="AI278" s="5"/>
      <c r="AS278" s="55">
        <f t="shared" si="191"/>
        <v>23</v>
      </c>
      <c r="AT278" s="56">
        <f t="shared" si="199"/>
        <v>275</v>
      </c>
      <c r="AU278" s="57">
        <f t="shared" si="202"/>
        <v>0.26136305836219592</v>
      </c>
      <c r="AV278" s="58">
        <f t="shared" si="192"/>
        <v>4.8675505653430484E-3</v>
      </c>
      <c r="AW278" s="59">
        <f t="shared" si="193"/>
        <v>1.004867550565343</v>
      </c>
      <c r="AX278" s="60">
        <f>PRODUCT(AW$4:AW278)</f>
        <v>3.8012469000755953</v>
      </c>
    </row>
    <row r="279" spans="5:50">
      <c r="E279">
        <f t="shared" si="171"/>
        <v>276</v>
      </c>
      <c r="F279" s="9">
        <f t="shared" si="194"/>
        <v>91.916666666665364</v>
      </c>
      <c r="G279" s="132">
        <f t="shared" si="172"/>
        <v>0</v>
      </c>
      <c r="H279" s="133">
        <f t="shared" si="200"/>
        <v>1</v>
      </c>
      <c r="I279" s="31">
        <f t="shared" si="184"/>
        <v>603941.75937641261</v>
      </c>
      <c r="J279" s="31">
        <f t="shared" si="173"/>
        <v>2939.7170522869324</v>
      </c>
      <c r="K279" s="163">
        <f t="shared" si="174"/>
        <v>-20</v>
      </c>
      <c r="L279" s="163">
        <f t="shared" si="185"/>
        <v>-503.28479948034385</v>
      </c>
      <c r="M279" s="163">
        <f t="shared" si="201"/>
        <v>0</v>
      </c>
      <c r="N279" s="163">
        <f t="shared" si="186"/>
        <v>-573.74467140759214</v>
      </c>
      <c r="O279" s="84">
        <f t="shared" si="175"/>
        <v>-6234.7220095610019</v>
      </c>
      <c r="P279" s="31">
        <f t="shared" si="176"/>
        <v>599549.72494825057</v>
      </c>
      <c r="Q279" s="5"/>
      <c r="R279">
        <f t="shared" ca="1" si="187"/>
        <v>396</v>
      </c>
      <c r="S279" s="133">
        <f t="shared" ca="1" si="188"/>
        <v>101</v>
      </c>
      <c r="T279" s="132">
        <f t="shared" ca="1" si="177"/>
        <v>5.1480641976337171E-2</v>
      </c>
      <c r="U279" s="133">
        <f t="shared" ca="1" si="195"/>
        <v>1.8067021761008386E-3</v>
      </c>
      <c r="V279" s="31">
        <f t="shared" ca="1" si="189"/>
        <v>0</v>
      </c>
      <c r="W279" s="31">
        <f t="shared" ca="1" si="178"/>
        <v>0</v>
      </c>
      <c r="X279" s="163">
        <f t="shared" ca="1" si="196"/>
        <v>0</v>
      </c>
      <c r="Y279" s="163">
        <f t="shared" ca="1" si="197"/>
        <v>0</v>
      </c>
      <c r="Z279" s="163">
        <f t="shared" ca="1" si="190"/>
        <v>0</v>
      </c>
      <c r="AA279" s="163">
        <f t="shared" ca="1" si="198"/>
        <v>0</v>
      </c>
      <c r="AB279" s="84">
        <f t="shared" ca="1" si="179"/>
        <v>0</v>
      </c>
      <c r="AC279" s="160">
        <f t="shared" si="180"/>
        <v>0</v>
      </c>
      <c r="AD279" s="31">
        <f t="shared" ca="1" si="181"/>
        <v>0</v>
      </c>
      <c r="AE279" s="5"/>
      <c r="AF279" s="151">
        <f t="shared" ca="1" si="182"/>
        <v>0</v>
      </c>
      <c r="AG279" s="151">
        <f t="shared" ca="1" si="183"/>
        <v>0</v>
      </c>
      <c r="AH279" s="5"/>
      <c r="AI279" s="5"/>
      <c r="AS279" s="55">
        <f t="shared" si="191"/>
        <v>23</v>
      </c>
      <c r="AT279" s="56">
        <f t="shared" si="199"/>
        <v>276</v>
      </c>
      <c r="AU279" s="57">
        <f t="shared" si="202"/>
        <v>0.26009086045970525</v>
      </c>
      <c r="AV279" s="58">
        <f t="shared" si="192"/>
        <v>4.8675505653430484E-3</v>
      </c>
      <c r="AW279" s="59">
        <f t="shared" si="193"/>
        <v>1.004867550565343</v>
      </c>
      <c r="AX279" s="60">
        <f>PRODUCT(AW$4:AW279)</f>
        <v>3.8197496615730668</v>
      </c>
    </row>
    <row r="280" spans="5:50">
      <c r="E280">
        <f t="shared" si="171"/>
        <v>277</v>
      </c>
      <c r="F280" s="9">
        <f t="shared" si="194"/>
        <v>91.999999999998693</v>
      </c>
      <c r="G280" s="132">
        <f t="shared" si="172"/>
        <v>0</v>
      </c>
      <c r="H280" s="133">
        <f t="shared" si="200"/>
        <v>1</v>
      </c>
      <c r="I280" s="31">
        <f t="shared" si="184"/>
        <v>599549.72494825057</v>
      </c>
      <c r="J280" s="31">
        <f t="shared" si="173"/>
        <v>2918.3386026231265</v>
      </c>
      <c r="K280" s="163">
        <f t="shared" si="174"/>
        <v>-20</v>
      </c>
      <c r="L280" s="163">
        <f t="shared" si="185"/>
        <v>-499.62477079020886</v>
      </c>
      <c r="M280" s="163">
        <f t="shared" si="201"/>
        <v>-4496.6229371118789</v>
      </c>
      <c r="N280" s="163">
        <f t="shared" si="186"/>
        <v>-569.57223870083817</v>
      </c>
      <c r="O280" s="84">
        <f t="shared" si="175"/>
        <v>-6234.7220095610019</v>
      </c>
      <c r="P280" s="31">
        <f t="shared" si="176"/>
        <v>590647.52159470972</v>
      </c>
      <c r="Q280" s="5"/>
      <c r="R280">
        <f t="shared" ca="1" si="187"/>
        <v>397</v>
      </c>
      <c r="S280" s="133">
        <f t="shared" ca="1" si="188"/>
        <v>101.08</v>
      </c>
      <c r="T280" s="132">
        <f t="shared" ca="1" si="177"/>
        <v>5.1480641976337171E-2</v>
      </c>
      <c r="U280" s="133">
        <f t="shared" ca="1" si="195"/>
        <v>1.7136919882151222E-3</v>
      </c>
      <c r="V280" s="31">
        <f t="shared" ca="1" si="189"/>
        <v>0</v>
      </c>
      <c r="W280" s="31">
        <f t="shared" ca="1" si="178"/>
        <v>0</v>
      </c>
      <c r="X280" s="163">
        <f t="shared" ca="1" si="196"/>
        <v>0</v>
      </c>
      <c r="Y280" s="163">
        <f t="shared" ca="1" si="197"/>
        <v>0</v>
      </c>
      <c r="Z280" s="163">
        <f t="shared" ca="1" si="190"/>
        <v>0</v>
      </c>
      <c r="AA280" s="163">
        <f t="shared" ca="1" si="198"/>
        <v>0</v>
      </c>
      <c r="AB280" s="84">
        <f t="shared" ca="1" si="179"/>
        <v>0</v>
      </c>
      <c r="AC280" s="160">
        <f t="shared" si="180"/>
        <v>0</v>
      </c>
      <c r="AD280" s="31">
        <f t="shared" ca="1" si="181"/>
        <v>0</v>
      </c>
      <c r="AE280" s="5"/>
      <c r="AF280" s="151">
        <f t="shared" ca="1" si="182"/>
        <v>0</v>
      </c>
      <c r="AG280" s="151">
        <f t="shared" ca="1" si="183"/>
        <v>0</v>
      </c>
      <c r="AH280" s="5"/>
      <c r="AI280" s="5"/>
      <c r="AS280" s="55">
        <f t="shared" si="191"/>
        <v>24</v>
      </c>
      <c r="AT280" s="56">
        <f t="shared" si="199"/>
        <v>277</v>
      </c>
      <c r="AU280" s="57">
        <f t="shared" si="202"/>
        <v>0.25882485504483405</v>
      </c>
      <c r="AV280" s="58">
        <f t="shared" si="192"/>
        <v>4.8675505653430484E-3</v>
      </c>
      <c r="AW280" s="59">
        <f t="shared" si="193"/>
        <v>1.004867550565343</v>
      </c>
      <c r="AX280" s="60">
        <f>PRODUCT(AW$4:AW280)</f>
        <v>3.8383424861977256</v>
      </c>
    </row>
    <row r="281" spans="5:50">
      <c r="E281">
        <f t="shared" si="171"/>
        <v>278</v>
      </c>
      <c r="F281" s="9">
        <f t="shared" si="194"/>
        <v>92.083333333332021</v>
      </c>
      <c r="G281" s="132">
        <f t="shared" si="172"/>
        <v>0</v>
      </c>
      <c r="H281" s="133">
        <f t="shared" si="200"/>
        <v>1</v>
      </c>
      <c r="I281" s="31">
        <f t="shared" si="184"/>
        <v>590647.52159470972</v>
      </c>
      <c r="J281" s="31">
        <f t="shared" si="173"/>
        <v>2875.0066776567996</v>
      </c>
      <c r="K281" s="163">
        <f t="shared" si="174"/>
        <v>-20</v>
      </c>
      <c r="L281" s="163">
        <f t="shared" si="185"/>
        <v>-492.20626799559147</v>
      </c>
      <c r="M281" s="163">
        <f t="shared" si="201"/>
        <v>0</v>
      </c>
      <c r="N281" s="163">
        <f t="shared" si="186"/>
        <v>-561.1151455149743</v>
      </c>
      <c r="O281" s="84">
        <f t="shared" si="175"/>
        <v>-6234.7220095610019</v>
      </c>
      <c r="P281" s="31">
        <f t="shared" si="176"/>
        <v>586214.48484929488</v>
      </c>
      <c r="Q281" s="5"/>
      <c r="R281">
        <f t="shared" ca="1" si="187"/>
        <v>398</v>
      </c>
      <c r="S281" s="133">
        <f t="shared" ca="1" si="188"/>
        <v>101.16</v>
      </c>
      <c r="T281" s="132">
        <f t="shared" ca="1" si="177"/>
        <v>5.1480641976337171E-2</v>
      </c>
      <c r="U281" s="133">
        <f t="shared" ca="1" si="195"/>
        <v>1.6254700245121022E-3</v>
      </c>
      <c r="V281" s="31">
        <f t="shared" ca="1" si="189"/>
        <v>0</v>
      </c>
      <c r="W281" s="31">
        <f t="shared" ca="1" si="178"/>
        <v>0</v>
      </c>
      <c r="X281" s="163">
        <f t="shared" ca="1" si="196"/>
        <v>0</v>
      </c>
      <c r="Y281" s="163">
        <f t="shared" ca="1" si="197"/>
        <v>0</v>
      </c>
      <c r="Z281" s="163">
        <f t="shared" ca="1" si="190"/>
        <v>0</v>
      </c>
      <c r="AA281" s="163">
        <f t="shared" ca="1" si="198"/>
        <v>0</v>
      </c>
      <c r="AB281" s="84">
        <f t="shared" ca="1" si="179"/>
        <v>0</v>
      </c>
      <c r="AC281" s="160">
        <f t="shared" si="180"/>
        <v>0</v>
      </c>
      <c r="AD281" s="31">
        <f t="shared" ca="1" si="181"/>
        <v>0</v>
      </c>
      <c r="AE281" s="5"/>
      <c r="AF281" s="151">
        <f t="shared" ca="1" si="182"/>
        <v>0</v>
      </c>
      <c r="AG281" s="151">
        <f t="shared" ca="1" si="183"/>
        <v>0</v>
      </c>
      <c r="AH281" s="5"/>
      <c r="AI281" s="5"/>
      <c r="AS281" s="55">
        <f t="shared" si="191"/>
        <v>24</v>
      </c>
      <c r="AT281" s="56">
        <f t="shared" si="199"/>
        <v>278</v>
      </c>
      <c r="AU281" s="57">
        <f t="shared" si="202"/>
        <v>0.25756501197533571</v>
      </c>
      <c r="AV281" s="58">
        <f t="shared" si="192"/>
        <v>4.8675505653430484E-3</v>
      </c>
      <c r="AW281" s="59">
        <f t="shared" si="193"/>
        <v>1.004867550565343</v>
      </c>
      <c r="AX281" s="60">
        <f>PRODUCT(AW$4:AW281)</f>
        <v>3.8570258123363974</v>
      </c>
    </row>
    <row r="282" spans="5:50">
      <c r="E282">
        <f t="shared" si="171"/>
        <v>279</v>
      </c>
      <c r="F282" s="9">
        <f t="shared" si="194"/>
        <v>92.16666666666535</v>
      </c>
      <c r="G282" s="132">
        <f t="shared" si="172"/>
        <v>0</v>
      </c>
      <c r="H282" s="133">
        <f t="shared" si="200"/>
        <v>1</v>
      </c>
      <c r="I282" s="31">
        <f t="shared" si="184"/>
        <v>586214.48484929488</v>
      </c>
      <c r="J282" s="31">
        <f t="shared" si="173"/>
        <v>2853.4286471404694</v>
      </c>
      <c r="K282" s="163">
        <f t="shared" si="174"/>
        <v>-20</v>
      </c>
      <c r="L282" s="163">
        <f t="shared" si="185"/>
        <v>-488.51207070774575</v>
      </c>
      <c r="M282" s="163">
        <f t="shared" si="201"/>
        <v>0</v>
      </c>
      <c r="N282" s="163">
        <f t="shared" si="186"/>
        <v>-556.90376060683025</v>
      </c>
      <c r="O282" s="84">
        <f t="shared" si="175"/>
        <v>-6234.7220095610019</v>
      </c>
      <c r="P282" s="31">
        <f t="shared" si="176"/>
        <v>581767.77565555985</v>
      </c>
      <c r="Q282" s="5"/>
      <c r="R282">
        <f t="shared" ca="1" si="187"/>
        <v>399</v>
      </c>
      <c r="S282" s="133">
        <f t="shared" ca="1" si="188"/>
        <v>101.24</v>
      </c>
      <c r="T282" s="132">
        <f t="shared" ca="1" si="177"/>
        <v>5.1480641976337171E-2</v>
      </c>
      <c r="U282" s="133">
        <f t="shared" ca="1" si="195"/>
        <v>1.5417897841369266E-3</v>
      </c>
      <c r="V282" s="31">
        <f t="shared" ca="1" si="189"/>
        <v>0</v>
      </c>
      <c r="W282" s="31">
        <f t="shared" ca="1" si="178"/>
        <v>0</v>
      </c>
      <c r="X282" s="163">
        <f t="shared" ca="1" si="196"/>
        <v>0</v>
      </c>
      <c r="Y282" s="163">
        <f t="shared" ca="1" si="197"/>
        <v>0</v>
      </c>
      <c r="Z282" s="163">
        <f t="shared" ca="1" si="190"/>
        <v>0</v>
      </c>
      <c r="AA282" s="163">
        <f t="shared" ca="1" si="198"/>
        <v>0</v>
      </c>
      <c r="AB282" s="84">
        <f t="shared" ca="1" si="179"/>
        <v>0</v>
      </c>
      <c r="AC282" s="160">
        <f t="shared" si="180"/>
        <v>0</v>
      </c>
      <c r="AD282" s="31">
        <f t="shared" ca="1" si="181"/>
        <v>0</v>
      </c>
      <c r="AE282" s="5"/>
      <c r="AF282" s="151">
        <f t="shared" ca="1" si="182"/>
        <v>0</v>
      </c>
      <c r="AG282" s="151">
        <f t="shared" ca="1" si="183"/>
        <v>0</v>
      </c>
      <c r="AH282" s="5"/>
      <c r="AI282" s="5"/>
      <c r="AS282" s="55">
        <f t="shared" si="191"/>
        <v>24</v>
      </c>
      <c r="AT282" s="56">
        <f t="shared" si="199"/>
        <v>279</v>
      </c>
      <c r="AU282" s="57">
        <f t="shared" si="202"/>
        <v>0.25631130125568258</v>
      </c>
      <c r="AV282" s="58">
        <f t="shared" si="192"/>
        <v>4.8675505653430484E-3</v>
      </c>
      <c r="AW282" s="59">
        <f t="shared" si="193"/>
        <v>1.004867550565343</v>
      </c>
      <c r="AX282" s="60">
        <f>PRODUCT(AW$4:AW282)</f>
        <v>3.8758000805097783</v>
      </c>
    </row>
    <row r="283" spans="5:50">
      <c r="E283">
        <f t="shared" ref="E283:E335" si="203">E282+1</f>
        <v>280</v>
      </c>
      <c r="F283" s="9">
        <f t="shared" si="194"/>
        <v>92.249999999998678</v>
      </c>
      <c r="G283" s="132">
        <f t="shared" si="172"/>
        <v>0</v>
      </c>
      <c r="H283" s="133">
        <f t="shared" si="200"/>
        <v>1</v>
      </c>
      <c r="I283" s="31">
        <f t="shared" si="184"/>
        <v>581767.77565555985</v>
      </c>
      <c r="J283" s="31">
        <f t="shared" si="173"/>
        <v>2831.7840652905879</v>
      </c>
      <c r="K283" s="163">
        <f t="shared" si="174"/>
        <v>-20</v>
      </c>
      <c r="L283" s="163">
        <f t="shared" si="185"/>
        <v>-484.80647971296656</v>
      </c>
      <c r="M283" s="163">
        <f t="shared" si="201"/>
        <v>0</v>
      </c>
      <c r="N283" s="163">
        <f t="shared" si="186"/>
        <v>-552.67938687278195</v>
      </c>
      <c r="O283" s="84">
        <f t="shared" si="175"/>
        <v>-6234.7220095610019</v>
      </c>
      <c r="P283" s="31">
        <f t="shared" si="176"/>
        <v>577307.35184470366</v>
      </c>
      <c r="Q283" s="5"/>
      <c r="R283">
        <f t="shared" ca="1" si="187"/>
        <v>400</v>
      </c>
      <c r="S283" s="133">
        <f t="shared" ca="1" si="188"/>
        <v>101.32</v>
      </c>
      <c r="T283" s="132">
        <f t="shared" ca="1" si="177"/>
        <v>5.1480641976337171E-2</v>
      </c>
      <c r="U283" s="133">
        <f t="shared" ca="1" si="195"/>
        <v>1.4624174562569993E-3</v>
      </c>
      <c r="V283" s="31">
        <f t="shared" ca="1" si="189"/>
        <v>0</v>
      </c>
      <c r="W283" s="31">
        <f t="shared" ca="1" si="178"/>
        <v>0</v>
      </c>
      <c r="X283" s="163">
        <f t="shared" ca="1" si="196"/>
        <v>0</v>
      </c>
      <c r="Y283" s="163">
        <f t="shared" ca="1" si="197"/>
        <v>0</v>
      </c>
      <c r="Z283" s="163">
        <f t="shared" ca="1" si="190"/>
        <v>0</v>
      </c>
      <c r="AA283" s="163">
        <f t="shared" ca="1" si="198"/>
        <v>0</v>
      </c>
      <c r="AB283" s="84">
        <f t="shared" ca="1" si="179"/>
        <v>0</v>
      </c>
      <c r="AC283" s="160">
        <f t="shared" si="180"/>
        <v>0</v>
      </c>
      <c r="AD283" s="31">
        <f t="shared" ca="1" si="181"/>
        <v>0</v>
      </c>
      <c r="AE283" s="5"/>
      <c r="AF283" s="151">
        <f t="shared" ca="1" si="182"/>
        <v>0</v>
      </c>
      <c r="AG283" s="151">
        <f t="shared" ca="1" si="183"/>
        <v>0</v>
      </c>
      <c r="AH283" s="5"/>
      <c r="AI283" s="5"/>
      <c r="AS283" s="55">
        <f t="shared" si="191"/>
        <v>24</v>
      </c>
      <c r="AT283" s="56">
        <f t="shared" si="199"/>
        <v>280</v>
      </c>
      <c r="AU283" s="57">
        <f t="shared" si="202"/>
        <v>0.25506369303635168</v>
      </c>
      <c r="AV283" s="58">
        <f t="shared" si="192"/>
        <v>4.8675505653430484E-3</v>
      </c>
      <c r="AW283" s="59">
        <f t="shared" si="193"/>
        <v>1.004867550565343</v>
      </c>
      <c r="AX283" s="60">
        <f>PRODUCT(AW$4:AW283)</f>
        <v>3.8946657333828205</v>
      </c>
    </row>
    <row r="284" spans="5:50">
      <c r="E284">
        <f t="shared" si="203"/>
        <v>281</v>
      </c>
      <c r="F284" s="9">
        <f t="shared" si="194"/>
        <v>92.333333333332007</v>
      </c>
      <c r="G284" s="132">
        <f t="shared" si="172"/>
        <v>0</v>
      </c>
      <c r="H284" s="133">
        <f t="shared" si="200"/>
        <v>1</v>
      </c>
      <c r="I284" s="31">
        <f t="shared" si="184"/>
        <v>577307.35184470366</v>
      </c>
      <c r="J284" s="31">
        <f t="shared" si="173"/>
        <v>2810.0727268483856</v>
      </c>
      <c r="K284" s="163">
        <f t="shared" si="174"/>
        <v>-20</v>
      </c>
      <c r="L284" s="163">
        <f t="shared" si="185"/>
        <v>-481.08945987058644</v>
      </c>
      <c r="M284" s="163">
        <f t="shared" si="201"/>
        <v>0</v>
      </c>
      <c r="N284" s="163">
        <f t="shared" si="186"/>
        <v>-548.44198425246861</v>
      </c>
      <c r="O284" s="84">
        <f t="shared" si="175"/>
        <v>-6234.7220095610019</v>
      </c>
      <c r="P284" s="31">
        <f t="shared" si="176"/>
        <v>572833.17111786804</v>
      </c>
      <c r="Q284" s="5"/>
      <c r="R284">
        <f t="shared" ca="1" si="187"/>
        <v>401</v>
      </c>
      <c r="S284" s="133">
        <f t="shared" ca="1" si="188"/>
        <v>101.4</v>
      </c>
      <c r="T284" s="132">
        <f t="shared" ca="1" si="177"/>
        <v>5.1480641976337171E-2</v>
      </c>
      <c r="U284" s="133">
        <f t="shared" ca="1" si="195"/>
        <v>1.3871312667714871E-3</v>
      </c>
      <c r="V284" s="31">
        <f t="shared" ca="1" si="189"/>
        <v>0</v>
      </c>
      <c r="W284" s="31">
        <f t="shared" ca="1" si="178"/>
        <v>0</v>
      </c>
      <c r="X284" s="163">
        <f t="shared" ca="1" si="196"/>
        <v>0</v>
      </c>
      <c r="Y284" s="163">
        <f t="shared" ca="1" si="197"/>
        <v>0</v>
      </c>
      <c r="Z284" s="163">
        <f t="shared" ca="1" si="190"/>
        <v>0</v>
      </c>
      <c r="AA284" s="163">
        <f t="shared" ca="1" si="198"/>
        <v>0</v>
      </c>
      <c r="AB284" s="84">
        <f t="shared" ca="1" si="179"/>
        <v>0</v>
      </c>
      <c r="AC284" s="160">
        <f t="shared" si="180"/>
        <v>0</v>
      </c>
      <c r="AD284" s="31">
        <f t="shared" ca="1" si="181"/>
        <v>0</v>
      </c>
      <c r="AE284" s="5"/>
      <c r="AF284" s="151">
        <f t="shared" ca="1" si="182"/>
        <v>0</v>
      </c>
      <c r="AG284" s="151">
        <f t="shared" ca="1" si="183"/>
        <v>0</v>
      </c>
      <c r="AH284" s="5"/>
      <c r="AI284" s="5"/>
      <c r="AS284" s="55">
        <f t="shared" si="191"/>
        <v>24</v>
      </c>
      <c r="AT284" s="56">
        <f t="shared" si="199"/>
        <v>281</v>
      </c>
      <c r="AU284" s="57">
        <f t="shared" ref="AU284:AU347" si="204">(1-AV284)*AU283</f>
        <v>0.25382215761311411</v>
      </c>
      <c r="AV284" s="58">
        <f t="shared" si="192"/>
        <v>4.8675505653430484E-3</v>
      </c>
      <c r="AW284" s="59">
        <f t="shared" si="193"/>
        <v>1.004867550565343</v>
      </c>
      <c r="AX284" s="60">
        <f>PRODUCT(AW$4:AW284)</f>
        <v>3.9136232157751705</v>
      </c>
    </row>
    <row r="285" spans="5:50">
      <c r="E285">
        <f t="shared" si="203"/>
        <v>282</v>
      </c>
      <c r="F285" s="9">
        <f t="shared" si="194"/>
        <v>92.416666666665336</v>
      </c>
      <c r="G285" s="132">
        <f t="shared" si="172"/>
        <v>0</v>
      </c>
      <c r="H285" s="133">
        <f t="shared" si="200"/>
        <v>1</v>
      </c>
      <c r="I285" s="31">
        <f t="shared" si="184"/>
        <v>572833.17111786804</v>
      </c>
      <c r="J285" s="31">
        <f t="shared" si="173"/>
        <v>2788.2944259220299</v>
      </c>
      <c r="K285" s="163">
        <f t="shared" si="174"/>
        <v>-20</v>
      </c>
      <c r="L285" s="163">
        <f t="shared" si="185"/>
        <v>-477.36097593155671</v>
      </c>
      <c r="M285" s="163">
        <f t="shared" si="201"/>
        <v>0</v>
      </c>
      <c r="N285" s="163">
        <f t="shared" si="186"/>
        <v>-544.19151256197472</v>
      </c>
      <c r="O285" s="84">
        <f t="shared" si="175"/>
        <v>-6234.7220095610019</v>
      </c>
      <c r="P285" s="31">
        <f t="shared" si="176"/>
        <v>568345.1910457355</v>
      </c>
      <c r="Q285" s="5"/>
      <c r="R285">
        <f t="shared" ca="1" si="187"/>
        <v>402</v>
      </c>
      <c r="S285" s="133">
        <f t="shared" ca="1" si="188"/>
        <v>101.48</v>
      </c>
      <c r="T285" s="132">
        <f t="shared" ca="1" si="177"/>
        <v>5.1480641976337171E-2</v>
      </c>
      <c r="U285" s="133">
        <f t="shared" ca="1" si="195"/>
        <v>1.315720858652641E-3</v>
      </c>
      <c r="V285" s="31">
        <f t="shared" ca="1" si="189"/>
        <v>0</v>
      </c>
      <c r="W285" s="31">
        <f t="shared" ca="1" si="178"/>
        <v>0</v>
      </c>
      <c r="X285" s="163">
        <f t="shared" ca="1" si="196"/>
        <v>0</v>
      </c>
      <c r="Y285" s="163">
        <f t="shared" ca="1" si="197"/>
        <v>0</v>
      </c>
      <c r="Z285" s="163">
        <f t="shared" ca="1" si="190"/>
        <v>0</v>
      </c>
      <c r="AA285" s="163">
        <f t="shared" ca="1" si="198"/>
        <v>0</v>
      </c>
      <c r="AB285" s="84">
        <f t="shared" ca="1" si="179"/>
        <v>0</v>
      </c>
      <c r="AC285" s="160">
        <f t="shared" si="180"/>
        <v>0</v>
      </c>
      <c r="AD285" s="31">
        <f t="shared" ca="1" si="181"/>
        <v>0</v>
      </c>
      <c r="AE285" s="5"/>
      <c r="AF285" s="151">
        <f t="shared" ca="1" si="182"/>
        <v>0</v>
      </c>
      <c r="AG285" s="151">
        <f t="shared" ca="1" si="183"/>
        <v>0</v>
      </c>
      <c r="AH285" s="5"/>
      <c r="AI285" s="5"/>
      <c r="AS285" s="55">
        <f t="shared" si="191"/>
        <v>24</v>
      </c>
      <c r="AT285" s="56">
        <f t="shared" si="199"/>
        <v>282</v>
      </c>
      <c r="AU285" s="57">
        <f t="shared" si="204"/>
        <v>0.25258666542632779</v>
      </c>
      <c r="AV285" s="58">
        <f t="shared" si="192"/>
        <v>4.8675505653430484E-3</v>
      </c>
      <c r="AW285" s="59">
        <f t="shared" si="193"/>
        <v>1.004867550565343</v>
      </c>
      <c r="AX285" s="60">
        <f>PRODUCT(AW$4:AW285)</f>
        <v>3.9326729746716564</v>
      </c>
    </row>
    <row r="286" spans="5:50">
      <c r="E286">
        <f t="shared" si="203"/>
        <v>283</v>
      </c>
      <c r="F286" s="9">
        <f t="shared" si="194"/>
        <v>92.499999999998664</v>
      </c>
      <c r="G286" s="132">
        <f t="shared" si="172"/>
        <v>0</v>
      </c>
      <c r="H286" s="133">
        <f t="shared" si="200"/>
        <v>1</v>
      </c>
      <c r="I286" s="31">
        <f t="shared" si="184"/>
        <v>568345.1910457355</v>
      </c>
      <c r="J286" s="31">
        <f t="shared" si="173"/>
        <v>2766.4489559846725</v>
      </c>
      <c r="K286" s="163">
        <f t="shared" si="174"/>
        <v>-20</v>
      </c>
      <c r="L286" s="163">
        <f t="shared" si="185"/>
        <v>-473.62099253811294</v>
      </c>
      <c r="M286" s="163">
        <f t="shared" si="201"/>
        <v>0</v>
      </c>
      <c r="N286" s="163">
        <f t="shared" si="186"/>
        <v>-539.9279314934488</v>
      </c>
      <c r="O286" s="84">
        <f t="shared" si="175"/>
        <v>-6234.7220095610019</v>
      </c>
      <c r="P286" s="31">
        <f t="shared" si="176"/>
        <v>563843.36906812747</v>
      </c>
      <c r="Q286" s="5"/>
      <c r="R286">
        <f t="shared" ca="1" si="187"/>
        <v>403</v>
      </c>
      <c r="S286" s="133">
        <f t="shared" ca="1" si="188"/>
        <v>101.56</v>
      </c>
      <c r="T286" s="132">
        <f t="shared" ca="1" si="177"/>
        <v>5.6231151404764201E-2</v>
      </c>
      <c r="U286" s="133">
        <f t="shared" ca="1" si="195"/>
        <v>1.2417363598433381E-3</v>
      </c>
      <c r="V286" s="31">
        <f t="shared" ca="1" si="189"/>
        <v>0</v>
      </c>
      <c r="W286" s="31">
        <f t="shared" ca="1" si="178"/>
        <v>0</v>
      </c>
      <c r="X286" s="163">
        <f t="shared" ca="1" si="196"/>
        <v>0</v>
      </c>
      <c r="Y286" s="163">
        <f t="shared" ca="1" si="197"/>
        <v>0</v>
      </c>
      <c r="Z286" s="163">
        <f t="shared" ca="1" si="190"/>
        <v>0</v>
      </c>
      <c r="AA286" s="163">
        <f t="shared" ca="1" si="198"/>
        <v>0</v>
      </c>
      <c r="AB286" s="84">
        <f t="shared" ca="1" si="179"/>
        <v>0</v>
      </c>
      <c r="AC286" s="160">
        <f t="shared" si="180"/>
        <v>0</v>
      </c>
      <c r="AD286" s="31">
        <f t="shared" ca="1" si="181"/>
        <v>0</v>
      </c>
      <c r="AE286" s="5"/>
      <c r="AF286" s="151">
        <f t="shared" ca="1" si="182"/>
        <v>0</v>
      </c>
      <c r="AG286" s="151">
        <f t="shared" ca="1" si="183"/>
        <v>0</v>
      </c>
      <c r="AH286" s="5"/>
      <c r="AI286" s="5"/>
      <c r="AS286" s="55">
        <f t="shared" si="191"/>
        <v>24</v>
      </c>
      <c r="AT286" s="56">
        <f t="shared" si="199"/>
        <v>283</v>
      </c>
      <c r="AU286" s="57">
        <f t="shared" si="204"/>
        <v>0.25135718706023374</v>
      </c>
      <c r="AV286" s="58">
        <f t="shared" si="192"/>
        <v>4.8675505653430484E-3</v>
      </c>
      <c r="AW286" s="59">
        <f t="shared" si="193"/>
        <v>1.004867550565343</v>
      </c>
      <c r="AX286" s="60">
        <f>PRODUCT(AW$4:AW286)</f>
        <v>3.951815459232829</v>
      </c>
    </row>
    <row r="287" spans="5:50">
      <c r="E287">
        <f t="shared" si="203"/>
        <v>284</v>
      </c>
      <c r="F287" s="9">
        <f t="shared" si="194"/>
        <v>92.583333333331993</v>
      </c>
      <c r="G287" s="132">
        <f t="shared" si="172"/>
        <v>0</v>
      </c>
      <c r="H287" s="133">
        <f t="shared" si="200"/>
        <v>1</v>
      </c>
      <c r="I287" s="31">
        <f t="shared" si="184"/>
        <v>563843.36906812747</v>
      </c>
      <c r="J287" s="31">
        <f t="shared" si="173"/>
        <v>2744.5361098724929</v>
      </c>
      <c r="K287" s="163">
        <f t="shared" si="174"/>
        <v>-20</v>
      </c>
      <c r="L287" s="163">
        <f t="shared" si="185"/>
        <v>-469.86947422343957</v>
      </c>
      <c r="M287" s="163">
        <f t="shared" si="201"/>
        <v>0</v>
      </c>
      <c r="N287" s="163">
        <f t="shared" si="186"/>
        <v>-535.65120061472123</v>
      </c>
      <c r="O287" s="84">
        <f t="shared" si="175"/>
        <v>-6234.7220095610019</v>
      </c>
      <c r="P287" s="31">
        <f t="shared" si="176"/>
        <v>559327.66249360074</v>
      </c>
      <c r="Q287" s="5"/>
      <c r="R287">
        <f t="shared" ca="1" si="187"/>
        <v>404</v>
      </c>
      <c r="S287" s="133">
        <f t="shared" ca="1" si="188"/>
        <v>101.64</v>
      </c>
      <c r="T287" s="132">
        <f t="shared" ca="1" si="177"/>
        <v>5.6231151404764201E-2</v>
      </c>
      <c r="U287" s="133">
        <f t="shared" ca="1" si="195"/>
        <v>1.1719120945881867E-3</v>
      </c>
      <c r="V287" s="31">
        <f t="shared" ca="1" si="189"/>
        <v>0</v>
      </c>
      <c r="W287" s="31">
        <f t="shared" ca="1" si="178"/>
        <v>0</v>
      </c>
      <c r="X287" s="163">
        <f t="shared" ca="1" si="196"/>
        <v>0</v>
      </c>
      <c r="Y287" s="163">
        <f t="shared" ca="1" si="197"/>
        <v>0</v>
      </c>
      <c r="Z287" s="163">
        <f t="shared" ca="1" si="190"/>
        <v>0</v>
      </c>
      <c r="AA287" s="163">
        <f t="shared" ca="1" si="198"/>
        <v>0</v>
      </c>
      <c r="AB287" s="84">
        <f t="shared" ca="1" si="179"/>
        <v>0</v>
      </c>
      <c r="AC287" s="160">
        <f t="shared" si="180"/>
        <v>0</v>
      </c>
      <c r="AD287" s="31">
        <f t="shared" ca="1" si="181"/>
        <v>0</v>
      </c>
      <c r="AE287" s="5"/>
      <c r="AF287" s="151">
        <f t="shared" ca="1" si="182"/>
        <v>0</v>
      </c>
      <c r="AG287" s="151">
        <f t="shared" ca="1" si="183"/>
        <v>0</v>
      </c>
      <c r="AH287" s="5"/>
      <c r="AI287" s="5"/>
      <c r="AS287" s="55">
        <f t="shared" si="191"/>
        <v>24</v>
      </c>
      <c r="AT287" s="56">
        <f t="shared" si="199"/>
        <v>284</v>
      </c>
      <c r="AU287" s="57">
        <f t="shared" si="204"/>
        <v>0.25013369324225565</v>
      </c>
      <c r="AV287" s="58">
        <f t="shared" si="192"/>
        <v>4.8675505653430484E-3</v>
      </c>
      <c r="AW287" s="59">
        <f t="shared" si="193"/>
        <v>1.004867550565343</v>
      </c>
      <c r="AX287" s="60">
        <f>PRODUCT(AW$4:AW287)</f>
        <v>3.9710511208055492</v>
      </c>
    </row>
    <row r="288" spans="5:50">
      <c r="E288">
        <f t="shared" si="203"/>
        <v>285</v>
      </c>
      <c r="F288" s="9">
        <f t="shared" si="194"/>
        <v>92.666666666665321</v>
      </c>
      <c r="G288" s="132">
        <f t="shared" si="172"/>
        <v>0</v>
      </c>
      <c r="H288" s="133">
        <f t="shared" si="200"/>
        <v>1</v>
      </c>
      <c r="I288" s="31">
        <f t="shared" si="184"/>
        <v>559327.66249360074</v>
      </c>
      <c r="J288" s="31">
        <f t="shared" si="173"/>
        <v>2722.5556797827321</v>
      </c>
      <c r="K288" s="163">
        <f t="shared" si="174"/>
        <v>-20</v>
      </c>
      <c r="L288" s="163">
        <f t="shared" si="185"/>
        <v>-466.10638541133397</v>
      </c>
      <c r="M288" s="163">
        <f t="shared" si="201"/>
        <v>0</v>
      </c>
      <c r="N288" s="163">
        <f t="shared" si="186"/>
        <v>-531.3612793689208</v>
      </c>
      <c r="O288" s="84">
        <f t="shared" si="175"/>
        <v>-6234.7220095610019</v>
      </c>
      <c r="P288" s="31">
        <f t="shared" si="176"/>
        <v>554798.02849904227</v>
      </c>
      <c r="Q288" s="5"/>
      <c r="R288">
        <f t="shared" ca="1" si="187"/>
        <v>405</v>
      </c>
      <c r="S288" s="133">
        <f t="shared" ca="1" si="188"/>
        <v>101.72</v>
      </c>
      <c r="T288" s="132">
        <f t="shared" ca="1" si="177"/>
        <v>5.6231151404764201E-2</v>
      </c>
      <c r="U288" s="133">
        <f t="shared" ca="1" si="195"/>
        <v>1.106014128164324E-3</v>
      </c>
      <c r="V288" s="31">
        <f t="shared" ca="1" si="189"/>
        <v>0</v>
      </c>
      <c r="W288" s="31">
        <f t="shared" ca="1" si="178"/>
        <v>0</v>
      </c>
      <c r="X288" s="163">
        <f t="shared" ca="1" si="196"/>
        <v>0</v>
      </c>
      <c r="Y288" s="163">
        <f t="shared" ca="1" si="197"/>
        <v>0</v>
      </c>
      <c r="Z288" s="163">
        <f t="shared" ca="1" si="190"/>
        <v>0</v>
      </c>
      <c r="AA288" s="163">
        <f t="shared" ca="1" si="198"/>
        <v>0</v>
      </c>
      <c r="AB288" s="84">
        <f t="shared" ca="1" si="179"/>
        <v>0</v>
      </c>
      <c r="AC288" s="160">
        <f t="shared" si="180"/>
        <v>0</v>
      </c>
      <c r="AD288" s="31">
        <f t="shared" ca="1" si="181"/>
        <v>0</v>
      </c>
      <c r="AE288" s="5"/>
      <c r="AF288" s="151">
        <f t="shared" ca="1" si="182"/>
        <v>0</v>
      </c>
      <c r="AG288" s="151">
        <f t="shared" ca="1" si="183"/>
        <v>0</v>
      </c>
      <c r="AH288" s="5"/>
      <c r="AI288" s="5"/>
      <c r="AS288" s="55">
        <f t="shared" si="191"/>
        <v>24</v>
      </c>
      <c r="AT288" s="56">
        <f t="shared" si="199"/>
        <v>285</v>
      </c>
      <c r="AU288" s="57">
        <f t="shared" si="204"/>
        <v>0.24891615484230298</v>
      </c>
      <c r="AV288" s="58">
        <f t="shared" si="192"/>
        <v>4.8675505653430484E-3</v>
      </c>
      <c r="AW288" s="59">
        <f t="shared" si="193"/>
        <v>1.004867550565343</v>
      </c>
      <c r="AX288" s="60">
        <f>PRODUCT(AW$4:AW288)</f>
        <v>3.9903804129336322</v>
      </c>
    </row>
    <row r="289" spans="5:50">
      <c r="E289">
        <f t="shared" si="203"/>
        <v>286</v>
      </c>
      <c r="F289" s="9">
        <f t="shared" si="194"/>
        <v>92.74999999999865</v>
      </c>
      <c r="G289" s="132">
        <f t="shared" si="172"/>
        <v>0</v>
      </c>
      <c r="H289" s="133">
        <f t="shared" si="200"/>
        <v>1</v>
      </c>
      <c r="I289" s="31">
        <f t="shared" si="184"/>
        <v>554798.02849904227</v>
      </c>
      <c r="J289" s="31">
        <f t="shared" si="173"/>
        <v>2700.5074572717217</v>
      </c>
      <c r="K289" s="163">
        <f t="shared" si="174"/>
        <v>-20</v>
      </c>
      <c r="L289" s="163">
        <f t="shared" si="185"/>
        <v>-462.33169041586859</v>
      </c>
      <c r="M289" s="163">
        <f t="shared" si="201"/>
        <v>0</v>
      </c>
      <c r="N289" s="163">
        <f t="shared" si="186"/>
        <v>-527.05812707409029</v>
      </c>
      <c r="O289" s="84">
        <f t="shared" si="175"/>
        <v>-6234.7220095610019</v>
      </c>
      <c r="P289" s="31">
        <f t="shared" si="176"/>
        <v>550254.42412926303</v>
      </c>
      <c r="Q289" s="5"/>
      <c r="R289">
        <f t="shared" ca="1" si="187"/>
        <v>406</v>
      </c>
      <c r="S289" s="133">
        <f t="shared" ca="1" si="188"/>
        <v>101.8</v>
      </c>
      <c r="T289" s="132">
        <f t="shared" ca="1" si="177"/>
        <v>5.6231151404764201E-2</v>
      </c>
      <c r="U289" s="133">
        <f t="shared" ca="1" si="195"/>
        <v>1.0438216802677075E-3</v>
      </c>
      <c r="V289" s="31">
        <f t="shared" ca="1" si="189"/>
        <v>0</v>
      </c>
      <c r="W289" s="31">
        <f t="shared" ca="1" si="178"/>
        <v>0</v>
      </c>
      <c r="X289" s="163">
        <f t="shared" ca="1" si="196"/>
        <v>0</v>
      </c>
      <c r="Y289" s="163">
        <f t="shared" ca="1" si="197"/>
        <v>0</v>
      </c>
      <c r="Z289" s="163">
        <f t="shared" ca="1" si="190"/>
        <v>0</v>
      </c>
      <c r="AA289" s="163">
        <f t="shared" ca="1" si="198"/>
        <v>0</v>
      </c>
      <c r="AB289" s="84">
        <f t="shared" ca="1" si="179"/>
        <v>0</v>
      </c>
      <c r="AC289" s="160">
        <f t="shared" si="180"/>
        <v>0</v>
      </c>
      <c r="AD289" s="31">
        <f t="shared" ca="1" si="181"/>
        <v>0</v>
      </c>
      <c r="AE289" s="5"/>
      <c r="AF289" s="151">
        <f t="shared" ca="1" si="182"/>
        <v>0</v>
      </c>
      <c r="AG289" s="151">
        <f t="shared" ca="1" si="183"/>
        <v>0</v>
      </c>
      <c r="AH289" s="5"/>
      <c r="AI289" s="5"/>
      <c r="AS289" s="55">
        <f t="shared" si="191"/>
        <v>24</v>
      </c>
      <c r="AT289" s="56">
        <f t="shared" si="199"/>
        <v>286</v>
      </c>
      <c r="AU289" s="57">
        <f t="shared" si="204"/>
        <v>0.2477045428720773</v>
      </c>
      <c r="AV289" s="58">
        <f t="shared" si="192"/>
        <v>4.8675505653430484E-3</v>
      </c>
      <c r="AW289" s="59">
        <f t="shared" si="193"/>
        <v>1.004867550565343</v>
      </c>
      <c r="AX289" s="60">
        <f>PRODUCT(AW$4:AW289)</f>
        <v>4.0098037913685411</v>
      </c>
    </row>
    <row r="290" spans="5:50">
      <c r="E290">
        <f t="shared" si="203"/>
        <v>287</v>
      </c>
      <c r="F290" s="9">
        <f t="shared" si="194"/>
        <v>92.833333333331979</v>
      </c>
      <c r="G290" s="132">
        <f t="shared" si="172"/>
        <v>0</v>
      </c>
      <c r="H290" s="133">
        <f t="shared" si="200"/>
        <v>1</v>
      </c>
      <c r="I290" s="31">
        <f t="shared" si="184"/>
        <v>550254.42412926303</v>
      </c>
      <c r="J290" s="31">
        <f t="shared" si="173"/>
        <v>2678.391233252908</v>
      </c>
      <c r="K290" s="163">
        <f t="shared" si="174"/>
        <v>-20</v>
      </c>
      <c r="L290" s="163">
        <f t="shared" si="185"/>
        <v>-458.54535344105255</v>
      </c>
      <c r="M290" s="163">
        <f t="shared" si="201"/>
        <v>0</v>
      </c>
      <c r="N290" s="163">
        <f t="shared" si="186"/>
        <v>-522.74170292279996</v>
      </c>
      <c r="O290" s="84">
        <f t="shared" si="175"/>
        <v>-6234.7220095610019</v>
      </c>
      <c r="P290" s="31">
        <f t="shared" si="176"/>
        <v>545696.80629659106</v>
      </c>
      <c r="Q290" s="5"/>
      <c r="R290">
        <f t="shared" ca="1" si="187"/>
        <v>407</v>
      </c>
      <c r="S290" s="133">
        <f t="shared" ca="1" si="188"/>
        <v>101.88</v>
      </c>
      <c r="T290" s="132">
        <f t="shared" ca="1" si="177"/>
        <v>5.6231151404764201E-2</v>
      </c>
      <c r="U290" s="133">
        <f t="shared" ca="1" si="195"/>
        <v>9.851263853249987E-4</v>
      </c>
      <c r="V290" s="31">
        <f t="shared" ca="1" si="189"/>
        <v>0</v>
      </c>
      <c r="W290" s="31">
        <f t="shared" ca="1" si="178"/>
        <v>0</v>
      </c>
      <c r="X290" s="163">
        <f t="shared" ca="1" si="196"/>
        <v>0</v>
      </c>
      <c r="Y290" s="163">
        <f t="shared" ca="1" si="197"/>
        <v>0</v>
      </c>
      <c r="Z290" s="163">
        <f t="shared" ca="1" si="190"/>
        <v>0</v>
      </c>
      <c r="AA290" s="163">
        <f t="shared" ca="1" si="198"/>
        <v>0</v>
      </c>
      <c r="AB290" s="84">
        <f t="shared" ca="1" si="179"/>
        <v>0</v>
      </c>
      <c r="AC290" s="160">
        <f t="shared" si="180"/>
        <v>0</v>
      </c>
      <c r="AD290" s="31">
        <f t="shared" ca="1" si="181"/>
        <v>0</v>
      </c>
      <c r="AE290" s="5"/>
      <c r="AF290" s="151">
        <f t="shared" ca="1" si="182"/>
        <v>0</v>
      </c>
      <c r="AG290" s="151">
        <f t="shared" ca="1" si="183"/>
        <v>0</v>
      </c>
      <c r="AH290" s="5"/>
      <c r="AI290" s="5"/>
      <c r="AS290" s="55">
        <f t="shared" si="191"/>
        <v>24</v>
      </c>
      <c r="AT290" s="56">
        <f t="shared" si="199"/>
        <v>287</v>
      </c>
      <c r="AU290" s="57">
        <f t="shared" si="204"/>
        <v>0.24649882848438229</v>
      </c>
      <c r="AV290" s="58">
        <f t="shared" si="192"/>
        <v>4.8675505653430484E-3</v>
      </c>
      <c r="AW290" s="59">
        <f t="shared" si="193"/>
        <v>1.004867550565343</v>
      </c>
      <c r="AX290" s="60">
        <f>PRODUCT(AW$4:AW290)</f>
        <v>4.0293217140801314</v>
      </c>
    </row>
    <row r="291" spans="5:50">
      <c r="E291">
        <f t="shared" si="203"/>
        <v>288</v>
      </c>
      <c r="F291" s="9">
        <f t="shared" si="194"/>
        <v>92.916666666665307</v>
      </c>
      <c r="G291" s="132">
        <f t="shared" si="172"/>
        <v>0</v>
      </c>
      <c r="H291" s="133">
        <f t="shared" si="200"/>
        <v>1</v>
      </c>
      <c r="I291" s="31">
        <f t="shared" si="184"/>
        <v>545696.80629659106</v>
      </c>
      <c r="J291" s="31">
        <f t="shared" si="173"/>
        <v>2656.2067979948679</v>
      </c>
      <c r="K291" s="163">
        <f t="shared" si="174"/>
        <v>-20</v>
      </c>
      <c r="L291" s="163">
        <f t="shared" si="185"/>
        <v>-454.74733858049257</v>
      </c>
      <c r="M291" s="163">
        <f t="shared" si="201"/>
        <v>0</v>
      </c>
      <c r="N291" s="163">
        <f t="shared" si="186"/>
        <v>-518.41196598176168</v>
      </c>
      <c r="O291" s="84">
        <f t="shared" si="175"/>
        <v>-6234.7220095610019</v>
      </c>
      <c r="P291" s="31">
        <f t="shared" si="176"/>
        <v>541125.13178046269</v>
      </c>
      <c r="Q291" s="5"/>
      <c r="R291">
        <f t="shared" ca="1" si="187"/>
        <v>408</v>
      </c>
      <c r="S291" s="133">
        <f t="shared" ca="1" si="188"/>
        <v>101.96</v>
      </c>
      <c r="T291" s="132">
        <f t="shared" ca="1" si="177"/>
        <v>5.6231151404764201E-2</v>
      </c>
      <c r="U291" s="133">
        <f t="shared" ca="1" si="195"/>
        <v>9.2973159439896065E-4</v>
      </c>
      <c r="V291" s="31">
        <f t="shared" ca="1" si="189"/>
        <v>0</v>
      </c>
      <c r="W291" s="31">
        <f t="shared" ca="1" si="178"/>
        <v>0</v>
      </c>
      <c r="X291" s="163">
        <f t="shared" ca="1" si="196"/>
        <v>0</v>
      </c>
      <c r="Y291" s="163">
        <f t="shared" ca="1" si="197"/>
        <v>0</v>
      </c>
      <c r="Z291" s="163">
        <f t="shared" ca="1" si="190"/>
        <v>0</v>
      </c>
      <c r="AA291" s="163">
        <f t="shared" ca="1" si="198"/>
        <v>0</v>
      </c>
      <c r="AB291" s="84">
        <f t="shared" ca="1" si="179"/>
        <v>0</v>
      </c>
      <c r="AC291" s="160">
        <f t="shared" si="180"/>
        <v>0</v>
      </c>
      <c r="AD291" s="31">
        <f t="shared" ca="1" si="181"/>
        <v>0</v>
      </c>
      <c r="AE291" s="5"/>
      <c r="AF291" s="151">
        <f t="shared" ca="1" si="182"/>
        <v>0</v>
      </c>
      <c r="AG291" s="151">
        <f t="shared" ca="1" si="183"/>
        <v>0</v>
      </c>
      <c r="AH291" s="5"/>
      <c r="AI291" s="5"/>
      <c r="AS291" s="55">
        <f t="shared" si="191"/>
        <v>24</v>
      </c>
      <c r="AT291" s="56">
        <f t="shared" si="199"/>
        <v>288</v>
      </c>
      <c r="AU291" s="57">
        <f t="shared" si="204"/>
        <v>0.24529898297243674</v>
      </c>
      <c r="AV291" s="58">
        <f t="shared" si="192"/>
        <v>4.8675505653430484E-3</v>
      </c>
      <c r="AW291" s="59">
        <f t="shared" si="193"/>
        <v>1.004867550565343</v>
      </c>
      <c r="AX291" s="60">
        <f>PRODUCT(AW$4:AW291)</f>
        <v>4.0489346412674507</v>
      </c>
    </row>
    <row r="292" spans="5:50">
      <c r="E292">
        <f t="shared" si="203"/>
        <v>289</v>
      </c>
      <c r="F292" s="9">
        <f t="shared" si="194"/>
        <v>92.999999999998636</v>
      </c>
      <c r="G292" s="132">
        <f t="shared" si="172"/>
        <v>0</v>
      </c>
      <c r="H292" s="133">
        <f t="shared" si="200"/>
        <v>1</v>
      </c>
      <c r="I292" s="31">
        <f t="shared" si="184"/>
        <v>541125.13178046269</v>
      </c>
      <c r="J292" s="31">
        <f t="shared" si="173"/>
        <v>2633.9539411193227</v>
      </c>
      <c r="K292" s="163">
        <f t="shared" si="174"/>
        <v>-20</v>
      </c>
      <c r="L292" s="163">
        <f t="shared" si="185"/>
        <v>-450.93760981705225</v>
      </c>
      <c r="M292" s="163">
        <f t="shared" si="201"/>
        <v>-4058.4384883534699</v>
      </c>
      <c r="N292" s="163">
        <f t="shared" si="186"/>
        <v>-514.06887519143959</v>
      </c>
      <c r="O292" s="84">
        <f t="shared" si="175"/>
        <v>-6234.7220095610019</v>
      </c>
      <c r="P292" s="31">
        <f t="shared" si="176"/>
        <v>532480.91873865912</v>
      </c>
      <c r="Q292" s="5"/>
      <c r="R292">
        <f t="shared" ca="1" si="187"/>
        <v>409</v>
      </c>
      <c r="S292" s="133">
        <f t="shared" ca="1" si="188"/>
        <v>102.04</v>
      </c>
      <c r="T292" s="132">
        <f t="shared" ca="1" si="177"/>
        <v>5.6231151404764201E-2</v>
      </c>
      <c r="U292" s="133">
        <f t="shared" ca="1" si="195"/>
        <v>8.774517163485199E-4</v>
      </c>
      <c r="V292" s="31">
        <f t="shared" ca="1" si="189"/>
        <v>0</v>
      </c>
      <c r="W292" s="31">
        <f t="shared" ca="1" si="178"/>
        <v>0</v>
      </c>
      <c r="X292" s="163">
        <f t="shared" ca="1" si="196"/>
        <v>0</v>
      </c>
      <c r="Y292" s="163">
        <f t="shared" ca="1" si="197"/>
        <v>0</v>
      </c>
      <c r="Z292" s="163">
        <f t="shared" ca="1" si="190"/>
        <v>0</v>
      </c>
      <c r="AA292" s="163">
        <f t="shared" ca="1" si="198"/>
        <v>0</v>
      </c>
      <c r="AB292" s="84">
        <f t="shared" ca="1" si="179"/>
        <v>0</v>
      </c>
      <c r="AC292" s="160">
        <f t="shared" si="180"/>
        <v>0</v>
      </c>
      <c r="AD292" s="31">
        <f t="shared" ca="1" si="181"/>
        <v>0</v>
      </c>
      <c r="AE292" s="5"/>
      <c r="AF292" s="151">
        <f t="shared" ca="1" si="182"/>
        <v>0</v>
      </c>
      <c r="AG292" s="151">
        <f t="shared" ca="1" si="183"/>
        <v>0</v>
      </c>
      <c r="AH292" s="5"/>
      <c r="AI292" s="5"/>
      <c r="AS292" s="55">
        <f t="shared" si="191"/>
        <v>25</v>
      </c>
      <c r="AT292" s="56">
        <f t="shared" si="199"/>
        <v>289</v>
      </c>
      <c r="AU292" s="57">
        <f t="shared" si="204"/>
        <v>0.24410497776919118</v>
      </c>
      <c r="AV292" s="58">
        <f t="shared" si="192"/>
        <v>4.8675505653430484E-3</v>
      </c>
      <c r="AW292" s="59">
        <f t="shared" si="193"/>
        <v>1.004867550565343</v>
      </c>
      <c r="AX292" s="60">
        <f>PRODUCT(AW$4:AW292)</f>
        <v>4.0686430353695888</v>
      </c>
    </row>
    <row r="293" spans="5:50">
      <c r="E293">
        <f t="shared" si="203"/>
        <v>290</v>
      </c>
      <c r="F293" s="9">
        <f t="shared" si="194"/>
        <v>93.083333333331964</v>
      </c>
      <c r="G293" s="132">
        <f t="shared" si="172"/>
        <v>0</v>
      </c>
      <c r="H293" s="133">
        <f t="shared" si="200"/>
        <v>1</v>
      </c>
      <c r="I293" s="31">
        <f t="shared" si="184"/>
        <v>532480.91873865912</v>
      </c>
      <c r="J293" s="31">
        <f t="shared" si="173"/>
        <v>2591.8777970407459</v>
      </c>
      <c r="K293" s="163">
        <f t="shared" si="174"/>
        <v>-20</v>
      </c>
      <c r="L293" s="163">
        <f t="shared" si="185"/>
        <v>-443.7340989488826</v>
      </c>
      <c r="M293" s="163">
        <f t="shared" si="201"/>
        <v>0</v>
      </c>
      <c r="N293" s="163">
        <f t="shared" si="186"/>
        <v>-505.85687280172624</v>
      </c>
      <c r="O293" s="84">
        <f t="shared" si="175"/>
        <v>-6234.7220095610019</v>
      </c>
      <c r="P293" s="31">
        <f t="shared" si="176"/>
        <v>527868.48355438828</v>
      </c>
      <c r="Q293" s="5"/>
      <c r="R293">
        <f t="shared" ca="1" si="187"/>
        <v>410</v>
      </c>
      <c r="S293" s="133">
        <f t="shared" ca="1" si="188"/>
        <v>102.12</v>
      </c>
      <c r="T293" s="132">
        <f t="shared" ca="1" si="177"/>
        <v>5.6231151404764201E-2</v>
      </c>
      <c r="U293" s="133">
        <f t="shared" ca="1" si="195"/>
        <v>8.2811159603615606E-4</v>
      </c>
      <c r="V293" s="31">
        <f t="shared" ca="1" si="189"/>
        <v>0</v>
      </c>
      <c r="W293" s="31">
        <f t="shared" ca="1" si="178"/>
        <v>0</v>
      </c>
      <c r="X293" s="163">
        <f t="shared" ca="1" si="196"/>
        <v>0</v>
      </c>
      <c r="Y293" s="163">
        <f t="shared" ca="1" si="197"/>
        <v>0</v>
      </c>
      <c r="Z293" s="163">
        <f t="shared" ca="1" si="190"/>
        <v>0</v>
      </c>
      <c r="AA293" s="163">
        <f t="shared" ca="1" si="198"/>
        <v>0</v>
      </c>
      <c r="AB293" s="84">
        <f t="shared" ca="1" si="179"/>
        <v>0</v>
      </c>
      <c r="AC293" s="160">
        <f t="shared" si="180"/>
        <v>0</v>
      </c>
      <c r="AD293" s="31">
        <f t="shared" ca="1" si="181"/>
        <v>0</v>
      </c>
      <c r="AE293" s="5"/>
      <c r="AF293" s="151">
        <f t="shared" ca="1" si="182"/>
        <v>0</v>
      </c>
      <c r="AG293" s="151">
        <f t="shared" ca="1" si="183"/>
        <v>0</v>
      </c>
      <c r="AH293" s="5"/>
      <c r="AI293" s="5"/>
      <c r="AS293" s="55">
        <f t="shared" si="191"/>
        <v>25</v>
      </c>
      <c r="AT293" s="56">
        <f t="shared" si="199"/>
        <v>290</v>
      </c>
      <c r="AU293" s="57">
        <f t="shared" si="204"/>
        <v>0.24291678444664772</v>
      </c>
      <c r="AV293" s="58">
        <f t="shared" si="192"/>
        <v>4.8675505653430484E-3</v>
      </c>
      <c r="AW293" s="59">
        <f t="shared" si="193"/>
        <v>1.004867550565343</v>
      </c>
      <c r="AX293" s="60">
        <f>PRODUCT(AW$4:AW293)</f>
        <v>4.0884473610765815</v>
      </c>
    </row>
    <row r="294" spans="5:50">
      <c r="E294">
        <f t="shared" si="203"/>
        <v>291</v>
      </c>
      <c r="F294" s="9">
        <f t="shared" si="194"/>
        <v>93.166666666665293</v>
      </c>
      <c r="G294" s="132">
        <f t="shared" si="172"/>
        <v>0</v>
      </c>
      <c r="H294" s="133">
        <f t="shared" si="200"/>
        <v>1</v>
      </c>
      <c r="I294" s="31">
        <f t="shared" si="184"/>
        <v>527868.48355438828</v>
      </c>
      <c r="J294" s="31">
        <f t="shared" si="173"/>
        <v>2569.4265355519401</v>
      </c>
      <c r="K294" s="163">
        <f t="shared" si="174"/>
        <v>-20</v>
      </c>
      <c r="L294" s="163">
        <f t="shared" si="185"/>
        <v>-439.89040296199028</v>
      </c>
      <c r="M294" s="163">
        <f t="shared" si="201"/>
        <v>0</v>
      </c>
      <c r="N294" s="163">
        <f t="shared" si="186"/>
        <v>-501.47505937666892</v>
      </c>
      <c r="O294" s="84">
        <f t="shared" si="175"/>
        <v>-6234.7220095610019</v>
      </c>
      <c r="P294" s="31">
        <f t="shared" si="176"/>
        <v>523241.82261804049</v>
      </c>
      <c r="Q294" s="5"/>
      <c r="R294">
        <f t="shared" ca="1" si="187"/>
        <v>411</v>
      </c>
      <c r="S294" s="133">
        <f t="shared" ca="1" si="188"/>
        <v>102.2</v>
      </c>
      <c r="T294" s="132">
        <f t="shared" ca="1" si="177"/>
        <v>5.6231151404764201E-2</v>
      </c>
      <c r="U294" s="133">
        <f t="shared" ca="1" si="195"/>
        <v>7.8154592749940608E-4</v>
      </c>
      <c r="V294" s="31">
        <f t="shared" ca="1" si="189"/>
        <v>0</v>
      </c>
      <c r="W294" s="31">
        <f t="shared" ca="1" si="178"/>
        <v>0</v>
      </c>
      <c r="X294" s="163">
        <f t="shared" ca="1" si="196"/>
        <v>0</v>
      </c>
      <c r="Y294" s="163">
        <f t="shared" ca="1" si="197"/>
        <v>0</v>
      </c>
      <c r="Z294" s="163">
        <f t="shared" ca="1" si="190"/>
        <v>0</v>
      </c>
      <c r="AA294" s="163">
        <f t="shared" ca="1" si="198"/>
        <v>0</v>
      </c>
      <c r="AB294" s="84">
        <f t="shared" ca="1" si="179"/>
        <v>0</v>
      </c>
      <c r="AC294" s="160">
        <f t="shared" si="180"/>
        <v>0</v>
      </c>
      <c r="AD294" s="31">
        <f t="shared" ca="1" si="181"/>
        <v>0</v>
      </c>
      <c r="AE294" s="5"/>
      <c r="AF294" s="151">
        <f t="shared" ca="1" si="182"/>
        <v>0</v>
      </c>
      <c r="AG294" s="151">
        <f t="shared" ca="1" si="183"/>
        <v>0</v>
      </c>
      <c r="AH294" s="5"/>
      <c r="AI294" s="5"/>
      <c r="AS294" s="55">
        <f t="shared" si="191"/>
        <v>25</v>
      </c>
      <c r="AT294" s="56">
        <f t="shared" si="199"/>
        <v>291</v>
      </c>
      <c r="AU294" s="57">
        <f t="shared" si="204"/>
        <v>0.24173437471518311</v>
      </c>
      <c r="AV294" s="58">
        <f t="shared" si="192"/>
        <v>4.8675505653430484E-3</v>
      </c>
      <c r="AW294" s="59">
        <f t="shared" si="193"/>
        <v>1.004867550565343</v>
      </c>
      <c r="AX294" s="60">
        <f>PRODUCT(AW$4:AW294)</f>
        <v>4.1083480853403653</v>
      </c>
    </row>
    <row r="295" spans="5:50">
      <c r="E295">
        <f t="shared" si="203"/>
        <v>292</v>
      </c>
      <c r="F295" s="9">
        <f t="shared" si="194"/>
        <v>93.249999999998622</v>
      </c>
      <c r="G295" s="132">
        <f t="shared" si="172"/>
        <v>0</v>
      </c>
      <c r="H295" s="133">
        <f t="shared" si="200"/>
        <v>1</v>
      </c>
      <c r="I295" s="31">
        <f t="shared" si="184"/>
        <v>523241.82261804049</v>
      </c>
      <c r="J295" s="31">
        <f t="shared" si="173"/>
        <v>2546.9060294955702</v>
      </c>
      <c r="K295" s="163">
        <f t="shared" si="174"/>
        <v>-20</v>
      </c>
      <c r="L295" s="163">
        <f t="shared" si="185"/>
        <v>-436.03485218170044</v>
      </c>
      <c r="M295" s="163">
        <f t="shared" si="201"/>
        <v>0</v>
      </c>
      <c r="N295" s="163">
        <f t="shared" si="186"/>
        <v>-497.07973148713859</v>
      </c>
      <c r="O295" s="84">
        <f t="shared" si="175"/>
        <v>-6234.7220095610019</v>
      </c>
      <c r="P295" s="31">
        <f t="shared" si="176"/>
        <v>518600.89205430623</v>
      </c>
      <c r="Q295" s="5"/>
      <c r="R295">
        <f t="shared" ca="1" si="187"/>
        <v>412</v>
      </c>
      <c r="S295" s="133">
        <f t="shared" ca="1" si="188"/>
        <v>102.28</v>
      </c>
      <c r="T295" s="132">
        <f t="shared" ca="1" si="177"/>
        <v>5.6231151404764201E-2</v>
      </c>
      <c r="U295" s="133">
        <f t="shared" ca="1" si="195"/>
        <v>7.3759870012041011E-4</v>
      </c>
      <c r="V295" s="31">
        <f t="shared" ca="1" si="189"/>
        <v>0</v>
      </c>
      <c r="W295" s="31">
        <f t="shared" ca="1" si="178"/>
        <v>0</v>
      </c>
      <c r="X295" s="163">
        <f t="shared" ca="1" si="196"/>
        <v>0</v>
      </c>
      <c r="Y295" s="163">
        <f t="shared" ca="1" si="197"/>
        <v>0</v>
      </c>
      <c r="Z295" s="163">
        <f t="shared" ca="1" si="190"/>
        <v>0</v>
      </c>
      <c r="AA295" s="163">
        <f t="shared" ca="1" si="198"/>
        <v>0</v>
      </c>
      <c r="AB295" s="84">
        <f t="shared" ca="1" si="179"/>
        <v>0</v>
      </c>
      <c r="AC295" s="160">
        <f t="shared" si="180"/>
        <v>0</v>
      </c>
      <c r="AD295" s="31">
        <f t="shared" ca="1" si="181"/>
        <v>0</v>
      </c>
      <c r="AE295" s="5"/>
      <c r="AF295" s="151">
        <f t="shared" ca="1" si="182"/>
        <v>0</v>
      </c>
      <c r="AG295" s="151">
        <f t="shared" ca="1" si="183"/>
        <v>0</v>
      </c>
      <c r="AH295" s="5"/>
      <c r="AI295" s="5"/>
      <c r="AS295" s="55">
        <f t="shared" si="191"/>
        <v>25</v>
      </c>
      <c r="AT295" s="56">
        <f t="shared" si="199"/>
        <v>292</v>
      </c>
      <c r="AU295" s="57">
        <f t="shared" si="204"/>
        <v>0.24055772042287538</v>
      </c>
      <c r="AV295" s="58">
        <f t="shared" si="192"/>
        <v>4.8675505653430484E-3</v>
      </c>
      <c r="AW295" s="59">
        <f t="shared" si="193"/>
        <v>1.004867550565343</v>
      </c>
      <c r="AX295" s="60">
        <f>PRODUCT(AW$4:AW295)</f>
        <v>4.1283456773857896</v>
      </c>
    </row>
    <row r="296" spans="5:50">
      <c r="E296">
        <f t="shared" si="203"/>
        <v>293</v>
      </c>
      <c r="F296" s="9">
        <f t="shared" si="194"/>
        <v>93.33333333333195</v>
      </c>
      <c r="G296" s="132">
        <f t="shared" si="172"/>
        <v>0</v>
      </c>
      <c r="H296" s="133">
        <f t="shared" si="200"/>
        <v>1</v>
      </c>
      <c r="I296" s="31">
        <f t="shared" si="184"/>
        <v>518600.89205430623</v>
      </c>
      <c r="J296" s="31">
        <f t="shared" si="173"/>
        <v>2524.3160653063474</v>
      </c>
      <c r="K296" s="163">
        <f t="shared" si="174"/>
        <v>-20</v>
      </c>
      <c r="L296" s="163">
        <f t="shared" si="185"/>
        <v>-432.16741004525522</v>
      </c>
      <c r="M296" s="163">
        <f t="shared" si="201"/>
        <v>0</v>
      </c>
      <c r="N296" s="163">
        <f t="shared" si="186"/>
        <v>-492.67084745159104</v>
      </c>
      <c r="O296" s="84">
        <f t="shared" si="175"/>
        <v>-6234.7220095610019</v>
      </c>
      <c r="P296" s="31">
        <f t="shared" si="176"/>
        <v>513945.64785255468</v>
      </c>
      <c r="Q296" s="5"/>
      <c r="R296">
        <f t="shared" ca="1" si="187"/>
        <v>413</v>
      </c>
      <c r="S296" s="133">
        <f t="shared" ca="1" si="188"/>
        <v>102.36</v>
      </c>
      <c r="T296" s="132">
        <f t="shared" ca="1" si="177"/>
        <v>5.6231151404764201E-2</v>
      </c>
      <c r="U296" s="133">
        <f t="shared" ca="1" si="195"/>
        <v>6.961226759379821E-4</v>
      </c>
      <c r="V296" s="31">
        <f t="shared" ca="1" si="189"/>
        <v>0</v>
      </c>
      <c r="W296" s="31">
        <f t="shared" ca="1" si="178"/>
        <v>0</v>
      </c>
      <c r="X296" s="163">
        <f t="shared" ca="1" si="196"/>
        <v>0</v>
      </c>
      <c r="Y296" s="163">
        <f t="shared" ca="1" si="197"/>
        <v>0</v>
      </c>
      <c r="Z296" s="163">
        <f t="shared" ca="1" si="190"/>
        <v>0</v>
      </c>
      <c r="AA296" s="163">
        <f t="shared" ca="1" si="198"/>
        <v>0</v>
      </c>
      <c r="AB296" s="84">
        <f t="shared" ca="1" si="179"/>
        <v>0</v>
      </c>
      <c r="AC296" s="160">
        <f t="shared" si="180"/>
        <v>0</v>
      </c>
      <c r="AD296" s="31">
        <f t="shared" ca="1" si="181"/>
        <v>0</v>
      </c>
      <c r="AE296" s="5"/>
      <c r="AF296" s="151">
        <f t="shared" ca="1" si="182"/>
        <v>0</v>
      </c>
      <c r="AG296" s="151">
        <f t="shared" ca="1" si="183"/>
        <v>0</v>
      </c>
      <c r="AH296" s="5"/>
      <c r="AI296" s="5"/>
      <c r="AS296" s="55">
        <f t="shared" si="191"/>
        <v>25</v>
      </c>
      <c r="AT296" s="56">
        <f t="shared" si="199"/>
        <v>293</v>
      </c>
      <c r="AU296" s="57">
        <f t="shared" si="204"/>
        <v>0.23938679355483339</v>
      </c>
      <c r="AV296" s="58">
        <f t="shared" si="192"/>
        <v>4.8675505653430484E-3</v>
      </c>
      <c r="AW296" s="59">
        <f t="shared" si="193"/>
        <v>1.004867550565343</v>
      </c>
      <c r="AX296" s="60">
        <f>PRODUCT(AW$4:AW296)</f>
        <v>4.1484406087216801</v>
      </c>
    </row>
    <row r="297" spans="5:50">
      <c r="E297">
        <f t="shared" si="203"/>
        <v>294</v>
      </c>
      <c r="F297" s="9">
        <f t="shared" si="194"/>
        <v>93.416666666665279</v>
      </c>
      <c r="G297" s="132">
        <f t="shared" si="172"/>
        <v>0</v>
      </c>
      <c r="H297" s="133">
        <f t="shared" si="200"/>
        <v>1</v>
      </c>
      <c r="I297" s="31">
        <f t="shared" si="184"/>
        <v>513945.64785255468</v>
      </c>
      <c r="J297" s="31">
        <f t="shared" si="173"/>
        <v>2501.6564287603019</v>
      </c>
      <c r="K297" s="163">
        <f t="shared" si="174"/>
        <v>-20</v>
      </c>
      <c r="L297" s="163">
        <f t="shared" si="185"/>
        <v>-428.28803987712894</v>
      </c>
      <c r="M297" s="163">
        <f t="shared" si="201"/>
        <v>0</v>
      </c>
      <c r="N297" s="163">
        <f t="shared" si="186"/>
        <v>-488.24836545992707</v>
      </c>
      <c r="O297" s="84">
        <f t="shared" si="175"/>
        <v>-6234.7220095610019</v>
      </c>
      <c r="P297" s="31">
        <f t="shared" si="176"/>
        <v>509276.04586641694</v>
      </c>
      <c r="Q297" s="5"/>
      <c r="R297">
        <f t="shared" ca="1" si="187"/>
        <v>414</v>
      </c>
      <c r="S297" s="133">
        <f t="shared" ca="1" si="188"/>
        <v>102.44</v>
      </c>
      <c r="T297" s="132">
        <f t="shared" ca="1" si="177"/>
        <v>5.6231151404764201E-2</v>
      </c>
      <c r="U297" s="133">
        <f t="shared" ca="1" si="195"/>
        <v>6.569788963510238E-4</v>
      </c>
      <c r="V297" s="31">
        <f t="shared" ca="1" si="189"/>
        <v>0</v>
      </c>
      <c r="W297" s="31">
        <f t="shared" ca="1" si="178"/>
        <v>0</v>
      </c>
      <c r="X297" s="163">
        <f t="shared" ca="1" si="196"/>
        <v>0</v>
      </c>
      <c r="Y297" s="163">
        <f t="shared" ca="1" si="197"/>
        <v>0</v>
      </c>
      <c r="Z297" s="163">
        <f t="shared" ca="1" si="190"/>
        <v>0</v>
      </c>
      <c r="AA297" s="163">
        <f t="shared" ca="1" si="198"/>
        <v>0</v>
      </c>
      <c r="AB297" s="84">
        <f t="shared" ca="1" si="179"/>
        <v>0</v>
      </c>
      <c r="AC297" s="160">
        <f t="shared" si="180"/>
        <v>0</v>
      </c>
      <c r="AD297" s="31">
        <f t="shared" ca="1" si="181"/>
        <v>0</v>
      </c>
      <c r="AE297" s="5"/>
      <c r="AF297" s="151">
        <f t="shared" ca="1" si="182"/>
        <v>0</v>
      </c>
      <c r="AG297" s="151">
        <f t="shared" ca="1" si="183"/>
        <v>0</v>
      </c>
      <c r="AH297" s="5"/>
      <c r="AI297" s="5"/>
      <c r="AS297" s="55">
        <f t="shared" si="191"/>
        <v>25</v>
      </c>
      <c r="AT297" s="56">
        <f t="shared" si="199"/>
        <v>294</v>
      </c>
      <c r="AU297" s="57">
        <f t="shared" si="204"/>
        <v>0.23822156623252991</v>
      </c>
      <c r="AV297" s="58">
        <f t="shared" si="192"/>
        <v>4.8675505653430484E-3</v>
      </c>
      <c r="AW297" s="59">
        <f t="shared" si="193"/>
        <v>1.004867550565343</v>
      </c>
      <c r="AX297" s="60">
        <f>PRODUCT(AW$4:AW297)</f>
        <v>4.1686333531519555</v>
      </c>
    </row>
    <row r="298" spans="5:50">
      <c r="E298">
        <f t="shared" si="203"/>
        <v>295</v>
      </c>
      <c r="F298" s="9">
        <f t="shared" si="194"/>
        <v>93.499999999998607</v>
      </c>
      <c r="G298" s="132">
        <f t="shared" si="172"/>
        <v>0</v>
      </c>
      <c r="H298" s="133">
        <f t="shared" si="200"/>
        <v>1</v>
      </c>
      <c r="I298" s="31">
        <f t="shared" si="184"/>
        <v>509276.04586641694</v>
      </c>
      <c r="J298" s="31">
        <f t="shared" si="173"/>
        <v>2478.92690497275</v>
      </c>
      <c r="K298" s="163">
        <f t="shared" si="174"/>
        <v>-20</v>
      </c>
      <c r="L298" s="163">
        <f t="shared" si="185"/>
        <v>-424.3967048886808</v>
      </c>
      <c r="M298" s="163">
        <f t="shared" si="201"/>
        <v>0</v>
      </c>
      <c r="N298" s="163">
        <f t="shared" si="186"/>
        <v>-483.81224357309617</v>
      </c>
      <c r="O298" s="84">
        <f t="shared" si="175"/>
        <v>-6234.7220095610019</v>
      </c>
      <c r="P298" s="31">
        <f t="shared" si="176"/>
        <v>504592.04181336693</v>
      </c>
      <c r="Q298" s="5"/>
      <c r="R298">
        <f t="shared" ca="1" si="187"/>
        <v>415</v>
      </c>
      <c r="S298" s="133">
        <f t="shared" ca="1" si="188"/>
        <v>102.52</v>
      </c>
      <c r="T298" s="132">
        <f t="shared" ca="1" si="177"/>
        <v>6.1405661335214634E-2</v>
      </c>
      <c r="U298" s="133">
        <f t="shared" ca="1" si="195"/>
        <v>6.166366727373097E-4</v>
      </c>
      <c r="V298" s="31">
        <f t="shared" ca="1" si="189"/>
        <v>0</v>
      </c>
      <c r="W298" s="31">
        <f t="shared" ca="1" si="178"/>
        <v>0</v>
      </c>
      <c r="X298" s="163">
        <f t="shared" ca="1" si="196"/>
        <v>0</v>
      </c>
      <c r="Y298" s="163">
        <f t="shared" ca="1" si="197"/>
        <v>0</v>
      </c>
      <c r="Z298" s="163">
        <f t="shared" ca="1" si="190"/>
        <v>0</v>
      </c>
      <c r="AA298" s="163">
        <f t="shared" ca="1" si="198"/>
        <v>0</v>
      </c>
      <c r="AB298" s="84">
        <f t="shared" ca="1" si="179"/>
        <v>0</v>
      </c>
      <c r="AC298" s="160">
        <f t="shared" si="180"/>
        <v>0</v>
      </c>
      <c r="AD298" s="31">
        <f t="shared" ca="1" si="181"/>
        <v>0</v>
      </c>
      <c r="AE298" s="5"/>
      <c r="AF298" s="151">
        <f t="shared" ca="1" si="182"/>
        <v>0</v>
      </c>
      <c r="AG298" s="151">
        <f t="shared" ca="1" si="183"/>
        <v>0</v>
      </c>
      <c r="AH298" s="5"/>
      <c r="AI298" s="5"/>
      <c r="AS298" s="55">
        <f t="shared" si="191"/>
        <v>25</v>
      </c>
      <c r="AT298" s="56">
        <f t="shared" si="199"/>
        <v>295</v>
      </c>
      <c r="AU298" s="57">
        <f t="shared" si="204"/>
        <v>0.23706201071313784</v>
      </c>
      <c r="AV298" s="58">
        <f t="shared" si="192"/>
        <v>4.8675505653430484E-3</v>
      </c>
      <c r="AW298" s="59">
        <f t="shared" si="193"/>
        <v>1.004867550565343</v>
      </c>
      <c r="AX298" s="60">
        <f>PRODUCT(AW$4:AW298)</f>
        <v>4.1889243867867982</v>
      </c>
    </row>
    <row r="299" spans="5:50">
      <c r="E299">
        <f t="shared" si="203"/>
        <v>296</v>
      </c>
      <c r="F299" s="9">
        <f t="shared" si="194"/>
        <v>93.583333333331936</v>
      </c>
      <c r="G299" s="132">
        <f t="shared" si="172"/>
        <v>0</v>
      </c>
      <c r="H299" s="133">
        <f t="shared" si="200"/>
        <v>1</v>
      </c>
      <c r="I299" s="31">
        <f t="shared" si="184"/>
        <v>504592.04181336693</v>
      </c>
      <c r="J299" s="31">
        <f t="shared" si="173"/>
        <v>2456.1272783962572</v>
      </c>
      <c r="K299" s="163">
        <f t="shared" si="174"/>
        <v>-20</v>
      </c>
      <c r="L299" s="163">
        <f t="shared" si="185"/>
        <v>-420.49336817780579</v>
      </c>
      <c r="M299" s="163">
        <f t="shared" si="201"/>
        <v>0</v>
      </c>
      <c r="N299" s="163">
        <f t="shared" si="186"/>
        <v>-479.36243972269864</v>
      </c>
      <c r="O299" s="84">
        <f t="shared" si="175"/>
        <v>-6234.7220095610019</v>
      </c>
      <c r="P299" s="31">
        <f t="shared" si="176"/>
        <v>499893.5912743017</v>
      </c>
      <c r="Q299" s="5"/>
      <c r="R299">
        <f t="shared" ca="1" si="187"/>
        <v>416</v>
      </c>
      <c r="S299" s="133">
        <f t="shared" ca="1" si="188"/>
        <v>102.6</v>
      </c>
      <c r="T299" s="132">
        <f t="shared" ca="1" si="177"/>
        <v>6.1405661335214634E-2</v>
      </c>
      <c r="U299" s="133">
        <f t="shared" ca="1" si="195"/>
        <v>5.7877169004432892E-4</v>
      </c>
      <c r="V299" s="31">
        <f t="shared" ca="1" si="189"/>
        <v>0</v>
      </c>
      <c r="W299" s="31">
        <f t="shared" ca="1" si="178"/>
        <v>0</v>
      </c>
      <c r="X299" s="163">
        <f t="shared" ca="1" si="196"/>
        <v>0</v>
      </c>
      <c r="Y299" s="163">
        <f t="shared" ca="1" si="197"/>
        <v>0</v>
      </c>
      <c r="Z299" s="163">
        <f t="shared" ca="1" si="190"/>
        <v>0</v>
      </c>
      <c r="AA299" s="163">
        <f t="shared" ca="1" si="198"/>
        <v>0</v>
      </c>
      <c r="AB299" s="84">
        <f t="shared" ca="1" si="179"/>
        <v>0</v>
      </c>
      <c r="AC299" s="160">
        <f t="shared" si="180"/>
        <v>0</v>
      </c>
      <c r="AD299" s="31">
        <f t="shared" ca="1" si="181"/>
        <v>0</v>
      </c>
      <c r="AE299" s="5"/>
      <c r="AF299" s="151">
        <f t="shared" ca="1" si="182"/>
        <v>0</v>
      </c>
      <c r="AG299" s="151">
        <f t="shared" ca="1" si="183"/>
        <v>0</v>
      </c>
      <c r="AH299" s="5"/>
      <c r="AI299" s="5"/>
      <c r="AS299" s="55">
        <f t="shared" si="191"/>
        <v>25</v>
      </c>
      <c r="AT299" s="56">
        <f t="shared" si="199"/>
        <v>296</v>
      </c>
      <c r="AU299" s="57">
        <f t="shared" si="204"/>
        <v>0.23590809938886975</v>
      </c>
      <c r="AV299" s="58">
        <f t="shared" si="192"/>
        <v>4.8675505653430484E-3</v>
      </c>
      <c r="AW299" s="59">
        <f t="shared" si="193"/>
        <v>1.004867550565343</v>
      </c>
      <c r="AX299" s="60">
        <f>PRODUCT(AW$4:AW299)</f>
        <v>4.2093141880538818</v>
      </c>
    </row>
    <row r="300" spans="5:50">
      <c r="E300">
        <f t="shared" si="203"/>
        <v>297</v>
      </c>
      <c r="F300" s="9">
        <f t="shared" si="194"/>
        <v>93.666666666665265</v>
      </c>
      <c r="G300" s="132">
        <f t="shared" si="172"/>
        <v>0</v>
      </c>
      <c r="H300" s="133">
        <f t="shared" si="200"/>
        <v>1</v>
      </c>
      <c r="I300" s="31">
        <f t="shared" si="184"/>
        <v>499893.5912743017</v>
      </c>
      <c r="J300" s="31">
        <f t="shared" si="173"/>
        <v>2433.257332818594</v>
      </c>
      <c r="K300" s="163">
        <f t="shared" si="174"/>
        <v>-20</v>
      </c>
      <c r="L300" s="163">
        <f t="shared" si="185"/>
        <v>-416.57799272858477</v>
      </c>
      <c r="M300" s="163">
        <f t="shared" si="201"/>
        <v>0</v>
      </c>
      <c r="N300" s="163">
        <f t="shared" si="186"/>
        <v>-474.89891171058667</v>
      </c>
      <c r="O300" s="84">
        <f t="shared" si="175"/>
        <v>-6234.7220095610019</v>
      </c>
      <c r="P300" s="31">
        <f t="shared" si="176"/>
        <v>495180.6496931201</v>
      </c>
      <c r="Q300" s="5"/>
      <c r="R300">
        <f t="shared" ca="1" si="187"/>
        <v>417</v>
      </c>
      <c r="S300" s="133">
        <f t="shared" ca="1" si="188"/>
        <v>102.68</v>
      </c>
      <c r="T300" s="132">
        <f t="shared" ca="1" si="177"/>
        <v>6.1405661335214634E-2</v>
      </c>
      <c r="U300" s="133">
        <f t="shared" ca="1" si="195"/>
        <v>5.4323183165505703E-4</v>
      </c>
      <c r="V300" s="31">
        <f t="shared" ca="1" si="189"/>
        <v>0</v>
      </c>
      <c r="W300" s="31">
        <f t="shared" ca="1" si="178"/>
        <v>0</v>
      </c>
      <c r="X300" s="163">
        <f t="shared" ca="1" si="196"/>
        <v>0</v>
      </c>
      <c r="Y300" s="163">
        <f t="shared" ca="1" si="197"/>
        <v>0</v>
      </c>
      <c r="Z300" s="163">
        <f t="shared" ca="1" si="190"/>
        <v>0</v>
      </c>
      <c r="AA300" s="163">
        <f t="shared" ca="1" si="198"/>
        <v>0</v>
      </c>
      <c r="AB300" s="84">
        <f t="shared" ca="1" si="179"/>
        <v>0</v>
      </c>
      <c r="AC300" s="160">
        <f t="shared" si="180"/>
        <v>0</v>
      </c>
      <c r="AD300" s="31">
        <f t="shared" ca="1" si="181"/>
        <v>0</v>
      </c>
      <c r="AE300" s="5"/>
      <c r="AF300" s="151">
        <f t="shared" ca="1" si="182"/>
        <v>0</v>
      </c>
      <c r="AG300" s="151">
        <f t="shared" ca="1" si="183"/>
        <v>0</v>
      </c>
      <c r="AI300" s="5"/>
      <c r="AS300" s="55">
        <f t="shared" si="191"/>
        <v>25</v>
      </c>
      <c r="AT300" s="56">
        <f t="shared" si="199"/>
        <v>297</v>
      </c>
      <c r="AU300" s="57">
        <f t="shared" si="204"/>
        <v>0.23475980478632044</v>
      </c>
      <c r="AV300" s="58">
        <f t="shared" si="192"/>
        <v>4.8675505653430484E-3</v>
      </c>
      <c r="AW300" s="59">
        <f t="shared" si="193"/>
        <v>1.004867550565343</v>
      </c>
      <c r="AX300" s="60">
        <f>PRODUCT(AW$4:AW300)</f>
        <v>4.2298032377096497</v>
      </c>
    </row>
    <row r="301" spans="5:50">
      <c r="E301">
        <f t="shared" si="203"/>
        <v>298</v>
      </c>
      <c r="F301" s="9">
        <f t="shared" si="194"/>
        <v>93.749999999998593</v>
      </c>
      <c r="G301" s="132">
        <f t="shared" si="172"/>
        <v>0</v>
      </c>
      <c r="H301" s="133">
        <f t="shared" si="200"/>
        <v>1</v>
      </c>
      <c r="I301" s="31">
        <f t="shared" si="184"/>
        <v>495180.6496931201</v>
      </c>
      <c r="J301" s="31">
        <f t="shared" si="173"/>
        <v>2410.3168513606847</v>
      </c>
      <c r="K301" s="163">
        <f t="shared" si="174"/>
        <v>-20</v>
      </c>
      <c r="L301" s="163">
        <f t="shared" si="185"/>
        <v>-412.65054141093344</v>
      </c>
      <c r="M301" s="163">
        <f t="shared" si="201"/>
        <v>0</v>
      </c>
      <c r="N301" s="163">
        <f t="shared" si="186"/>
        <v>-470.42161720846417</v>
      </c>
      <c r="O301" s="84">
        <f t="shared" si="175"/>
        <v>-6234.7220095610019</v>
      </c>
      <c r="P301" s="31">
        <f t="shared" si="176"/>
        <v>490453.17237630032</v>
      </c>
      <c r="Q301" s="5"/>
      <c r="R301">
        <f t="shared" ca="1" si="187"/>
        <v>418</v>
      </c>
      <c r="S301" s="133">
        <f t="shared" ca="1" si="188"/>
        <v>102.76</v>
      </c>
      <c r="T301" s="132">
        <f t="shared" ca="1" si="177"/>
        <v>6.1405661335214634E-2</v>
      </c>
      <c r="U301" s="133">
        <f t="shared" ca="1" si="195"/>
        <v>5.0987432177393823E-4</v>
      </c>
      <c r="V301" s="31">
        <f t="shared" ca="1" si="189"/>
        <v>0</v>
      </c>
      <c r="W301" s="31">
        <f t="shared" ca="1" si="178"/>
        <v>0</v>
      </c>
      <c r="X301" s="163">
        <f t="shared" ca="1" si="196"/>
        <v>0</v>
      </c>
      <c r="Y301" s="163">
        <f t="shared" ca="1" si="197"/>
        <v>0</v>
      </c>
      <c r="Z301" s="163">
        <f t="shared" ca="1" si="190"/>
        <v>0</v>
      </c>
      <c r="AA301" s="163">
        <f t="shared" ca="1" si="198"/>
        <v>0</v>
      </c>
      <c r="AB301" s="84">
        <f t="shared" ca="1" si="179"/>
        <v>0</v>
      </c>
      <c r="AC301" s="160">
        <f t="shared" si="180"/>
        <v>0</v>
      </c>
      <c r="AD301" s="31">
        <f t="shared" ca="1" si="181"/>
        <v>0</v>
      </c>
      <c r="AE301" s="5"/>
      <c r="AF301" s="151">
        <f t="shared" ca="1" si="182"/>
        <v>0</v>
      </c>
      <c r="AG301" s="151">
        <f t="shared" ca="1" si="183"/>
        <v>0</v>
      </c>
      <c r="AH301" s="5"/>
      <c r="AI301" s="5"/>
      <c r="AS301" s="55">
        <f t="shared" si="191"/>
        <v>25</v>
      </c>
      <c r="AT301" s="56">
        <f t="shared" si="199"/>
        <v>298</v>
      </c>
      <c r="AU301" s="57">
        <f t="shared" si="204"/>
        <v>0.23361709956581297</v>
      </c>
      <c r="AV301" s="58">
        <f t="shared" si="192"/>
        <v>4.8675505653430484E-3</v>
      </c>
      <c r="AW301" s="59">
        <f t="shared" si="193"/>
        <v>1.004867550565343</v>
      </c>
      <c r="AX301" s="60">
        <f>PRODUCT(AW$4:AW301)</f>
        <v>4.2503920188506532</v>
      </c>
    </row>
    <row r="302" spans="5:50">
      <c r="E302">
        <f t="shared" si="203"/>
        <v>299</v>
      </c>
      <c r="F302" s="9">
        <f t="shared" si="194"/>
        <v>93.833333333331922</v>
      </c>
      <c r="G302" s="132">
        <f t="shared" si="172"/>
        <v>0</v>
      </c>
      <c r="H302" s="133">
        <f t="shared" si="200"/>
        <v>1</v>
      </c>
      <c r="I302" s="31">
        <f t="shared" si="184"/>
        <v>490453.17237630032</v>
      </c>
      <c r="J302" s="31">
        <f t="shared" si="173"/>
        <v>2387.3056164745522</v>
      </c>
      <c r="K302" s="163">
        <f t="shared" si="174"/>
        <v>-20</v>
      </c>
      <c r="L302" s="163">
        <f t="shared" si="185"/>
        <v>-408.71097698025028</v>
      </c>
      <c r="M302" s="163">
        <f t="shared" si="201"/>
        <v>0</v>
      </c>
      <c r="N302" s="163">
        <f t="shared" si="186"/>
        <v>-465.93051375748541</v>
      </c>
      <c r="O302" s="84">
        <f t="shared" si="175"/>
        <v>-6234.7220095610019</v>
      </c>
      <c r="P302" s="31">
        <f t="shared" si="176"/>
        <v>485711.11449247604</v>
      </c>
      <c r="Q302" s="5"/>
      <c r="R302">
        <f t="shared" ca="1" si="187"/>
        <v>419</v>
      </c>
      <c r="S302" s="133">
        <f t="shared" ca="1" si="188"/>
        <v>102.84</v>
      </c>
      <c r="T302" s="132">
        <f t="shared" ca="1" si="177"/>
        <v>6.1405661335214634E-2</v>
      </c>
      <c r="U302" s="133">
        <f t="shared" ca="1" si="195"/>
        <v>4.7856515184756552E-4</v>
      </c>
      <c r="V302" s="31">
        <f t="shared" ca="1" si="189"/>
        <v>0</v>
      </c>
      <c r="W302" s="31">
        <f t="shared" ca="1" si="178"/>
        <v>0</v>
      </c>
      <c r="X302" s="163">
        <f t="shared" ca="1" si="196"/>
        <v>0</v>
      </c>
      <c r="Y302" s="163">
        <f t="shared" ca="1" si="197"/>
        <v>0</v>
      </c>
      <c r="Z302" s="163">
        <f t="shared" ca="1" si="190"/>
        <v>0</v>
      </c>
      <c r="AA302" s="163">
        <f t="shared" ca="1" si="198"/>
        <v>0</v>
      </c>
      <c r="AB302" s="84">
        <f t="shared" ca="1" si="179"/>
        <v>0</v>
      </c>
      <c r="AC302" s="160">
        <f t="shared" si="180"/>
        <v>0</v>
      </c>
      <c r="AD302" s="31">
        <f t="shared" ca="1" si="181"/>
        <v>0</v>
      </c>
      <c r="AE302" s="5"/>
      <c r="AF302" s="151">
        <f t="shared" ca="1" si="182"/>
        <v>0</v>
      </c>
      <c r="AG302" s="151">
        <f t="shared" ca="1" si="183"/>
        <v>0</v>
      </c>
      <c r="AH302" s="5"/>
      <c r="AI302" s="5"/>
      <c r="AS302" s="55">
        <f t="shared" si="191"/>
        <v>25</v>
      </c>
      <c r="AT302" s="56">
        <f t="shared" si="199"/>
        <v>299</v>
      </c>
      <c r="AU302" s="57">
        <f t="shared" si="204"/>
        <v>0.2324799565207476</v>
      </c>
      <c r="AV302" s="58">
        <f t="shared" si="192"/>
        <v>4.8675505653430484E-3</v>
      </c>
      <c r="AW302" s="59">
        <f t="shared" si="193"/>
        <v>1.004867550565343</v>
      </c>
      <c r="AX302" s="60">
        <f>PRODUCT(AW$4:AW302)</f>
        <v>4.2710810169249394</v>
      </c>
    </row>
    <row r="303" spans="5:50">
      <c r="E303">
        <f t="shared" si="203"/>
        <v>300</v>
      </c>
      <c r="F303" s="9">
        <f t="shared" si="194"/>
        <v>93.91666666666525</v>
      </c>
      <c r="G303" s="132">
        <f t="shared" si="172"/>
        <v>0</v>
      </c>
      <c r="H303" s="133">
        <f t="shared" si="200"/>
        <v>1</v>
      </c>
      <c r="I303" s="31">
        <f t="shared" si="184"/>
        <v>485711.11449247604</v>
      </c>
      <c r="J303" s="31">
        <f t="shared" si="173"/>
        <v>2364.223409941254</v>
      </c>
      <c r="K303" s="163">
        <f t="shared" si="174"/>
        <v>-20</v>
      </c>
      <c r="L303" s="163">
        <f t="shared" si="185"/>
        <v>-404.7592620770634</v>
      </c>
      <c r="M303" s="163">
        <f t="shared" si="201"/>
        <v>0</v>
      </c>
      <c r="N303" s="163">
        <f t="shared" si="186"/>
        <v>-461.42555876785235</v>
      </c>
      <c r="O303" s="84">
        <f t="shared" si="175"/>
        <v>-6234.7220095610019</v>
      </c>
      <c r="P303" s="31">
        <f t="shared" si="176"/>
        <v>480954.43107201136</v>
      </c>
      <c r="Q303" s="5"/>
      <c r="R303">
        <f t="shared" ca="1" si="187"/>
        <v>420</v>
      </c>
      <c r="S303" s="133">
        <f t="shared" ca="1" si="188"/>
        <v>102.92</v>
      </c>
      <c r="T303" s="132">
        <f t="shared" ca="1" si="177"/>
        <v>6.1405661335214634E-2</v>
      </c>
      <c r="U303" s="133">
        <f t="shared" ca="1" si="195"/>
        <v>4.4917854220637838E-4</v>
      </c>
      <c r="V303" s="31">
        <f t="shared" ca="1" si="189"/>
        <v>0</v>
      </c>
      <c r="W303" s="31">
        <f t="shared" ca="1" si="178"/>
        <v>0</v>
      </c>
      <c r="X303" s="163">
        <f t="shared" ca="1" si="196"/>
        <v>0</v>
      </c>
      <c r="Y303" s="163">
        <f t="shared" ca="1" si="197"/>
        <v>0</v>
      </c>
      <c r="Z303" s="163">
        <f t="shared" ca="1" si="190"/>
        <v>0</v>
      </c>
      <c r="AA303" s="163">
        <f t="shared" ca="1" si="198"/>
        <v>0</v>
      </c>
      <c r="AB303" s="84">
        <f t="shared" ca="1" si="179"/>
        <v>0</v>
      </c>
      <c r="AC303" s="160">
        <f t="shared" si="180"/>
        <v>0</v>
      </c>
      <c r="AD303" s="31">
        <f t="shared" ca="1" si="181"/>
        <v>0</v>
      </c>
      <c r="AE303" s="5"/>
      <c r="AF303" s="151">
        <f t="shared" ca="1" si="182"/>
        <v>0</v>
      </c>
      <c r="AG303" s="151">
        <f t="shared" ca="1" si="183"/>
        <v>0</v>
      </c>
      <c r="AH303" s="5"/>
      <c r="AI303" s="5"/>
      <c r="AS303" s="55">
        <f t="shared" si="191"/>
        <v>25</v>
      </c>
      <c r="AT303" s="56">
        <f t="shared" si="199"/>
        <v>300</v>
      </c>
      <c r="AU303" s="57">
        <f t="shared" si="204"/>
        <v>0.2313483485769541</v>
      </c>
      <c r="AV303" s="58">
        <f t="shared" si="192"/>
        <v>4.8675505653430484E-3</v>
      </c>
      <c r="AW303" s="59">
        <f t="shared" si="193"/>
        <v>1.004867550565343</v>
      </c>
      <c r="AX303" s="60">
        <f>PRODUCT(AW$4:AW303)</f>
        <v>4.291870719743498</v>
      </c>
    </row>
    <row r="304" spans="5:50">
      <c r="E304">
        <f t="shared" si="203"/>
        <v>301</v>
      </c>
      <c r="F304" s="9">
        <f t="shared" si="194"/>
        <v>93.999999999998579</v>
      </c>
      <c r="G304" s="132">
        <f t="shared" si="172"/>
        <v>0</v>
      </c>
      <c r="H304" s="133">
        <f t="shared" si="200"/>
        <v>1</v>
      </c>
      <c r="I304" s="31">
        <f t="shared" si="184"/>
        <v>480954.43107201136</v>
      </c>
      <c r="J304" s="31">
        <f t="shared" si="173"/>
        <v>2341.0700128688131</v>
      </c>
      <c r="K304" s="163">
        <f t="shared" si="174"/>
        <v>-20</v>
      </c>
      <c r="L304" s="163">
        <f t="shared" si="185"/>
        <v>-400.79535922667617</v>
      </c>
      <c r="M304" s="163">
        <f t="shared" si="201"/>
        <v>-3607.1582330400852</v>
      </c>
      <c r="N304" s="163">
        <f t="shared" si="186"/>
        <v>-456.90670951841088</v>
      </c>
      <c r="O304" s="84">
        <f t="shared" si="175"/>
        <v>-6234.7220095610019</v>
      </c>
      <c r="P304" s="31">
        <f t="shared" si="176"/>
        <v>472575.91877353395</v>
      </c>
      <c r="Q304" s="5"/>
      <c r="R304">
        <f t="shared" ca="1" si="187"/>
        <v>421</v>
      </c>
      <c r="S304" s="133">
        <f t="shared" ca="1" si="188"/>
        <v>103</v>
      </c>
      <c r="T304" s="132">
        <f t="shared" ca="1" si="177"/>
        <v>6.1405661335214634E-2</v>
      </c>
      <c r="U304" s="133">
        <f t="shared" ca="1" si="195"/>
        <v>4.2159643676460809E-4</v>
      </c>
      <c r="V304" s="31">
        <f t="shared" ca="1" si="189"/>
        <v>0</v>
      </c>
      <c r="W304" s="31">
        <f t="shared" ca="1" si="178"/>
        <v>0</v>
      </c>
      <c r="X304" s="163">
        <f t="shared" ca="1" si="196"/>
        <v>0</v>
      </c>
      <c r="Y304" s="163">
        <f t="shared" ca="1" si="197"/>
        <v>0</v>
      </c>
      <c r="Z304" s="163">
        <f t="shared" ca="1" si="190"/>
        <v>0</v>
      </c>
      <c r="AA304" s="163">
        <f t="shared" ca="1" si="198"/>
        <v>0</v>
      </c>
      <c r="AB304" s="84">
        <f t="shared" ca="1" si="179"/>
        <v>0</v>
      </c>
      <c r="AC304" s="160">
        <f t="shared" si="180"/>
        <v>0</v>
      </c>
      <c r="AD304" s="31">
        <f t="shared" ca="1" si="181"/>
        <v>0</v>
      </c>
      <c r="AE304" s="5"/>
      <c r="AF304" s="151">
        <f t="shared" ca="1" si="182"/>
        <v>0</v>
      </c>
      <c r="AG304" s="151">
        <f t="shared" ca="1" si="183"/>
        <v>0</v>
      </c>
      <c r="AH304" s="5"/>
      <c r="AI304" s="5"/>
      <c r="AS304" s="55">
        <f t="shared" si="191"/>
        <v>26</v>
      </c>
      <c r="AT304" s="56">
        <f t="shared" si="199"/>
        <v>301</v>
      </c>
      <c r="AU304" s="57">
        <f t="shared" si="204"/>
        <v>0.23022224879204717</v>
      </c>
      <c r="AV304" s="58">
        <f t="shared" si="192"/>
        <v>4.8675505653430484E-3</v>
      </c>
      <c r="AW304" s="59">
        <f t="shared" si="193"/>
        <v>1.004867550565343</v>
      </c>
      <c r="AX304" s="60">
        <f>PRODUCT(AW$4:AW304)</f>
        <v>4.3127616174917645</v>
      </c>
    </row>
    <row r="305" spans="5:50">
      <c r="E305">
        <f t="shared" si="203"/>
        <v>302</v>
      </c>
      <c r="F305" s="9">
        <f t="shared" si="194"/>
        <v>94.083333333331908</v>
      </c>
      <c r="G305" s="132">
        <f t="shared" si="172"/>
        <v>0</v>
      </c>
      <c r="H305" s="133">
        <f t="shared" si="200"/>
        <v>1</v>
      </c>
      <c r="I305" s="31">
        <f t="shared" si="184"/>
        <v>472575.91877353395</v>
      </c>
      <c r="J305" s="31">
        <f t="shared" si="173"/>
        <v>2300.2871805936256</v>
      </c>
      <c r="K305" s="163">
        <f t="shared" si="174"/>
        <v>-20</v>
      </c>
      <c r="L305" s="163">
        <f t="shared" si="185"/>
        <v>-393.81326564461165</v>
      </c>
      <c r="M305" s="163">
        <f t="shared" si="201"/>
        <v>0</v>
      </c>
      <c r="N305" s="163">
        <f t="shared" si="186"/>
        <v>-448.94712283485734</v>
      </c>
      <c r="O305" s="84">
        <f t="shared" si="175"/>
        <v>-6234.7220095610019</v>
      </c>
      <c r="P305" s="31">
        <f t="shared" si="176"/>
        <v>467778.72355608712</v>
      </c>
      <c r="Q305" s="5"/>
      <c r="R305">
        <f t="shared" ca="1" si="187"/>
        <v>422</v>
      </c>
      <c r="S305" s="133">
        <f t="shared" ca="1" si="188"/>
        <v>103.08</v>
      </c>
      <c r="T305" s="132">
        <f t="shared" ca="1" si="177"/>
        <v>6.1405661335214634E-2</v>
      </c>
      <c r="U305" s="133">
        <f t="shared" ca="1" si="195"/>
        <v>3.9570802874850736E-4</v>
      </c>
      <c r="V305" s="31">
        <f t="shared" ca="1" si="189"/>
        <v>0</v>
      </c>
      <c r="W305" s="31">
        <f t="shared" ca="1" si="178"/>
        <v>0</v>
      </c>
      <c r="X305" s="163">
        <f t="shared" ca="1" si="196"/>
        <v>0</v>
      </c>
      <c r="Y305" s="163">
        <f t="shared" ca="1" si="197"/>
        <v>0</v>
      </c>
      <c r="Z305" s="163">
        <f t="shared" ca="1" si="190"/>
        <v>0</v>
      </c>
      <c r="AA305" s="163">
        <f t="shared" ca="1" si="198"/>
        <v>0</v>
      </c>
      <c r="AB305" s="84">
        <f t="shared" ca="1" si="179"/>
        <v>0</v>
      </c>
      <c r="AC305" s="160">
        <f t="shared" si="180"/>
        <v>0</v>
      </c>
      <c r="AD305" s="31">
        <f t="shared" ca="1" si="181"/>
        <v>0</v>
      </c>
      <c r="AE305" s="5"/>
      <c r="AF305" s="151">
        <f t="shared" ca="1" si="182"/>
        <v>0</v>
      </c>
      <c r="AG305" s="151">
        <f t="shared" ca="1" si="183"/>
        <v>0</v>
      </c>
      <c r="AH305" s="5"/>
      <c r="AI305" s="5"/>
      <c r="AS305" s="55">
        <f t="shared" si="191"/>
        <v>26</v>
      </c>
      <c r="AT305" s="56">
        <f t="shared" si="199"/>
        <v>302</v>
      </c>
      <c r="AU305" s="57">
        <f t="shared" si="204"/>
        <v>0.2291016303547849</v>
      </c>
      <c r="AV305" s="58">
        <f t="shared" si="192"/>
        <v>4.8675505653430484E-3</v>
      </c>
      <c r="AW305" s="59">
        <f t="shared" si="193"/>
        <v>1.004867550565343</v>
      </c>
      <c r="AX305" s="60">
        <f>PRODUCT(AW$4:AW305)</f>
        <v>4.3337542027411766</v>
      </c>
    </row>
    <row r="306" spans="5:50">
      <c r="E306">
        <f t="shared" si="203"/>
        <v>303</v>
      </c>
      <c r="F306" s="9">
        <f t="shared" si="194"/>
        <v>94.166666666665236</v>
      </c>
      <c r="G306" s="132">
        <f t="shared" si="172"/>
        <v>0</v>
      </c>
      <c r="H306" s="133">
        <f t="shared" si="200"/>
        <v>1</v>
      </c>
      <c r="I306" s="31">
        <f t="shared" si="184"/>
        <v>467778.72355608712</v>
      </c>
      <c r="J306" s="31">
        <f t="shared" si="173"/>
        <v>2276.9365903008816</v>
      </c>
      <c r="K306" s="163">
        <f t="shared" si="174"/>
        <v>-20</v>
      </c>
      <c r="L306" s="163">
        <f t="shared" si="185"/>
        <v>-389.81560296340598</v>
      </c>
      <c r="M306" s="163">
        <f t="shared" si="201"/>
        <v>0</v>
      </c>
      <c r="N306" s="163">
        <f t="shared" si="186"/>
        <v>-444.38978737828285</v>
      </c>
      <c r="O306" s="84">
        <f t="shared" si="175"/>
        <v>-6234.7220095610019</v>
      </c>
      <c r="P306" s="31">
        <f t="shared" si="176"/>
        <v>462966.73274648533</v>
      </c>
      <c r="Q306" s="5"/>
      <c r="R306">
        <f t="shared" ca="1" si="187"/>
        <v>423</v>
      </c>
      <c r="S306" s="133">
        <f t="shared" ca="1" si="188"/>
        <v>103.16</v>
      </c>
      <c r="T306" s="132">
        <f t="shared" ca="1" si="177"/>
        <v>6.1405661335214634E-2</v>
      </c>
      <c r="U306" s="133">
        <f t="shared" ca="1" si="195"/>
        <v>3.7140931554755115E-4</v>
      </c>
      <c r="V306" s="31">
        <f t="shared" ca="1" si="189"/>
        <v>0</v>
      </c>
      <c r="W306" s="31">
        <f t="shared" ca="1" si="178"/>
        <v>0</v>
      </c>
      <c r="X306" s="163">
        <f t="shared" ca="1" si="196"/>
        <v>0</v>
      </c>
      <c r="Y306" s="163">
        <f t="shared" ca="1" si="197"/>
        <v>0</v>
      </c>
      <c r="Z306" s="163">
        <f t="shared" ca="1" si="190"/>
        <v>0</v>
      </c>
      <c r="AA306" s="163">
        <f t="shared" ca="1" si="198"/>
        <v>0</v>
      </c>
      <c r="AB306" s="84">
        <f t="shared" ca="1" si="179"/>
        <v>0</v>
      </c>
      <c r="AC306" s="160">
        <f t="shared" si="180"/>
        <v>0</v>
      </c>
      <c r="AD306" s="31">
        <f t="shared" ca="1" si="181"/>
        <v>0</v>
      </c>
      <c r="AE306" s="5"/>
      <c r="AF306" s="151">
        <f t="shared" ca="1" si="182"/>
        <v>0</v>
      </c>
      <c r="AG306" s="151">
        <f t="shared" ca="1" si="183"/>
        <v>0</v>
      </c>
      <c r="AH306" s="5"/>
      <c r="AI306" s="5"/>
      <c r="AS306" s="55">
        <f t="shared" si="191"/>
        <v>26</v>
      </c>
      <c r="AT306" s="56">
        <f t="shared" si="199"/>
        <v>303</v>
      </c>
      <c r="AU306" s="57">
        <f t="shared" si="204"/>
        <v>0.22798646658443045</v>
      </c>
      <c r="AV306" s="58">
        <f t="shared" si="192"/>
        <v>4.8675505653430484E-3</v>
      </c>
      <c r="AW306" s="59">
        <f t="shared" si="193"/>
        <v>1.004867550565343</v>
      </c>
      <c r="AX306" s="60">
        <f>PRODUCT(AW$4:AW306)</f>
        <v>4.3548489704607869</v>
      </c>
    </row>
    <row r="307" spans="5:50">
      <c r="E307">
        <f t="shared" si="203"/>
        <v>304</v>
      </c>
      <c r="F307" s="9">
        <f t="shared" si="194"/>
        <v>94.249999999998565</v>
      </c>
      <c r="G307" s="132">
        <f t="shared" si="172"/>
        <v>0</v>
      </c>
      <c r="H307" s="133">
        <f t="shared" si="200"/>
        <v>1</v>
      </c>
      <c r="I307" s="31">
        <f t="shared" si="184"/>
        <v>462966.73274648533</v>
      </c>
      <c r="J307" s="31">
        <f t="shared" si="173"/>
        <v>2253.5139817151785</v>
      </c>
      <c r="K307" s="163">
        <f t="shared" si="174"/>
        <v>-20</v>
      </c>
      <c r="L307" s="163">
        <f t="shared" si="185"/>
        <v>-385.80561062207113</v>
      </c>
      <c r="M307" s="163">
        <f t="shared" si="201"/>
        <v>0</v>
      </c>
      <c r="N307" s="163">
        <f t="shared" si="186"/>
        <v>-439.81839610916114</v>
      </c>
      <c r="O307" s="84">
        <f t="shared" si="175"/>
        <v>-6234.7220095610019</v>
      </c>
      <c r="P307" s="31">
        <f t="shared" si="176"/>
        <v>458139.9007119083</v>
      </c>
      <c r="Q307" s="5"/>
      <c r="R307">
        <f t="shared" ca="1" si="187"/>
        <v>424</v>
      </c>
      <c r="S307" s="133">
        <f t="shared" ca="1" si="188"/>
        <v>103.24</v>
      </c>
      <c r="T307" s="132">
        <f t="shared" ca="1" si="177"/>
        <v>6.1405661335214634E-2</v>
      </c>
      <c r="U307" s="133">
        <f t="shared" ca="1" si="195"/>
        <v>3.4860268090029437E-4</v>
      </c>
      <c r="V307" s="31">
        <f t="shared" ca="1" si="189"/>
        <v>0</v>
      </c>
      <c r="W307" s="31">
        <f t="shared" ca="1" si="178"/>
        <v>0</v>
      </c>
      <c r="X307" s="163">
        <f t="shared" ca="1" si="196"/>
        <v>0</v>
      </c>
      <c r="Y307" s="163">
        <f t="shared" ca="1" si="197"/>
        <v>0</v>
      </c>
      <c r="Z307" s="163">
        <f t="shared" ca="1" si="190"/>
        <v>0</v>
      </c>
      <c r="AA307" s="163">
        <f t="shared" ca="1" si="198"/>
        <v>0</v>
      </c>
      <c r="AB307" s="84">
        <f t="shared" ca="1" si="179"/>
        <v>0</v>
      </c>
      <c r="AC307" s="160">
        <f t="shared" si="180"/>
        <v>0</v>
      </c>
      <c r="AD307" s="31">
        <f t="shared" ca="1" si="181"/>
        <v>0</v>
      </c>
      <c r="AE307" s="5"/>
      <c r="AF307" s="151">
        <f t="shared" ca="1" si="182"/>
        <v>0</v>
      </c>
      <c r="AG307" s="151">
        <f t="shared" ca="1" si="183"/>
        <v>0</v>
      </c>
      <c r="AH307" s="5"/>
      <c r="AI307" s="5"/>
      <c r="AS307" s="55">
        <f t="shared" si="191"/>
        <v>26</v>
      </c>
      <c r="AT307" s="56">
        <f t="shared" si="199"/>
        <v>304</v>
      </c>
      <c r="AU307" s="57">
        <f t="shared" si="204"/>
        <v>0.22687673093011684</v>
      </c>
      <c r="AV307" s="58">
        <f t="shared" si="192"/>
        <v>4.8675505653430484E-3</v>
      </c>
      <c r="AW307" s="59">
        <f t="shared" si="193"/>
        <v>1.004867550565343</v>
      </c>
      <c r="AX307" s="60">
        <f>PRODUCT(AW$4:AW307)</f>
        <v>4.3760464180289365</v>
      </c>
    </row>
    <row r="308" spans="5:50">
      <c r="E308">
        <f t="shared" si="203"/>
        <v>305</v>
      </c>
      <c r="F308" s="9">
        <f t="shared" si="194"/>
        <v>94.333333333331893</v>
      </c>
      <c r="G308" s="132">
        <f t="shared" si="172"/>
        <v>0</v>
      </c>
      <c r="H308" s="133">
        <f t="shared" si="200"/>
        <v>1</v>
      </c>
      <c r="I308" s="31">
        <f t="shared" si="184"/>
        <v>458139.9007119083</v>
      </c>
      <c r="J308" s="31">
        <f t="shared" si="173"/>
        <v>2230.0191327164571</v>
      </c>
      <c r="K308" s="163">
        <f t="shared" si="174"/>
        <v>-20</v>
      </c>
      <c r="L308" s="163">
        <f t="shared" si="185"/>
        <v>-381.78325059325692</v>
      </c>
      <c r="M308" s="163">
        <f t="shared" si="201"/>
        <v>0</v>
      </c>
      <c r="N308" s="163">
        <f t="shared" si="186"/>
        <v>-435.23290567631301</v>
      </c>
      <c r="O308" s="84">
        <f t="shared" si="175"/>
        <v>-6234.7220095610019</v>
      </c>
      <c r="P308" s="31">
        <f t="shared" si="176"/>
        <v>453298.18167879421</v>
      </c>
      <c r="Q308" s="5"/>
      <c r="R308">
        <f t="shared" ca="1" si="187"/>
        <v>425</v>
      </c>
      <c r="S308" s="133">
        <f t="shared" ca="1" si="188"/>
        <v>103.32</v>
      </c>
      <c r="T308" s="132">
        <f t="shared" ca="1" si="177"/>
        <v>6.1405661335214634E-2</v>
      </c>
      <c r="U308" s="133">
        <f t="shared" ca="1" si="195"/>
        <v>3.2719650273638299E-4</v>
      </c>
      <c r="V308" s="31">
        <f t="shared" ca="1" si="189"/>
        <v>0</v>
      </c>
      <c r="W308" s="31">
        <f t="shared" ca="1" si="178"/>
        <v>0</v>
      </c>
      <c r="X308" s="163">
        <f t="shared" ca="1" si="196"/>
        <v>0</v>
      </c>
      <c r="Y308" s="163">
        <f t="shared" ca="1" si="197"/>
        <v>0</v>
      </c>
      <c r="Z308" s="163">
        <f t="shared" ca="1" si="190"/>
        <v>0</v>
      </c>
      <c r="AA308" s="163">
        <f t="shared" ca="1" si="198"/>
        <v>0</v>
      </c>
      <c r="AB308" s="84">
        <f t="shared" ca="1" si="179"/>
        <v>0</v>
      </c>
      <c r="AC308" s="160">
        <f t="shared" si="180"/>
        <v>0</v>
      </c>
      <c r="AD308" s="31">
        <f t="shared" ca="1" si="181"/>
        <v>0</v>
      </c>
      <c r="AE308" s="5"/>
      <c r="AF308" s="151">
        <f t="shared" ca="1" si="182"/>
        <v>0</v>
      </c>
      <c r="AG308" s="151">
        <f t="shared" ca="1" si="183"/>
        <v>0</v>
      </c>
      <c r="AH308" s="5"/>
      <c r="AI308" s="5"/>
      <c r="AS308" s="55">
        <f t="shared" si="191"/>
        <v>26</v>
      </c>
      <c r="AT308" s="56">
        <f t="shared" si="199"/>
        <v>305</v>
      </c>
      <c r="AU308" s="57">
        <f t="shared" si="204"/>
        <v>0.22577239697021478</v>
      </c>
      <c r="AV308" s="58">
        <f t="shared" si="192"/>
        <v>4.8675505653430484E-3</v>
      </c>
      <c r="AW308" s="59">
        <f t="shared" si="193"/>
        <v>1.004867550565343</v>
      </c>
      <c r="AX308" s="60">
        <f>PRODUCT(AW$4:AW308)</f>
        <v>4.397347045244981</v>
      </c>
    </row>
    <row r="309" spans="5:50">
      <c r="E309">
        <f t="shared" si="203"/>
        <v>306</v>
      </c>
      <c r="F309" s="9">
        <f t="shared" si="194"/>
        <v>94.416666666665222</v>
      </c>
      <c r="G309" s="132">
        <f t="shared" si="172"/>
        <v>0</v>
      </c>
      <c r="H309" s="133">
        <f t="shared" si="200"/>
        <v>1</v>
      </c>
      <c r="I309" s="31">
        <f t="shared" si="184"/>
        <v>453298.18167879421</v>
      </c>
      <c r="J309" s="31">
        <f t="shared" si="173"/>
        <v>2206.4518204995907</v>
      </c>
      <c r="K309" s="163">
        <f t="shared" si="174"/>
        <v>-20</v>
      </c>
      <c r="L309" s="163">
        <f t="shared" si="185"/>
        <v>-377.74848473232851</v>
      </c>
      <c r="M309" s="163">
        <f t="shared" si="201"/>
        <v>0</v>
      </c>
      <c r="N309" s="163">
        <f t="shared" si="186"/>
        <v>-430.63327259485459</v>
      </c>
      <c r="O309" s="84">
        <f t="shared" si="175"/>
        <v>-6234.7220095610019</v>
      </c>
      <c r="P309" s="31">
        <f t="shared" si="176"/>
        <v>448441.52973240562</v>
      </c>
      <c r="Q309" s="5"/>
      <c r="R309">
        <f t="shared" ca="1" si="187"/>
        <v>426</v>
      </c>
      <c r="S309" s="133">
        <f t="shared" ca="1" si="188"/>
        <v>103.4</v>
      </c>
      <c r="T309" s="132">
        <f t="shared" ca="1" si="177"/>
        <v>6.1405661335214634E-2</v>
      </c>
      <c r="U309" s="133">
        <f t="shared" ca="1" si="195"/>
        <v>3.0710478509928603E-4</v>
      </c>
      <c r="V309" s="31">
        <f t="shared" ca="1" si="189"/>
        <v>0</v>
      </c>
      <c r="W309" s="31">
        <f t="shared" ca="1" si="178"/>
        <v>0</v>
      </c>
      <c r="X309" s="163">
        <f t="shared" ca="1" si="196"/>
        <v>0</v>
      </c>
      <c r="Y309" s="163">
        <f t="shared" ca="1" si="197"/>
        <v>0</v>
      </c>
      <c r="Z309" s="163">
        <f t="shared" ca="1" si="190"/>
        <v>0</v>
      </c>
      <c r="AA309" s="163">
        <f t="shared" ca="1" si="198"/>
        <v>0</v>
      </c>
      <c r="AB309" s="84">
        <f t="shared" ca="1" si="179"/>
        <v>0</v>
      </c>
      <c r="AC309" s="160">
        <f t="shared" si="180"/>
        <v>0</v>
      </c>
      <c r="AD309" s="31">
        <f t="shared" ca="1" si="181"/>
        <v>0</v>
      </c>
      <c r="AE309" s="5"/>
      <c r="AF309" s="151">
        <f t="shared" ca="1" si="182"/>
        <v>0</v>
      </c>
      <c r="AG309" s="151">
        <f t="shared" ca="1" si="183"/>
        <v>0</v>
      </c>
      <c r="AH309" s="5"/>
      <c r="AI309" s="5"/>
      <c r="AS309" s="55">
        <f t="shared" si="191"/>
        <v>26</v>
      </c>
      <c r="AT309" s="56">
        <f t="shared" si="199"/>
        <v>306</v>
      </c>
      <c r="AU309" s="57">
        <f t="shared" si="204"/>
        <v>0.22467343841170356</v>
      </c>
      <c r="AV309" s="58">
        <f t="shared" si="192"/>
        <v>4.8675505653430484E-3</v>
      </c>
      <c r="AW309" s="59">
        <f t="shared" si="193"/>
        <v>1.004867550565343</v>
      </c>
      <c r="AX309" s="60">
        <f>PRODUCT(AW$4:AW309)</f>
        <v>4.4187513543410724</v>
      </c>
    </row>
    <row r="310" spans="5:50">
      <c r="E310">
        <f t="shared" si="203"/>
        <v>307</v>
      </c>
      <c r="F310" s="9">
        <f t="shared" si="194"/>
        <v>94.49999999999855</v>
      </c>
      <c r="G310" s="132">
        <f t="shared" si="172"/>
        <v>0</v>
      </c>
      <c r="H310" s="133">
        <f t="shared" si="200"/>
        <v>1</v>
      </c>
      <c r="I310" s="31">
        <f t="shared" si="184"/>
        <v>448441.52973240562</v>
      </c>
      <c r="J310" s="31">
        <f t="shared" si="173"/>
        <v>2182.8118215722725</v>
      </c>
      <c r="K310" s="163">
        <f t="shared" si="174"/>
        <v>-20</v>
      </c>
      <c r="L310" s="163">
        <f t="shared" si="185"/>
        <v>-373.7012747770047</v>
      </c>
      <c r="M310" s="163">
        <f t="shared" si="201"/>
        <v>0</v>
      </c>
      <c r="N310" s="163">
        <f t="shared" si="186"/>
        <v>-426.01945324578543</v>
      </c>
      <c r="O310" s="84">
        <f t="shared" si="175"/>
        <v>-6234.7220095610019</v>
      </c>
      <c r="P310" s="31">
        <f t="shared" si="176"/>
        <v>443569.89881639404</v>
      </c>
      <c r="Q310" s="5"/>
      <c r="R310">
        <f t="shared" ca="1" si="187"/>
        <v>427</v>
      </c>
      <c r="S310" s="133">
        <f t="shared" ca="1" si="188"/>
        <v>103.48</v>
      </c>
      <c r="T310" s="132">
        <f t="shared" ca="1" si="177"/>
        <v>6.1405661335214634E-2</v>
      </c>
      <c r="U310" s="133">
        <f t="shared" ca="1" si="195"/>
        <v>2.8824681267105543E-4</v>
      </c>
      <c r="V310" s="31">
        <f t="shared" ca="1" si="189"/>
        <v>0</v>
      </c>
      <c r="W310" s="31">
        <f t="shared" ca="1" si="178"/>
        <v>0</v>
      </c>
      <c r="X310" s="163">
        <f t="shared" ca="1" si="196"/>
        <v>0</v>
      </c>
      <c r="Y310" s="163">
        <f t="shared" ca="1" si="197"/>
        <v>0</v>
      </c>
      <c r="Z310" s="163">
        <f t="shared" ca="1" si="190"/>
        <v>0</v>
      </c>
      <c r="AA310" s="163">
        <f t="shared" ca="1" si="198"/>
        <v>0</v>
      </c>
      <c r="AB310" s="84">
        <f t="shared" ca="1" si="179"/>
        <v>0</v>
      </c>
      <c r="AC310" s="160">
        <f t="shared" si="180"/>
        <v>0</v>
      </c>
      <c r="AD310" s="31">
        <f t="shared" ca="1" si="181"/>
        <v>0</v>
      </c>
      <c r="AE310" s="5"/>
      <c r="AF310" s="151">
        <f t="shared" ca="1" si="182"/>
        <v>0</v>
      </c>
      <c r="AG310" s="151">
        <f t="shared" ca="1" si="183"/>
        <v>0</v>
      </c>
      <c r="AH310" s="5"/>
      <c r="AI310" s="5"/>
      <c r="AS310" s="55">
        <f t="shared" si="191"/>
        <v>26</v>
      </c>
      <c r="AT310" s="56">
        <f t="shared" si="199"/>
        <v>307</v>
      </c>
      <c r="AU310" s="57">
        <f t="shared" si="204"/>
        <v>0.2235798290895451</v>
      </c>
      <c r="AV310" s="58">
        <f t="shared" si="192"/>
        <v>4.8675505653430484E-3</v>
      </c>
      <c r="AW310" s="59">
        <f t="shared" si="193"/>
        <v>1.004867550565343</v>
      </c>
      <c r="AX310" s="60">
        <f>PRODUCT(AW$4:AW310)</f>
        <v>4.440259849994006</v>
      </c>
    </row>
    <row r="311" spans="5:50">
      <c r="E311">
        <f t="shared" si="203"/>
        <v>308</v>
      </c>
      <c r="F311" s="9">
        <f t="shared" si="194"/>
        <v>94.583333333331879</v>
      </c>
      <c r="G311" s="132">
        <f t="shared" si="172"/>
        <v>0</v>
      </c>
      <c r="H311" s="133">
        <f t="shared" si="200"/>
        <v>1</v>
      </c>
      <c r="I311" s="31">
        <f t="shared" si="184"/>
        <v>443569.89881639404</v>
      </c>
      <c r="J311" s="31">
        <f t="shared" si="173"/>
        <v>2159.0989117528975</v>
      </c>
      <c r="K311" s="163">
        <f t="shared" si="174"/>
        <v>-20</v>
      </c>
      <c r="L311" s="163">
        <f t="shared" si="185"/>
        <v>-369.64158234699505</v>
      </c>
      <c r="M311" s="163">
        <f t="shared" si="201"/>
        <v>0</v>
      </c>
      <c r="N311" s="163">
        <f t="shared" si="186"/>
        <v>-421.39140387557444</v>
      </c>
      <c r="O311" s="84">
        <f t="shared" si="175"/>
        <v>-6234.7220095610019</v>
      </c>
      <c r="P311" s="31">
        <f t="shared" si="176"/>
        <v>438683.2427323634</v>
      </c>
      <c r="Q311" s="5"/>
      <c r="R311">
        <f t="shared" ca="1" si="187"/>
        <v>428</v>
      </c>
      <c r="S311" s="133">
        <f t="shared" ca="1" si="188"/>
        <v>103.56</v>
      </c>
      <c r="T311" s="132">
        <f t="shared" ca="1" si="177"/>
        <v>6.703943439542559E-2</v>
      </c>
      <c r="U311" s="133">
        <f t="shared" ca="1" si="195"/>
        <v>2.6892290938330368E-4</v>
      </c>
      <c r="V311" s="31">
        <f t="shared" ca="1" si="189"/>
        <v>0</v>
      </c>
      <c r="W311" s="31">
        <f t="shared" ca="1" si="178"/>
        <v>0</v>
      </c>
      <c r="X311" s="163">
        <f t="shared" ca="1" si="196"/>
        <v>0</v>
      </c>
      <c r="Y311" s="163">
        <f t="shared" ca="1" si="197"/>
        <v>0</v>
      </c>
      <c r="Z311" s="163">
        <f t="shared" ca="1" si="190"/>
        <v>0</v>
      </c>
      <c r="AA311" s="163">
        <f t="shared" ca="1" si="198"/>
        <v>0</v>
      </c>
      <c r="AB311" s="84">
        <f t="shared" ca="1" si="179"/>
        <v>0</v>
      </c>
      <c r="AC311" s="160">
        <f t="shared" si="180"/>
        <v>0</v>
      </c>
      <c r="AD311" s="31">
        <f t="shared" ca="1" si="181"/>
        <v>0</v>
      </c>
      <c r="AE311" s="5"/>
      <c r="AF311" s="151">
        <f t="shared" ca="1" si="182"/>
        <v>0</v>
      </c>
      <c r="AG311" s="151">
        <f t="shared" ca="1" si="183"/>
        <v>0</v>
      </c>
      <c r="AH311" s="5"/>
      <c r="AI311" s="5"/>
      <c r="AS311" s="55">
        <f t="shared" si="191"/>
        <v>26</v>
      </c>
      <c r="AT311" s="56">
        <f t="shared" si="199"/>
        <v>308</v>
      </c>
      <c r="AU311" s="57">
        <f t="shared" si="204"/>
        <v>0.222491542966061</v>
      </c>
      <c r="AV311" s="58">
        <f t="shared" si="192"/>
        <v>4.8675505653430484E-3</v>
      </c>
      <c r="AW311" s="59">
        <f t="shared" si="193"/>
        <v>1.004867550565343</v>
      </c>
      <c r="AX311" s="60">
        <f>PRODUCT(AW$4:AW311)</f>
        <v>4.4618730393371147</v>
      </c>
    </row>
    <row r="312" spans="5:50">
      <c r="E312">
        <f t="shared" si="203"/>
        <v>309</v>
      </c>
      <c r="F312" s="9">
        <f t="shared" si="194"/>
        <v>94.666666666665208</v>
      </c>
      <c r="G312" s="132">
        <f t="shared" si="172"/>
        <v>0</v>
      </c>
      <c r="H312" s="133">
        <f t="shared" si="200"/>
        <v>1</v>
      </c>
      <c r="I312" s="31">
        <f t="shared" si="184"/>
        <v>438683.2427323634</v>
      </c>
      <c r="J312" s="31">
        <f t="shared" si="173"/>
        <v>2135.3128661684373</v>
      </c>
      <c r="K312" s="163">
        <f t="shared" si="174"/>
        <v>-20</v>
      </c>
      <c r="L312" s="163">
        <f t="shared" si="185"/>
        <v>-365.56936894363622</v>
      </c>
      <c r="M312" s="163">
        <f t="shared" si="201"/>
        <v>0</v>
      </c>
      <c r="N312" s="163">
        <f t="shared" si="186"/>
        <v>-416.74908059574528</v>
      </c>
      <c r="O312" s="84">
        <f t="shared" si="175"/>
        <v>-6234.7220095610019</v>
      </c>
      <c r="P312" s="31">
        <f t="shared" si="176"/>
        <v>433781.51513943146</v>
      </c>
      <c r="Q312" s="5"/>
      <c r="R312">
        <f t="shared" ca="1" si="187"/>
        <v>429</v>
      </c>
      <c r="S312" s="133">
        <f t="shared" ca="1" si="188"/>
        <v>103.64</v>
      </c>
      <c r="T312" s="132">
        <f t="shared" ca="1" si="177"/>
        <v>6.703943439542559E-2</v>
      </c>
      <c r="U312" s="133">
        <f t="shared" ca="1" si="195"/>
        <v>2.5089446964227471E-4</v>
      </c>
      <c r="V312" s="31">
        <f t="shared" ca="1" si="189"/>
        <v>0</v>
      </c>
      <c r="W312" s="31">
        <f t="shared" ca="1" si="178"/>
        <v>0</v>
      </c>
      <c r="X312" s="163">
        <f t="shared" ca="1" si="196"/>
        <v>0</v>
      </c>
      <c r="Y312" s="163">
        <f t="shared" ca="1" si="197"/>
        <v>0</v>
      </c>
      <c r="Z312" s="163">
        <f t="shared" ca="1" si="190"/>
        <v>0</v>
      </c>
      <c r="AA312" s="163">
        <f t="shared" ca="1" si="198"/>
        <v>0</v>
      </c>
      <c r="AB312" s="84">
        <f t="shared" ca="1" si="179"/>
        <v>0</v>
      </c>
      <c r="AC312" s="160">
        <f t="shared" si="180"/>
        <v>0</v>
      </c>
      <c r="AD312" s="31">
        <f t="shared" ca="1" si="181"/>
        <v>0</v>
      </c>
      <c r="AE312" s="5"/>
      <c r="AF312" s="151">
        <f t="shared" ca="1" si="182"/>
        <v>0</v>
      </c>
      <c r="AG312" s="151">
        <f t="shared" ca="1" si="183"/>
        <v>0</v>
      </c>
      <c r="AH312" s="5"/>
      <c r="AI312" s="5"/>
      <c r="AS312" s="55">
        <f t="shared" si="191"/>
        <v>26</v>
      </c>
      <c r="AT312" s="56">
        <f t="shared" si="199"/>
        <v>309</v>
      </c>
      <c r="AU312" s="57">
        <f t="shared" si="204"/>
        <v>0.22140855413031249</v>
      </c>
      <c r="AV312" s="58">
        <f t="shared" si="192"/>
        <v>4.8675505653430484E-3</v>
      </c>
      <c r="AW312" s="59">
        <f t="shared" si="193"/>
        <v>1.004867550565343</v>
      </c>
      <c r="AX312" s="60">
        <f>PRODUCT(AW$4:AW312)</f>
        <v>4.4835914319722292</v>
      </c>
    </row>
    <row r="313" spans="5:50">
      <c r="E313">
        <f t="shared" si="203"/>
        <v>310</v>
      </c>
      <c r="F313" s="9">
        <f t="shared" si="194"/>
        <v>94.749999999998536</v>
      </c>
      <c r="G313" s="132">
        <f t="shared" si="172"/>
        <v>0</v>
      </c>
      <c r="H313" s="133">
        <f t="shared" si="200"/>
        <v>1</v>
      </c>
      <c r="I313" s="31">
        <f t="shared" si="184"/>
        <v>433781.51513943146</v>
      </c>
      <c r="J313" s="31">
        <f t="shared" si="173"/>
        <v>2111.4534592523037</v>
      </c>
      <c r="K313" s="163">
        <f t="shared" si="174"/>
        <v>-20</v>
      </c>
      <c r="L313" s="163">
        <f t="shared" si="185"/>
        <v>-361.48459594952624</v>
      </c>
      <c r="M313" s="163">
        <f t="shared" si="201"/>
        <v>0</v>
      </c>
      <c r="N313" s="163">
        <f t="shared" si="186"/>
        <v>-412.09243938245999</v>
      </c>
      <c r="O313" s="84">
        <f t="shared" si="175"/>
        <v>-6234.7220095610019</v>
      </c>
      <c r="P313" s="31">
        <f t="shared" si="176"/>
        <v>428864.66955379077</v>
      </c>
      <c r="Q313" s="5"/>
      <c r="R313">
        <f t="shared" ca="1" si="187"/>
        <v>430</v>
      </c>
      <c r="S313" s="133">
        <f t="shared" ca="1" si="188"/>
        <v>103.72</v>
      </c>
      <c r="T313" s="132">
        <f t="shared" ca="1" si="177"/>
        <v>6.703943439542559E-2</v>
      </c>
      <c r="U313" s="133">
        <f t="shared" ca="1" si="195"/>
        <v>2.3407464630451633E-4</v>
      </c>
      <c r="V313" s="31">
        <f t="shared" ca="1" si="189"/>
        <v>0</v>
      </c>
      <c r="W313" s="31">
        <f t="shared" ca="1" si="178"/>
        <v>0</v>
      </c>
      <c r="X313" s="163">
        <f t="shared" ca="1" si="196"/>
        <v>0</v>
      </c>
      <c r="Y313" s="163">
        <f t="shared" ca="1" si="197"/>
        <v>0</v>
      </c>
      <c r="Z313" s="163">
        <f t="shared" ca="1" si="190"/>
        <v>0</v>
      </c>
      <c r="AA313" s="163">
        <f t="shared" ca="1" si="198"/>
        <v>0</v>
      </c>
      <c r="AB313" s="84">
        <f t="shared" ca="1" si="179"/>
        <v>0</v>
      </c>
      <c r="AC313" s="160">
        <f t="shared" si="180"/>
        <v>0</v>
      </c>
      <c r="AD313" s="31">
        <f t="shared" ca="1" si="181"/>
        <v>0</v>
      </c>
      <c r="AE313" s="5"/>
      <c r="AF313" s="151">
        <f t="shared" ca="1" si="182"/>
        <v>0</v>
      </c>
      <c r="AG313" s="151">
        <f t="shared" ca="1" si="183"/>
        <v>0</v>
      </c>
      <c r="AH313" s="5"/>
      <c r="AI313" s="5"/>
      <c r="AS313" s="55">
        <f t="shared" si="191"/>
        <v>26</v>
      </c>
      <c r="AT313" s="56">
        <f t="shared" si="199"/>
        <v>310</v>
      </c>
      <c r="AU313" s="57">
        <f t="shared" si="204"/>
        <v>0.22033083679748369</v>
      </c>
      <c r="AV313" s="58">
        <f t="shared" si="192"/>
        <v>4.8675505653430484E-3</v>
      </c>
      <c r="AW313" s="59">
        <f t="shared" si="193"/>
        <v>1.004867550565343</v>
      </c>
      <c r="AX313" s="60">
        <f>PRODUCT(AW$4:AW313)</f>
        <v>4.5054155399816933</v>
      </c>
    </row>
    <row r="314" spans="5:50">
      <c r="E314">
        <f t="shared" si="203"/>
        <v>311</v>
      </c>
      <c r="F314" s="9">
        <f t="shared" si="194"/>
        <v>94.833333333331865</v>
      </c>
      <c r="G314" s="132">
        <f t="shared" si="172"/>
        <v>0</v>
      </c>
      <c r="H314" s="133">
        <f t="shared" si="200"/>
        <v>1</v>
      </c>
      <c r="I314" s="31">
        <f t="shared" si="184"/>
        <v>428864.66955379077</v>
      </c>
      <c r="J314" s="31">
        <f t="shared" si="173"/>
        <v>2087.5204647422138</v>
      </c>
      <c r="K314" s="163">
        <f t="shared" si="174"/>
        <v>-20</v>
      </c>
      <c r="L314" s="163">
        <f t="shared" si="185"/>
        <v>-357.387224628159</v>
      </c>
      <c r="M314" s="163">
        <f t="shared" si="201"/>
        <v>0</v>
      </c>
      <c r="N314" s="163">
        <f t="shared" si="186"/>
        <v>-407.42143607610132</v>
      </c>
      <c r="O314" s="84">
        <f t="shared" si="175"/>
        <v>-6234.7220095610019</v>
      </c>
      <c r="P314" s="31">
        <f t="shared" si="176"/>
        <v>423932.65934826765</v>
      </c>
      <c r="Q314" s="5"/>
      <c r="R314">
        <f t="shared" ca="1" si="187"/>
        <v>431</v>
      </c>
      <c r="S314" s="133">
        <f t="shared" ca="1" si="188"/>
        <v>103.8</v>
      </c>
      <c r="T314" s="132">
        <f t="shared" ca="1" si="177"/>
        <v>6.703943439542559E-2</v>
      </c>
      <c r="U314" s="133">
        <f t="shared" ca="1" si="195"/>
        <v>2.1838241440995225E-4</v>
      </c>
      <c r="V314" s="31">
        <f t="shared" ca="1" si="189"/>
        <v>0</v>
      </c>
      <c r="W314" s="31">
        <f t="shared" ca="1" si="178"/>
        <v>0</v>
      </c>
      <c r="X314" s="163">
        <f t="shared" ca="1" si="196"/>
        <v>0</v>
      </c>
      <c r="Y314" s="163">
        <f t="shared" ca="1" si="197"/>
        <v>0</v>
      </c>
      <c r="Z314" s="163">
        <f t="shared" ca="1" si="190"/>
        <v>0</v>
      </c>
      <c r="AA314" s="163">
        <f t="shared" ca="1" si="198"/>
        <v>0</v>
      </c>
      <c r="AB314" s="84">
        <f t="shared" ca="1" si="179"/>
        <v>0</v>
      </c>
      <c r="AC314" s="160">
        <f t="shared" si="180"/>
        <v>0</v>
      </c>
      <c r="AD314" s="31">
        <f t="shared" ca="1" si="181"/>
        <v>0</v>
      </c>
      <c r="AE314" s="5"/>
      <c r="AF314" s="151">
        <f t="shared" ca="1" si="182"/>
        <v>0</v>
      </c>
      <c r="AG314" s="151">
        <f t="shared" ca="1" si="183"/>
        <v>0</v>
      </c>
      <c r="AH314" s="5"/>
      <c r="AI314" s="5"/>
      <c r="AS314" s="55">
        <f t="shared" si="191"/>
        <v>26</v>
      </c>
      <c r="AT314" s="56">
        <f t="shared" si="199"/>
        <v>311</v>
      </c>
      <c r="AU314" s="57">
        <f t="shared" si="204"/>
        <v>0.21925836530826759</v>
      </c>
      <c r="AV314" s="58">
        <f t="shared" si="192"/>
        <v>4.8675505653430484E-3</v>
      </c>
      <c r="AW314" s="59">
        <f t="shared" si="193"/>
        <v>1.004867550565343</v>
      </c>
      <c r="AX314" s="60">
        <f>PRODUCT(AW$4:AW314)</f>
        <v>4.5273458779404363</v>
      </c>
    </row>
    <row r="315" spans="5:50">
      <c r="E315">
        <f t="shared" si="203"/>
        <v>312</v>
      </c>
      <c r="F315" s="9">
        <f t="shared" si="194"/>
        <v>94.916666666665193</v>
      </c>
      <c r="G315" s="132">
        <f t="shared" si="172"/>
        <v>0</v>
      </c>
      <c r="H315" s="133">
        <f t="shared" si="200"/>
        <v>1</v>
      </c>
      <c r="I315" s="31">
        <f t="shared" si="184"/>
        <v>423932.65934826765</v>
      </c>
      <c r="J315" s="31">
        <f t="shared" si="173"/>
        <v>2063.5136556780421</v>
      </c>
      <c r="K315" s="163">
        <f t="shared" si="174"/>
        <v>-20</v>
      </c>
      <c r="L315" s="163">
        <f t="shared" si="185"/>
        <v>-353.2772161235564</v>
      </c>
      <c r="M315" s="163">
        <f t="shared" si="201"/>
        <v>0</v>
      </c>
      <c r="N315" s="163">
        <f t="shared" si="186"/>
        <v>-402.73602638085436</v>
      </c>
      <c r="O315" s="84">
        <f t="shared" si="175"/>
        <v>-6234.7220095610019</v>
      </c>
      <c r="P315" s="31">
        <f t="shared" si="176"/>
        <v>418985.43775188026</v>
      </c>
      <c r="Q315" s="5"/>
      <c r="R315">
        <f t="shared" ca="1" si="187"/>
        <v>432</v>
      </c>
      <c r="S315" s="133">
        <f t="shared" ca="1" si="188"/>
        <v>103.88</v>
      </c>
      <c r="T315" s="132">
        <f t="shared" ca="1" si="177"/>
        <v>6.703943439542559E-2</v>
      </c>
      <c r="U315" s="133">
        <f t="shared" ca="1" si="195"/>
        <v>2.0374218086600162E-4</v>
      </c>
      <c r="V315" s="31">
        <f t="shared" ca="1" si="189"/>
        <v>0</v>
      </c>
      <c r="W315" s="31">
        <f t="shared" ca="1" si="178"/>
        <v>0</v>
      </c>
      <c r="X315" s="163">
        <f t="shared" ca="1" si="196"/>
        <v>0</v>
      </c>
      <c r="Y315" s="163">
        <f t="shared" ca="1" si="197"/>
        <v>0</v>
      </c>
      <c r="Z315" s="163">
        <f t="shared" ca="1" si="190"/>
        <v>0</v>
      </c>
      <c r="AA315" s="163">
        <f t="shared" ca="1" si="198"/>
        <v>0</v>
      </c>
      <c r="AB315" s="84">
        <f t="shared" ca="1" si="179"/>
        <v>0</v>
      </c>
      <c r="AC315" s="160">
        <f t="shared" si="180"/>
        <v>0</v>
      </c>
      <c r="AD315" s="31">
        <f t="shared" ca="1" si="181"/>
        <v>0</v>
      </c>
      <c r="AE315" s="5"/>
      <c r="AF315" s="151">
        <f t="shared" ca="1" si="182"/>
        <v>0</v>
      </c>
      <c r="AG315" s="151">
        <f t="shared" ca="1" si="183"/>
        <v>0</v>
      </c>
      <c r="AH315" s="5"/>
      <c r="AI315" s="5"/>
      <c r="AS315" s="55">
        <f t="shared" si="191"/>
        <v>26</v>
      </c>
      <c r="AT315" s="56">
        <f t="shared" si="199"/>
        <v>312</v>
      </c>
      <c r="AU315" s="57">
        <f t="shared" si="204"/>
        <v>0.21819111412825515</v>
      </c>
      <c r="AV315" s="58">
        <f t="shared" si="192"/>
        <v>4.8675505653430484E-3</v>
      </c>
      <c r="AW315" s="59">
        <f t="shared" si="193"/>
        <v>1.004867550565343</v>
      </c>
      <c r="AX315" s="60">
        <f>PRODUCT(AW$4:AW315)</f>
        <v>4.5493829629281084</v>
      </c>
    </row>
    <row r="316" spans="5:50">
      <c r="E316">
        <f t="shared" si="203"/>
        <v>313</v>
      </c>
      <c r="F316" s="9">
        <f t="shared" si="194"/>
        <v>94.999999999998522</v>
      </c>
      <c r="G316" s="132">
        <f t="shared" si="172"/>
        <v>0</v>
      </c>
      <c r="H316" s="133">
        <f t="shared" si="200"/>
        <v>1</v>
      </c>
      <c r="I316" s="31">
        <f t="shared" si="184"/>
        <v>418985.43775188026</v>
      </c>
      <c r="J316" s="31">
        <f t="shared" si="173"/>
        <v>2039.4328043996693</v>
      </c>
      <c r="K316" s="163">
        <f t="shared" si="174"/>
        <v>-20</v>
      </c>
      <c r="L316" s="163">
        <f t="shared" si="185"/>
        <v>-349.15453145990023</v>
      </c>
      <c r="M316" s="163">
        <f t="shared" si="201"/>
        <v>-3142.390783139102</v>
      </c>
      <c r="N316" s="163">
        <f t="shared" si="186"/>
        <v>-398.03616586428637</v>
      </c>
      <c r="O316" s="84">
        <f t="shared" si="175"/>
        <v>-6234.7220095610019</v>
      </c>
      <c r="P316" s="31">
        <f t="shared" si="176"/>
        <v>410880.56706625567</v>
      </c>
      <c r="Q316" s="5"/>
      <c r="R316">
        <f t="shared" ca="1" si="187"/>
        <v>433</v>
      </c>
      <c r="S316" s="133">
        <f t="shared" ca="1" si="188"/>
        <v>103.96</v>
      </c>
      <c r="T316" s="132">
        <f t="shared" ca="1" si="177"/>
        <v>6.703943439542559E-2</v>
      </c>
      <c r="U316" s="133">
        <f t="shared" ca="1" si="195"/>
        <v>1.9008342029825436E-4</v>
      </c>
      <c r="V316" s="31">
        <f t="shared" ca="1" si="189"/>
        <v>0</v>
      </c>
      <c r="W316" s="31">
        <f t="shared" ca="1" si="178"/>
        <v>0</v>
      </c>
      <c r="X316" s="163">
        <f t="shared" ca="1" si="196"/>
        <v>0</v>
      </c>
      <c r="Y316" s="163">
        <f t="shared" ca="1" si="197"/>
        <v>0</v>
      </c>
      <c r="Z316" s="163">
        <f t="shared" ca="1" si="190"/>
        <v>0</v>
      </c>
      <c r="AA316" s="163">
        <f t="shared" ca="1" si="198"/>
        <v>0</v>
      </c>
      <c r="AB316" s="84">
        <f t="shared" ca="1" si="179"/>
        <v>0</v>
      </c>
      <c r="AC316" s="160">
        <f t="shared" si="180"/>
        <v>0</v>
      </c>
      <c r="AD316" s="31">
        <f t="shared" ca="1" si="181"/>
        <v>0</v>
      </c>
      <c r="AE316" s="5"/>
      <c r="AF316" s="151">
        <f t="shared" ca="1" si="182"/>
        <v>0</v>
      </c>
      <c r="AG316" s="151">
        <f t="shared" ca="1" si="183"/>
        <v>0</v>
      </c>
      <c r="AH316" s="5"/>
      <c r="AI316" s="5"/>
      <c r="AS316" s="55">
        <f t="shared" si="191"/>
        <v>27</v>
      </c>
      <c r="AT316" s="56">
        <f t="shared" si="199"/>
        <v>313</v>
      </c>
      <c r="AU316" s="57">
        <f t="shared" si="204"/>
        <v>0.21712905784732733</v>
      </c>
      <c r="AV316" s="58">
        <f t="shared" si="192"/>
        <v>4.8675505653430484E-3</v>
      </c>
      <c r="AW316" s="59">
        <f t="shared" si="193"/>
        <v>1.004867550565343</v>
      </c>
      <c r="AX316" s="60">
        <f>PRODUCT(AW$4:AW316)</f>
        <v>4.5715273145412709</v>
      </c>
    </row>
    <row r="317" spans="5:50">
      <c r="E317">
        <f t="shared" si="203"/>
        <v>314</v>
      </c>
      <c r="F317" s="9">
        <f t="shared" si="194"/>
        <v>95.083333333331851</v>
      </c>
      <c r="G317" s="132">
        <f t="shared" si="172"/>
        <v>0</v>
      </c>
      <c r="H317" s="133">
        <f t="shared" si="200"/>
        <v>1</v>
      </c>
      <c r="I317" s="31">
        <f t="shared" si="184"/>
        <v>410880.56706625567</v>
      </c>
      <c r="J317" s="31">
        <f t="shared" si="173"/>
        <v>1999.9819365118251</v>
      </c>
      <c r="K317" s="163">
        <f t="shared" si="174"/>
        <v>-20</v>
      </c>
      <c r="L317" s="163">
        <f t="shared" si="185"/>
        <v>-342.40047255521307</v>
      </c>
      <c r="M317" s="163">
        <f t="shared" si="201"/>
        <v>0</v>
      </c>
      <c r="N317" s="163">
        <f t="shared" si="186"/>
        <v>-390.33653871294297</v>
      </c>
      <c r="O317" s="84">
        <f t="shared" si="175"/>
        <v>-6234.7220095610019</v>
      </c>
      <c r="P317" s="31">
        <f t="shared" si="176"/>
        <v>405893.0899819383</v>
      </c>
      <c r="Q317" s="5"/>
      <c r="R317">
        <f t="shared" ca="1" si="187"/>
        <v>434</v>
      </c>
      <c r="S317" s="133">
        <f t="shared" ca="1" si="188"/>
        <v>104.04</v>
      </c>
      <c r="T317" s="132">
        <f t="shared" ca="1" si="177"/>
        <v>0</v>
      </c>
      <c r="U317" s="133">
        <f t="shared" ca="1" si="195"/>
        <v>1.9008342029825436E-4</v>
      </c>
      <c r="V317" s="31">
        <f t="shared" ca="1" si="189"/>
        <v>0</v>
      </c>
      <c r="W317" s="31">
        <f t="shared" ca="1" si="178"/>
        <v>0</v>
      </c>
      <c r="X317" s="163">
        <f t="shared" ca="1" si="196"/>
        <v>0</v>
      </c>
      <c r="Y317" s="163">
        <f t="shared" ca="1" si="197"/>
        <v>0</v>
      </c>
      <c r="Z317" s="163">
        <f t="shared" ca="1" si="190"/>
        <v>0</v>
      </c>
      <c r="AA317" s="163">
        <f t="shared" ca="1" si="198"/>
        <v>0</v>
      </c>
      <c r="AB317" s="84">
        <f t="shared" ca="1" si="179"/>
        <v>0</v>
      </c>
      <c r="AC317" s="160">
        <f t="shared" si="180"/>
        <v>0</v>
      </c>
      <c r="AD317" s="31">
        <f t="shared" ca="1" si="181"/>
        <v>0</v>
      </c>
      <c r="AE317" s="5"/>
      <c r="AF317" s="151">
        <f t="shared" ca="1" si="182"/>
        <v>0</v>
      </c>
      <c r="AG317" s="151">
        <f t="shared" ca="1" si="183"/>
        <v>0</v>
      </c>
      <c r="AH317" s="5"/>
      <c r="AI317" s="5"/>
      <c r="AS317" s="55">
        <f t="shared" si="191"/>
        <v>27</v>
      </c>
      <c r="AT317" s="56">
        <f t="shared" si="199"/>
        <v>314</v>
      </c>
      <c r="AU317" s="57">
        <f t="shared" si="204"/>
        <v>0.21607217117905017</v>
      </c>
      <c r="AV317" s="58">
        <f t="shared" si="192"/>
        <v>4.8675505653430484E-3</v>
      </c>
      <c r="AW317" s="59">
        <f t="shared" si="193"/>
        <v>1.004867550565343</v>
      </c>
      <c r="AX317" s="60">
        <f>PRODUCT(AW$4:AW317)</f>
        <v>4.5937794549056479</v>
      </c>
    </row>
    <row r="318" spans="5:50">
      <c r="E318">
        <f t="shared" si="203"/>
        <v>315</v>
      </c>
      <c r="F318" s="9">
        <f t="shared" si="194"/>
        <v>95.166666666665179</v>
      </c>
      <c r="G318" s="132">
        <f t="shared" si="172"/>
        <v>0</v>
      </c>
      <c r="H318" s="133">
        <f t="shared" si="200"/>
        <v>1</v>
      </c>
      <c r="I318" s="31">
        <f t="shared" si="184"/>
        <v>405893.0899819383</v>
      </c>
      <c r="J318" s="31">
        <f t="shared" si="173"/>
        <v>1975.7051396104207</v>
      </c>
      <c r="K318" s="163">
        <f t="shared" si="174"/>
        <v>-20</v>
      </c>
      <c r="L318" s="163">
        <f t="shared" si="185"/>
        <v>-338.24424165161525</v>
      </c>
      <c r="M318" s="163">
        <f t="shared" si="201"/>
        <v>0</v>
      </c>
      <c r="N318" s="163">
        <f t="shared" si="186"/>
        <v>-385.59843548284147</v>
      </c>
      <c r="O318" s="84">
        <f t="shared" si="175"/>
        <v>-6234.7220095610019</v>
      </c>
      <c r="P318" s="31">
        <f t="shared" si="176"/>
        <v>400890.23043485323</v>
      </c>
      <c r="Q318" s="5"/>
      <c r="R318">
        <f t="shared" ca="1" si="187"/>
        <v>435</v>
      </c>
      <c r="S318" s="133">
        <f t="shared" ca="1" si="188"/>
        <v>104.12</v>
      </c>
      <c r="T318" s="132">
        <f t="shared" ca="1" si="177"/>
        <v>0</v>
      </c>
      <c r="U318" s="133">
        <f t="shared" ca="1" si="195"/>
        <v>1.9008342029825436E-4</v>
      </c>
      <c r="V318" s="31">
        <f t="shared" ca="1" si="189"/>
        <v>0</v>
      </c>
      <c r="W318" s="31">
        <f t="shared" ca="1" si="178"/>
        <v>0</v>
      </c>
      <c r="X318" s="163">
        <f t="shared" ca="1" si="196"/>
        <v>0</v>
      </c>
      <c r="Y318" s="163">
        <f t="shared" ca="1" si="197"/>
        <v>0</v>
      </c>
      <c r="Z318" s="163">
        <f t="shared" ca="1" si="190"/>
        <v>0</v>
      </c>
      <c r="AA318" s="163">
        <f t="shared" ca="1" si="198"/>
        <v>0</v>
      </c>
      <c r="AB318" s="84">
        <f t="shared" ca="1" si="179"/>
        <v>0</v>
      </c>
      <c r="AC318" s="160">
        <f t="shared" si="180"/>
        <v>0</v>
      </c>
      <c r="AD318" s="31">
        <f t="shared" ca="1" si="181"/>
        <v>0</v>
      </c>
      <c r="AE318" s="5"/>
      <c r="AF318" s="151">
        <f t="shared" ca="1" si="182"/>
        <v>0</v>
      </c>
      <c r="AG318" s="151">
        <f t="shared" ca="1" si="183"/>
        <v>0</v>
      </c>
      <c r="AH318" s="5"/>
      <c r="AI318" s="5"/>
      <c r="AS318" s="55">
        <f t="shared" si="191"/>
        <v>27</v>
      </c>
      <c r="AT318" s="56">
        <f t="shared" si="199"/>
        <v>315</v>
      </c>
      <c r="AU318" s="57">
        <f t="shared" si="204"/>
        <v>0.21502042896007267</v>
      </c>
      <c r="AV318" s="58">
        <f t="shared" si="192"/>
        <v>4.8675505653430484E-3</v>
      </c>
      <c r="AW318" s="59">
        <f t="shared" si="193"/>
        <v>1.004867550565343</v>
      </c>
      <c r="AX318" s="60">
        <f>PRODUCT(AW$4:AW318)</f>
        <v>4.6161399086884352</v>
      </c>
    </row>
    <row r="319" spans="5:50">
      <c r="E319">
        <f t="shared" si="203"/>
        <v>316</v>
      </c>
      <c r="F319" s="9">
        <f t="shared" si="194"/>
        <v>95.249999999998508</v>
      </c>
      <c r="G319" s="132">
        <f t="shared" si="172"/>
        <v>0</v>
      </c>
      <c r="H319" s="133">
        <f t="shared" si="200"/>
        <v>1</v>
      </c>
      <c r="I319" s="31">
        <f t="shared" si="184"/>
        <v>400890.23043485323</v>
      </c>
      <c r="J319" s="31">
        <f t="shared" si="173"/>
        <v>1951.3534677936748</v>
      </c>
      <c r="K319" s="163">
        <f t="shared" si="174"/>
        <v>-20</v>
      </c>
      <c r="L319" s="163">
        <f t="shared" si="185"/>
        <v>-334.07519202904439</v>
      </c>
      <c r="M319" s="163">
        <f t="shared" si="201"/>
        <v>0</v>
      </c>
      <c r="N319" s="163">
        <f t="shared" si="186"/>
        <v>-380.84571891311066</v>
      </c>
      <c r="O319" s="84">
        <f t="shared" si="175"/>
        <v>-6234.7220095610019</v>
      </c>
      <c r="P319" s="31">
        <f t="shared" si="176"/>
        <v>395871.94098214369</v>
      </c>
      <c r="Q319" s="5"/>
      <c r="R319">
        <f t="shared" ca="1" si="187"/>
        <v>436</v>
      </c>
      <c r="S319" s="133">
        <f t="shared" ca="1" si="188"/>
        <v>104.2</v>
      </c>
      <c r="T319" s="132">
        <f t="shared" ca="1" si="177"/>
        <v>0</v>
      </c>
      <c r="U319" s="133">
        <f t="shared" ca="1" si="195"/>
        <v>1.9008342029825436E-4</v>
      </c>
      <c r="V319" s="31">
        <f t="shared" ca="1" si="189"/>
        <v>0</v>
      </c>
      <c r="W319" s="31">
        <f t="shared" ca="1" si="178"/>
        <v>0</v>
      </c>
      <c r="X319" s="163">
        <f t="shared" ca="1" si="196"/>
        <v>0</v>
      </c>
      <c r="Y319" s="163">
        <f t="shared" ca="1" si="197"/>
        <v>0</v>
      </c>
      <c r="Z319" s="163">
        <f t="shared" ca="1" si="190"/>
        <v>0</v>
      </c>
      <c r="AA319" s="163">
        <f t="shared" ca="1" si="198"/>
        <v>0</v>
      </c>
      <c r="AB319" s="84">
        <f t="shared" ca="1" si="179"/>
        <v>0</v>
      </c>
      <c r="AC319" s="160">
        <f t="shared" si="180"/>
        <v>0</v>
      </c>
      <c r="AD319" s="31">
        <f t="shared" ca="1" si="181"/>
        <v>0</v>
      </c>
      <c r="AE319" s="5"/>
      <c r="AF319" s="151">
        <f t="shared" ca="1" si="182"/>
        <v>0</v>
      </c>
      <c r="AG319" s="151">
        <f t="shared" ca="1" si="183"/>
        <v>0</v>
      </c>
      <c r="AH319" s="5"/>
      <c r="AI319" s="5"/>
      <c r="AS319" s="55">
        <f t="shared" si="191"/>
        <v>27</v>
      </c>
      <c r="AT319" s="56">
        <f t="shared" si="199"/>
        <v>316</v>
      </c>
      <c r="AU319" s="57">
        <f t="shared" si="204"/>
        <v>0.21397380614952777</v>
      </c>
      <c r="AV319" s="58">
        <f t="shared" si="192"/>
        <v>4.8675505653430484E-3</v>
      </c>
      <c r="AW319" s="59">
        <f t="shared" si="193"/>
        <v>1.004867550565343</v>
      </c>
      <c r="AX319" s="60">
        <f>PRODUCT(AW$4:AW319)</f>
        <v>4.6386092031106738</v>
      </c>
    </row>
    <row r="320" spans="5:50">
      <c r="E320">
        <f t="shared" si="203"/>
        <v>317</v>
      </c>
      <c r="F320" s="9">
        <f t="shared" si="194"/>
        <v>95.333333333331836</v>
      </c>
      <c r="G320" s="132">
        <f t="shared" si="172"/>
        <v>0</v>
      </c>
      <c r="H320" s="133">
        <f t="shared" si="200"/>
        <v>1</v>
      </c>
      <c r="I320" s="31">
        <f t="shared" si="184"/>
        <v>395871.94098214369</v>
      </c>
      <c r="J320" s="31">
        <f t="shared" si="173"/>
        <v>1926.9266901310834</v>
      </c>
      <c r="K320" s="163">
        <f t="shared" si="174"/>
        <v>-20</v>
      </c>
      <c r="L320" s="163">
        <f t="shared" si="185"/>
        <v>-329.89328415178642</v>
      </c>
      <c r="M320" s="163">
        <f t="shared" si="201"/>
        <v>0</v>
      </c>
      <c r="N320" s="163">
        <f t="shared" si="186"/>
        <v>-376.07834393303659</v>
      </c>
      <c r="O320" s="84">
        <f t="shared" si="175"/>
        <v>-6234.7220095610019</v>
      </c>
      <c r="P320" s="31">
        <f t="shared" si="176"/>
        <v>390838.1740346289</v>
      </c>
      <c r="Q320" s="5"/>
      <c r="R320">
        <f t="shared" ca="1" si="187"/>
        <v>437</v>
      </c>
      <c r="S320" s="133">
        <f t="shared" ca="1" si="188"/>
        <v>104.28</v>
      </c>
      <c r="T320" s="132">
        <f t="shared" ca="1" si="177"/>
        <v>0</v>
      </c>
      <c r="U320" s="133">
        <f t="shared" ca="1" si="195"/>
        <v>1.9008342029825436E-4</v>
      </c>
      <c r="V320" s="31">
        <f t="shared" ca="1" si="189"/>
        <v>0</v>
      </c>
      <c r="W320" s="31">
        <f t="shared" ca="1" si="178"/>
        <v>0</v>
      </c>
      <c r="X320" s="163">
        <f t="shared" ca="1" si="196"/>
        <v>0</v>
      </c>
      <c r="Y320" s="163">
        <f t="shared" ca="1" si="197"/>
        <v>0</v>
      </c>
      <c r="Z320" s="163">
        <f t="shared" ca="1" si="190"/>
        <v>0</v>
      </c>
      <c r="AA320" s="163">
        <f t="shared" ca="1" si="198"/>
        <v>0</v>
      </c>
      <c r="AB320" s="84">
        <f t="shared" ca="1" si="179"/>
        <v>0</v>
      </c>
      <c r="AC320" s="160">
        <f t="shared" si="180"/>
        <v>0</v>
      </c>
      <c r="AD320" s="31">
        <f t="shared" ca="1" si="181"/>
        <v>0</v>
      </c>
      <c r="AE320" s="5"/>
      <c r="AF320" s="151">
        <f t="shared" ca="1" si="182"/>
        <v>0</v>
      </c>
      <c r="AG320" s="151">
        <f t="shared" ca="1" si="183"/>
        <v>0</v>
      </c>
      <c r="AH320" s="5"/>
      <c r="AI320" s="5"/>
      <c r="AS320" s="55">
        <f t="shared" si="191"/>
        <v>27</v>
      </c>
      <c r="AT320" s="56">
        <f t="shared" si="199"/>
        <v>317</v>
      </c>
      <c r="AU320" s="57">
        <f t="shared" si="204"/>
        <v>0.21293227782843602</v>
      </c>
      <c r="AV320" s="58">
        <f t="shared" si="192"/>
        <v>4.8675505653430484E-3</v>
      </c>
      <c r="AW320" s="59">
        <f t="shared" si="193"/>
        <v>1.004867550565343</v>
      </c>
      <c r="AX320" s="60">
        <f>PRODUCT(AW$4:AW320)</f>
        <v>4.661187867959681</v>
      </c>
    </row>
    <row r="321" spans="5:50">
      <c r="E321">
        <f t="shared" si="203"/>
        <v>318</v>
      </c>
      <c r="F321" s="9">
        <f t="shared" si="194"/>
        <v>95.416666666665165</v>
      </c>
      <c r="G321" s="132">
        <f t="shared" si="172"/>
        <v>0</v>
      </c>
      <c r="H321" s="133">
        <f t="shared" si="200"/>
        <v>1</v>
      </c>
      <c r="I321" s="31">
        <f t="shared" si="184"/>
        <v>390838.1740346289</v>
      </c>
      <c r="J321" s="31">
        <f t="shared" si="173"/>
        <v>1902.4245749799027</v>
      </c>
      <c r="K321" s="163">
        <f t="shared" si="174"/>
        <v>-20</v>
      </c>
      <c r="L321" s="163">
        <f t="shared" si="185"/>
        <v>-325.69847836219077</v>
      </c>
      <c r="M321" s="163">
        <f t="shared" si="201"/>
        <v>0</v>
      </c>
      <c r="N321" s="163">
        <f t="shared" si="186"/>
        <v>-371.29626533289752</v>
      </c>
      <c r="O321" s="84">
        <f t="shared" si="175"/>
        <v>-6234.7220095610019</v>
      </c>
      <c r="P321" s="31">
        <f t="shared" si="176"/>
        <v>385788.88185635273</v>
      </c>
      <c r="Q321" s="5"/>
      <c r="R321">
        <f t="shared" ca="1" si="187"/>
        <v>438</v>
      </c>
      <c r="S321" s="133">
        <f t="shared" ca="1" si="188"/>
        <v>104.36</v>
      </c>
      <c r="T321" s="132">
        <f t="shared" ca="1" si="177"/>
        <v>0</v>
      </c>
      <c r="U321" s="133">
        <f t="shared" ca="1" si="195"/>
        <v>1.9008342029825436E-4</v>
      </c>
      <c r="V321" s="31">
        <f t="shared" ca="1" si="189"/>
        <v>0</v>
      </c>
      <c r="W321" s="31">
        <f t="shared" ca="1" si="178"/>
        <v>0</v>
      </c>
      <c r="X321" s="163">
        <f t="shared" ca="1" si="196"/>
        <v>0</v>
      </c>
      <c r="Y321" s="163">
        <f t="shared" ca="1" si="197"/>
        <v>0</v>
      </c>
      <c r="Z321" s="163">
        <f t="shared" ca="1" si="190"/>
        <v>0</v>
      </c>
      <c r="AA321" s="163">
        <f t="shared" ca="1" si="198"/>
        <v>0</v>
      </c>
      <c r="AB321" s="84">
        <f t="shared" ca="1" si="179"/>
        <v>0</v>
      </c>
      <c r="AC321" s="160">
        <f t="shared" si="180"/>
        <v>0</v>
      </c>
      <c r="AD321" s="31">
        <f t="shared" ca="1" si="181"/>
        <v>0</v>
      </c>
      <c r="AE321" s="5"/>
      <c r="AF321" s="151">
        <f t="shared" ca="1" si="182"/>
        <v>0</v>
      </c>
      <c r="AG321" s="151">
        <f t="shared" ca="1" si="183"/>
        <v>0</v>
      </c>
      <c r="AH321" s="5"/>
      <c r="AI321" s="5"/>
      <c r="AS321" s="55">
        <f t="shared" si="191"/>
        <v>27</v>
      </c>
      <c r="AT321" s="56">
        <f t="shared" si="199"/>
        <v>318</v>
      </c>
      <c r="AU321" s="57">
        <f t="shared" si="204"/>
        <v>0.21189581919911243</v>
      </c>
      <c r="AV321" s="58">
        <f t="shared" si="192"/>
        <v>4.8675505653430484E-3</v>
      </c>
      <c r="AW321" s="59">
        <f t="shared" si="193"/>
        <v>1.004867550565343</v>
      </c>
      <c r="AX321" s="60">
        <f>PRODUCT(AW$4:AW321)</f>
        <v>4.6838764356015385</v>
      </c>
    </row>
    <row r="322" spans="5:50">
      <c r="E322">
        <f t="shared" si="203"/>
        <v>319</v>
      </c>
      <c r="F322" s="9">
        <f t="shared" si="194"/>
        <v>95.499999999998494</v>
      </c>
      <c r="G322" s="132">
        <f t="shared" si="172"/>
        <v>0</v>
      </c>
      <c r="H322" s="133">
        <f t="shared" si="200"/>
        <v>1</v>
      </c>
      <c r="I322" s="31">
        <f t="shared" si="184"/>
        <v>385788.88185635273</v>
      </c>
      <c r="J322" s="31">
        <f t="shared" si="173"/>
        <v>1877.8468899829522</v>
      </c>
      <c r="K322" s="163">
        <f t="shared" si="174"/>
        <v>-20</v>
      </c>
      <c r="L322" s="163">
        <f t="shared" si="185"/>
        <v>-321.49073488029399</v>
      </c>
      <c r="M322" s="163">
        <f t="shared" si="201"/>
        <v>0</v>
      </c>
      <c r="N322" s="163">
        <f t="shared" si="186"/>
        <v>-366.49943776353513</v>
      </c>
      <c r="O322" s="84">
        <f t="shared" si="175"/>
        <v>-6234.7220095610019</v>
      </c>
      <c r="P322" s="31">
        <f t="shared" si="176"/>
        <v>380724.01656413084</v>
      </c>
      <c r="Q322" s="5"/>
      <c r="R322">
        <f t="shared" ca="1" si="187"/>
        <v>439</v>
      </c>
      <c r="S322" s="133">
        <f t="shared" ca="1" si="188"/>
        <v>104.44</v>
      </c>
      <c r="T322" s="132">
        <f t="shared" ca="1" si="177"/>
        <v>0</v>
      </c>
      <c r="U322" s="133">
        <f t="shared" ca="1" si="195"/>
        <v>1.9008342029825436E-4</v>
      </c>
      <c r="V322" s="31">
        <f t="shared" ca="1" si="189"/>
        <v>0</v>
      </c>
      <c r="W322" s="31">
        <f t="shared" ca="1" si="178"/>
        <v>0</v>
      </c>
      <c r="X322" s="163">
        <f t="shared" ca="1" si="196"/>
        <v>0</v>
      </c>
      <c r="Y322" s="163">
        <f t="shared" ca="1" si="197"/>
        <v>0</v>
      </c>
      <c r="Z322" s="163">
        <f t="shared" ca="1" si="190"/>
        <v>0</v>
      </c>
      <c r="AA322" s="163">
        <f t="shared" ca="1" si="198"/>
        <v>0</v>
      </c>
      <c r="AB322" s="84">
        <f t="shared" ca="1" si="179"/>
        <v>0</v>
      </c>
      <c r="AC322" s="160">
        <f t="shared" si="180"/>
        <v>0</v>
      </c>
      <c r="AD322" s="31">
        <f t="shared" ca="1" si="181"/>
        <v>0</v>
      </c>
      <c r="AE322" s="5"/>
      <c r="AF322" s="151">
        <f t="shared" ca="1" si="182"/>
        <v>0</v>
      </c>
      <c r="AG322" s="151">
        <f t="shared" ca="1" si="183"/>
        <v>0</v>
      </c>
      <c r="AH322" s="5"/>
      <c r="AI322" s="5"/>
      <c r="AS322" s="55">
        <f t="shared" si="191"/>
        <v>27</v>
      </c>
      <c r="AT322" s="56">
        <f t="shared" si="199"/>
        <v>319</v>
      </c>
      <c r="AU322" s="57">
        <f t="shared" si="204"/>
        <v>0.21086440558457598</v>
      </c>
      <c r="AV322" s="58">
        <f t="shared" si="192"/>
        <v>4.8675505653430484E-3</v>
      </c>
      <c r="AW322" s="59">
        <f t="shared" si="193"/>
        <v>1.004867550565343</v>
      </c>
      <c r="AX322" s="60">
        <f>PRODUCT(AW$4:AW322)</f>
        <v>4.7066754409936475</v>
      </c>
    </row>
    <row r="323" spans="5:50">
      <c r="E323">
        <f t="shared" si="203"/>
        <v>320</v>
      </c>
      <c r="F323" s="9">
        <f t="shared" si="194"/>
        <v>95.583333333331822</v>
      </c>
      <c r="G323" s="132">
        <f t="shared" si="172"/>
        <v>0</v>
      </c>
      <c r="H323" s="133">
        <f t="shared" si="200"/>
        <v>1</v>
      </c>
      <c r="I323" s="31">
        <f t="shared" si="184"/>
        <v>380724.01656413084</v>
      </c>
      <c r="J323" s="31">
        <f t="shared" si="173"/>
        <v>1853.1934020664112</v>
      </c>
      <c r="K323" s="163">
        <f t="shared" si="174"/>
        <v>-20</v>
      </c>
      <c r="L323" s="163">
        <f t="shared" si="185"/>
        <v>-317.2700138034424</v>
      </c>
      <c r="M323" s="163">
        <f t="shared" si="201"/>
        <v>0</v>
      </c>
      <c r="N323" s="163">
        <f t="shared" si="186"/>
        <v>-361.6878157359244</v>
      </c>
      <c r="O323" s="84">
        <f t="shared" si="175"/>
        <v>-6234.7220095610019</v>
      </c>
      <c r="P323" s="31">
        <f t="shared" si="176"/>
        <v>375643.53012709686</v>
      </c>
      <c r="Q323" s="5"/>
      <c r="R323">
        <f t="shared" ca="1" si="187"/>
        <v>440</v>
      </c>
      <c r="S323" s="133">
        <f t="shared" ca="1" si="188"/>
        <v>104.52</v>
      </c>
      <c r="T323" s="132">
        <f t="shared" ca="1" si="177"/>
        <v>0</v>
      </c>
      <c r="U323" s="133">
        <f t="shared" ca="1" si="195"/>
        <v>1.9008342029825436E-4</v>
      </c>
      <c r="V323" s="31">
        <f t="shared" ca="1" si="189"/>
        <v>0</v>
      </c>
      <c r="W323" s="31">
        <f t="shared" ca="1" si="178"/>
        <v>0</v>
      </c>
      <c r="X323" s="163">
        <f t="shared" ca="1" si="196"/>
        <v>0</v>
      </c>
      <c r="Y323" s="163">
        <f t="shared" ca="1" si="197"/>
        <v>0</v>
      </c>
      <c r="Z323" s="163">
        <f t="shared" ca="1" si="190"/>
        <v>0</v>
      </c>
      <c r="AA323" s="163">
        <f t="shared" ca="1" si="198"/>
        <v>0</v>
      </c>
      <c r="AB323" s="84">
        <f t="shared" ca="1" si="179"/>
        <v>0</v>
      </c>
      <c r="AC323" s="160">
        <f t="shared" si="180"/>
        <v>0</v>
      </c>
      <c r="AD323" s="31">
        <f t="shared" ca="1" si="181"/>
        <v>0</v>
      </c>
      <c r="AE323" s="5"/>
      <c r="AF323" s="151">
        <f t="shared" ca="1" si="182"/>
        <v>0</v>
      </c>
      <c r="AG323" s="151">
        <f t="shared" ca="1" si="183"/>
        <v>0</v>
      </c>
      <c r="AH323" s="5"/>
      <c r="AI323" s="5"/>
      <c r="AS323" s="55">
        <f t="shared" si="191"/>
        <v>27</v>
      </c>
      <c r="AT323" s="56">
        <f t="shared" si="199"/>
        <v>320</v>
      </c>
      <c r="AU323" s="57">
        <f t="shared" si="204"/>
        <v>0.20983801242796205</v>
      </c>
      <c r="AV323" s="58">
        <f t="shared" si="192"/>
        <v>4.8675505653430484E-3</v>
      </c>
      <c r="AW323" s="59">
        <f t="shared" si="193"/>
        <v>1.004867550565343</v>
      </c>
      <c r="AX323" s="60">
        <f>PRODUCT(AW$4:AW323)</f>
        <v>4.7295854216973421</v>
      </c>
    </row>
    <row r="324" spans="5:50">
      <c r="E324">
        <f t="shared" si="203"/>
        <v>321</v>
      </c>
      <c r="F324" s="9">
        <f t="shared" si="194"/>
        <v>95.666666666665151</v>
      </c>
      <c r="G324" s="132">
        <f t="shared" ref="G324:G387" si="205">(1-(1-IF(F324&gt;$AK$90,0,VLOOKUP(ROUND(F324,0),$AK$4:$AL$90,2,FALSE)))^(1/12))*0</f>
        <v>0</v>
      </c>
      <c r="H324" s="133">
        <f t="shared" si="200"/>
        <v>1</v>
      </c>
      <c r="I324" s="31">
        <f t="shared" si="184"/>
        <v>375643.53012709686</v>
      </c>
      <c r="J324" s="31">
        <f t="shared" ref="J324:J387" si="206">(I324)*$AV324</f>
        <v>1828.4638774376087</v>
      </c>
      <c r="K324" s="163">
        <f t="shared" ref="K324:K387" si="207">IF(I324=0,0,-$C$19)*H324</f>
        <v>-20</v>
      </c>
      <c r="L324" s="163">
        <f t="shared" si="185"/>
        <v>-313.03627510591406</v>
      </c>
      <c r="M324" s="163">
        <f t="shared" si="201"/>
        <v>0</v>
      </c>
      <c r="N324" s="163">
        <f t="shared" si="186"/>
        <v>-356.86135362074214</v>
      </c>
      <c r="O324" s="84">
        <f t="shared" ref="O324:O387" si="208">-MIN(
IF(MOD(E324-1,IF($C$7="Annual",12,1))=0,1,0)
*IF(F324&lt;=$C$6,H324*$C$5*$C$4/IF($C$7="Monthly",12,1),$C$12),I324)</f>
        <v>-6234.7220095610019</v>
      </c>
      <c r="P324" s="31">
        <f t="shared" ref="P324:P387" si="209">SUM(I324:O324)</f>
        <v>370547.3743662468</v>
      </c>
      <c r="Q324" s="5"/>
      <c r="R324">
        <f t="shared" ca="1" si="187"/>
        <v>441</v>
      </c>
      <c r="S324" s="133">
        <f t="shared" ca="1" si="188"/>
        <v>104.6</v>
      </c>
      <c r="T324" s="132">
        <f t="shared" ref="T324:T387" ca="1" si="210">(1-(1-IF(S324&gt;$AK$90,0,VLOOKUP(ROUND(S324,0),$AK$4:$AL$90,2,FALSE)))^(1/12))</f>
        <v>0</v>
      </c>
      <c r="U324" s="133">
        <f t="shared" ca="1" si="195"/>
        <v>1.9008342029825436E-4</v>
      </c>
      <c r="V324" s="31">
        <f t="shared" ca="1" si="189"/>
        <v>0</v>
      </c>
      <c r="W324" s="31">
        <f t="shared" ref="W324:W387" ca="1" si="211">(V324)*$AV324</f>
        <v>0</v>
      </c>
      <c r="X324" s="163">
        <f t="shared" ca="1" si="196"/>
        <v>0</v>
      </c>
      <c r="Y324" s="163">
        <f t="shared" ca="1" si="197"/>
        <v>0</v>
      </c>
      <c r="Z324" s="163">
        <f t="shared" ca="1" si="190"/>
        <v>0</v>
      </c>
      <c r="AA324" s="163">
        <f t="shared" ca="1" si="198"/>
        <v>0</v>
      </c>
      <c r="AB324" s="84">
        <f t="shared" ref="AB324:AB387" ca="1" si="212">-MIN(IF(MOD(R324,IF($C$7="Annual",12,1))=0,1,0)*$C$39*U324/IF($C$7="Monthly",12,1),V324)</f>
        <v>0</v>
      </c>
      <c r="AC324" s="160">
        <f t="shared" ref="AC324:AC387" si="213">IF($C$8="Yes",-V324*T324,0)</f>
        <v>0</v>
      </c>
      <c r="AD324" s="31">
        <f t="shared" ref="AD324:AD387" ca="1" si="214">SUM(V324:AC324)</f>
        <v>0</v>
      </c>
      <c r="AE324" s="5"/>
      <c r="AF324" s="151">
        <f t="shared" ref="AF324:AF387" ca="1" si="215">AB324/U324</f>
        <v>0</v>
      </c>
      <c r="AG324" s="151">
        <f t="shared" ref="AG324:AG387" ca="1" si="216">AD324/U324</f>
        <v>0</v>
      </c>
      <c r="AH324" s="5"/>
      <c r="AI324" s="5"/>
      <c r="AS324" s="55">
        <f t="shared" si="191"/>
        <v>27</v>
      </c>
      <c r="AT324" s="56">
        <f t="shared" si="199"/>
        <v>321</v>
      </c>
      <c r="AU324" s="57">
        <f t="shared" si="204"/>
        <v>0.20881661529193785</v>
      </c>
      <c r="AV324" s="58">
        <f t="shared" si="192"/>
        <v>4.8675505653430484E-3</v>
      </c>
      <c r="AW324" s="59">
        <f t="shared" si="193"/>
        <v>1.004867550565343</v>
      </c>
      <c r="AX324" s="60">
        <f>PRODUCT(AW$4:AW324)</f>
        <v>4.7526069178905637</v>
      </c>
    </row>
    <row r="325" spans="5:50">
      <c r="E325">
        <f t="shared" si="203"/>
        <v>322</v>
      </c>
      <c r="F325" s="9">
        <f t="shared" si="194"/>
        <v>95.749999999998479</v>
      </c>
      <c r="G325" s="132">
        <f t="shared" si="205"/>
        <v>0</v>
      </c>
      <c r="H325" s="133">
        <f t="shared" si="200"/>
        <v>1</v>
      </c>
      <c r="I325" s="31">
        <f t="shared" ref="I325:I388" si="217">MAX(P324,0)*(1-G325)</f>
        <v>370547.3743662468</v>
      </c>
      <c r="J325" s="31">
        <f t="shared" si="206"/>
        <v>1803.6580815828067</v>
      </c>
      <c r="K325" s="163">
        <f t="shared" si="207"/>
        <v>-20</v>
      </c>
      <c r="L325" s="163">
        <f t="shared" ref="L325:L388" si="218">IF(OR(I324+O324=0,K324=0),0,-I325*($C$16/12))</f>
        <v>-308.78947863853904</v>
      </c>
      <c r="M325" s="163">
        <f t="shared" si="201"/>
        <v>0</v>
      </c>
      <c r="N325" s="163">
        <f t="shared" ref="N325:N388" si="219">IF(OR(I324+O324=0,K324=0),0,-I325*($C$18*(1+$C$20))/12)</f>
        <v>-352.02000564793457</v>
      </c>
      <c r="O325" s="84">
        <f t="shared" si="208"/>
        <v>-6234.7220095610019</v>
      </c>
      <c r="P325" s="31">
        <f t="shared" si="209"/>
        <v>365435.50095398212</v>
      </c>
      <c r="Q325" s="5"/>
      <c r="R325">
        <f t="shared" ref="R325:R388" ca="1" si="220">R324+1</f>
        <v>442</v>
      </c>
      <c r="S325" s="133">
        <f t="shared" ref="S325:S388" ca="1" si="221">ROUND((R325-R324)/12+S324,2)</f>
        <v>104.68</v>
      </c>
      <c r="T325" s="132">
        <f t="shared" ca="1" si="210"/>
        <v>0</v>
      </c>
      <c r="U325" s="133">
        <f t="shared" ca="1" si="195"/>
        <v>1.9008342029825436E-4</v>
      </c>
      <c r="V325" s="31">
        <f t="shared" ref="V325:V388" ca="1" si="222">MAX(AD324,0)*(1-T325)</f>
        <v>0</v>
      </c>
      <c r="W325" s="31">
        <f t="shared" ca="1" si="211"/>
        <v>0</v>
      </c>
      <c r="X325" s="163">
        <f t="shared" ca="1" si="196"/>
        <v>0</v>
      </c>
      <c r="Y325" s="163">
        <f t="shared" ca="1" si="197"/>
        <v>0</v>
      </c>
      <c r="Z325" s="163">
        <f t="shared" ref="Z325:Z388" ca="1" si="223">IF(OR(V324+AB324=0,X324=0),0,-IF(MOD(E325,12)=0,1,0)*V325*($C$17))</f>
        <v>0</v>
      </c>
      <c r="AA325" s="163">
        <f t="shared" ca="1" si="198"/>
        <v>0</v>
      </c>
      <c r="AB325" s="84">
        <f t="shared" ca="1" si="212"/>
        <v>0</v>
      </c>
      <c r="AC325" s="160">
        <f t="shared" si="213"/>
        <v>0</v>
      </c>
      <c r="AD325" s="31">
        <f t="shared" ca="1" si="214"/>
        <v>0</v>
      </c>
      <c r="AE325" s="5"/>
      <c r="AF325" s="151">
        <f t="shared" ca="1" si="215"/>
        <v>0</v>
      </c>
      <c r="AG325" s="151">
        <f t="shared" ca="1" si="216"/>
        <v>0</v>
      </c>
      <c r="AH325" s="5"/>
      <c r="AI325" s="5"/>
      <c r="AS325" s="55">
        <f t="shared" ref="AS325:AS388" si="224">ROUNDDOWN((AT325-1)/12,0)+1</f>
        <v>27</v>
      </c>
      <c r="AT325" s="56">
        <f t="shared" si="199"/>
        <v>322</v>
      </c>
      <c r="AU325" s="57">
        <f t="shared" si="204"/>
        <v>0.20780018985812054</v>
      </c>
      <c r="AV325" s="58">
        <f t="shared" ref="AV325:AV388" si="225">((1+$AV$1)^(1/12))-1</f>
        <v>4.8675505653430484E-3</v>
      </c>
      <c r="AW325" s="59">
        <f t="shared" ref="AW325:AW388" si="226">(1+AV325)</f>
        <v>1.004867550565343</v>
      </c>
      <c r="AX325" s="60">
        <f>PRODUCT(AW$4:AW325)</f>
        <v>4.775740472380595</v>
      </c>
    </row>
    <row r="326" spans="5:50">
      <c r="E326">
        <f t="shared" si="203"/>
        <v>323</v>
      </c>
      <c r="F326" s="9">
        <f t="shared" ref="F326:F389" si="227">1/12+F325</f>
        <v>95.833333333331808</v>
      </c>
      <c r="G326" s="132">
        <f t="shared" si="205"/>
        <v>0</v>
      </c>
      <c r="H326" s="133">
        <f t="shared" si="200"/>
        <v>1</v>
      </c>
      <c r="I326" s="31">
        <f t="shared" si="217"/>
        <v>365435.50095398212</v>
      </c>
      <c r="J326" s="31">
        <f t="shared" si="206"/>
        <v>1778.7757792649759</v>
      </c>
      <c r="K326" s="163">
        <f t="shared" si="207"/>
        <v>-20</v>
      </c>
      <c r="L326" s="163">
        <f t="shared" si="218"/>
        <v>-304.52958412831845</v>
      </c>
      <c r="M326" s="163">
        <f t="shared" si="201"/>
        <v>0</v>
      </c>
      <c r="N326" s="163">
        <f t="shared" si="219"/>
        <v>-347.1637259062831</v>
      </c>
      <c r="O326" s="84">
        <f t="shared" si="208"/>
        <v>-6234.7220095610019</v>
      </c>
      <c r="P326" s="31">
        <f t="shared" si="209"/>
        <v>360307.8614136515</v>
      </c>
      <c r="Q326" s="5"/>
      <c r="R326">
        <f t="shared" ca="1" si="220"/>
        <v>443</v>
      </c>
      <c r="S326" s="133">
        <f t="shared" ca="1" si="221"/>
        <v>104.76</v>
      </c>
      <c r="T326" s="132">
        <f t="shared" ca="1" si="210"/>
        <v>0</v>
      </c>
      <c r="U326" s="133">
        <f t="shared" ref="U326:U389" ca="1" si="228">U325*(1-T326)</f>
        <v>1.9008342029825436E-4</v>
      </c>
      <c r="V326" s="31">
        <f t="shared" ca="1" si="222"/>
        <v>0</v>
      </c>
      <c r="W326" s="31">
        <f t="shared" ca="1" si="211"/>
        <v>0</v>
      </c>
      <c r="X326" s="163">
        <f t="shared" ref="X326:X389" ca="1" si="229">IF(V326=0,0,-$C$19)*U326</f>
        <v>0</v>
      </c>
      <c r="Y326" s="163">
        <f t="shared" ref="Y326:Y389" ca="1" si="230">IF(OR(V325+AB325=0,X325=0),0,-V326*($C$16/12))</f>
        <v>0</v>
      </c>
      <c r="Z326" s="163">
        <f t="shared" ca="1" si="223"/>
        <v>0</v>
      </c>
      <c r="AA326" s="163">
        <f t="shared" ref="AA326:AA389" ca="1" si="231">IF(OR(V325+AB325=0,X325=0),0,-V326*($C$18*(1+$C$20))/12)</f>
        <v>0</v>
      </c>
      <c r="AB326" s="84">
        <f t="shared" ca="1" si="212"/>
        <v>0</v>
      </c>
      <c r="AC326" s="160">
        <f t="shared" si="213"/>
        <v>0</v>
      </c>
      <c r="AD326" s="31">
        <f t="shared" ca="1" si="214"/>
        <v>0</v>
      </c>
      <c r="AE326" s="5"/>
      <c r="AF326" s="151">
        <f t="shared" ca="1" si="215"/>
        <v>0</v>
      </c>
      <c r="AG326" s="151">
        <f t="shared" ca="1" si="216"/>
        <v>0</v>
      </c>
      <c r="AH326" s="5"/>
      <c r="AI326" s="5"/>
      <c r="AS326" s="55">
        <f t="shared" si="224"/>
        <v>27</v>
      </c>
      <c r="AT326" s="56">
        <f t="shared" ref="AT326:AT389" si="232">AT325+1</f>
        <v>323</v>
      </c>
      <c r="AU326" s="57">
        <f t="shared" si="204"/>
        <v>0.20678871192649825</v>
      </c>
      <c r="AV326" s="58">
        <f t="shared" si="225"/>
        <v>4.8675505653430484E-3</v>
      </c>
      <c r="AW326" s="59">
        <f t="shared" si="226"/>
        <v>1.004867550565343</v>
      </c>
      <c r="AX326" s="60">
        <f>PRODUCT(AW$4:AW326)</f>
        <v>4.7989866306168629</v>
      </c>
    </row>
    <row r="327" spans="5:50">
      <c r="E327">
        <f t="shared" si="203"/>
        <v>324</v>
      </c>
      <c r="F327" s="9">
        <f t="shared" si="227"/>
        <v>95.916666666665137</v>
      </c>
      <c r="G327" s="132">
        <f t="shared" si="205"/>
        <v>0</v>
      </c>
      <c r="H327" s="133">
        <f t="shared" ref="H327:H390" si="233">H326*(1-G327)</f>
        <v>1</v>
      </c>
      <c r="I327" s="31">
        <f t="shared" si="217"/>
        <v>360307.8614136515</v>
      </c>
      <c r="J327" s="31">
        <f t="shared" si="206"/>
        <v>1753.8167345215641</v>
      </c>
      <c r="K327" s="163">
        <f t="shared" si="207"/>
        <v>-20</v>
      </c>
      <c r="L327" s="163">
        <f t="shared" si="218"/>
        <v>-300.25655117804291</v>
      </c>
      <c r="M327" s="163">
        <f t="shared" si="201"/>
        <v>0</v>
      </c>
      <c r="N327" s="163">
        <f t="shared" si="219"/>
        <v>-342.29246834296896</v>
      </c>
      <c r="O327" s="84">
        <f t="shared" si="208"/>
        <v>-6234.7220095610019</v>
      </c>
      <c r="P327" s="31">
        <f t="shared" si="209"/>
        <v>355164.40711909102</v>
      </c>
      <c r="Q327" s="5"/>
      <c r="R327">
        <f t="shared" ca="1" si="220"/>
        <v>444</v>
      </c>
      <c r="S327" s="133">
        <f t="shared" ca="1" si="221"/>
        <v>104.84</v>
      </c>
      <c r="T327" s="132">
        <f t="shared" ca="1" si="210"/>
        <v>0</v>
      </c>
      <c r="U327" s="133">
        <f t="shared" ca="1" si="228"/>
        <v>1.9008342029825436E-4</v>
      </c>
      <c r="V327" s="31">
        <f t="shared" ca="1" si="222"/>
        <v>0</v>
      </c>
      <c r="W327" s="31">
        <f t="shared" ca="1" si="211"/>
        <v>0</v>
      </c>
      <c r="X327" s="163">
        <f t="shared" ca="1" si="229"/>
        <v>0</v>
      </c>
      <c r="Y327" s="163">
        <f t="shared" ca="1" si="230"/>
        <v>0</v>
      </c>
      <c r="Z327" s="163">
        <f t="shared" ca="1" si="223"/>
        <v>0</v>
      </c>
      <c r="AA327" s="163">
        <f t="shared" ca="1" si="231"/>
        <v>0</v>
      </c>
      <c r="AB327" s="84">
        <f t="shared" ca="1" si="212"/>
        <v>0</v>
      </c>
      <c r="AC327" s="160">
        <f t="shared" si="213"/>
        <v>0</v>
      </c>
      <c r="AD327" s="31">
        <f t="shared" ca="1" si="214"/>
        <v>0</v>
      </c>
      <c r="AE327" s="5"/>
      <c r="AF327" s="151">
        <f t="shared" ca="1" si="215"/>
        <v>0</v>
      </c>
      <c r="AG327" s="151">
        <f t="shared" ca="1" si="216"/>
        <v>0</v>
      </c>
      <c r="AH327" s="5"/>
      <c r="AI327" s="5"/>
      <c r="AS327" s="55">
        <f t="shared" si="224"/>
        <v>27</v>
      </c>
      <c r="AT327" s="56">
        <f t="shared" si="232"/>
        <v>324</v>
      </c>
      <c r="AU327" s="57">
        <f t="shared" si="204"/>
        <v>0.20578215741485387</v>
      </c>
      <c r="AV327" s="58">
        <f t="shared" si="225"/>
        <v>4.8675505653430484E-3</v>
      </c>
      <c r="AW327" s="59">
        <f t="shared" si="226"/>
        <v>1.004867550565343</v>
      </c>
      <c r="AX327" s="60">
        <f>PRODUCT(AW$4:AW327)</f>
        <v>4.8223459407037961</v>
      </c>
    </row>
    <row r="328" spans="5:50">
      <c r="E328">
        <f t="shared" si="203"/>
        <v>325</v>
      </c>
      <c r="F328" s="9">
        <f t="shared" si="227"/>
        <v>95.999999999998465</v>
      </c>
      <c r="G328" s="132">
        <f t="shared" si="205"/>
        <v>0</v>
      </c>
      <c r="H328" s="133">
        <f t="shared" si="233"/>
        <v>1</v>
      </c>
      <c r="I328" s="31">
        <f t="shared" si="217"/>
        <v>355164.40711909102</v>
      </c>
      <c r="J328" s="31">
        <f t="shared" si="206"/>
        <v>1728.7807106622602</v>
      </c>
      <c r="K328" s="163">
        <f t="shared" si="207"/>
        <v>-20</v>
      </c>
      <c r="L328" s="163">
        <f t="shared" si="218"/>
        <v>-295.97033926590922</v>
      </c>
      <c r="M328" s="163">
        <f t="shared" si="201"/>
        <v>-2663.7330533931827</v>
      </c>
      <c r="N328" s="163">
        <f t="shared" si="219"/>
        <v>-337.40618676313653</v>
      </c>
      <c r="O328" s="84">
        <f t="shared" si="208"/>
        <v>-6234.7220095610019</v>
      </c>
      <c r="P328" s="31">
        <f t="shared" si="209"/>
        <v>347341.35624077002</v>
      </c>
      <c r="Q328" s="5"/>
      <c r="R328">
        <f t="shared" ca="1" si="220"/>
        <v>445</v>
      </c>
      <c r="S328" s="133">
        <f t="shared" ca="1" si="221"/>
        <v>104.92</v>
      </c>
      <c r="T328" s="132">
        <f t="shared" ca="1" si="210"/>
        <v>0</v>
      </c>
      <c r="U328" s="133">
        <f t="shared" ca="1" si="228"/>
        <v>1.9008342029825436E-4</v>
      </c>
      <c r="V328" s="31">
        <f t="shared" ca="1" si="222"/>
        <v>0</v>
      </c>
      <c r="W328" s="31">
        <f t="shared" ca="1" si="211"/>
        <v>0</v>
      </c>
      <c r="X328" s="163">
        <f t="shared" ca="1" si="229"/>
        <v>0</v>
      </c>
      <c r="Y328" s="163">
        <f t="shared" ca="1" si="230"/>
        <v>0</v>
      </c>
      <c r="Z328" s="163">
        <f t="shared" ca="1" si="223"/>
        <v>0</v>
      </c>
      <c r="AA328" s="163">
        <f t="shared" ca="1" si="231"/>
        <v>0</v>
      </c>
      <c r="AB328" s="84">
        <f t="shared" ca="1" si="212"/>
        <v>0</v>
      </c>
      <c r="AC328" s="160">
        <f t="shared" si="213"/>
        <v>0</v>
      </c>
      <c r="AD328" s="31">
        <f t="shared" ca="1" si="214"/>
        <v>0</v>
      </c>
      <c r="AE328" s="5"/>
      <c r="AF328" s="151">
        <f t="shared" ca="1" si="215"/>
        <v>0</v>
      </c>
      <c r="AG328" s="151">
        <f t="shared" ca="1" si="216"/>
        <v>0</v>
      </c>
      <c r="AH328" s="5"/>
      <c r="AI328" s="5"/>
      <c r="AS328" s="55">
        <f t="shared" si="224"/>
        <v>28</v>
      </c>
      <c r="AT328" s="56">
        <f t="shared" si="232"/>
        <v>325</v>
      </c>
      <c r="AU328" s="57">
        <f t="shared" si="204"/>
        <v>0.20478050235819167</v>
      </c>
      <c r="AV328" s="58">
        <f t="shared" si="225"/>
        <v>4.8675505653430484E-3</v>
      </c>
      <c r="AW328" s="59">
        <f t="shared" si="226"/>
        <v>1.004867550565343</v>
      </c>
      <c r="AX328" s="60">
        <f>PRODUCT(AW$4:AW328)</f>
        <v>4.8458189534137484</v>
      </c>
    </row>
    <row r="329" spans="5:50">
      <c r="E329">
        <f t="shared" si="203"/>
        <v>326</v>
      </c>
      <c r="F329" s="9">
        <f t="shared" si="227"/>
        <v>96.083333333331794</v>
      </c>
      <c r="G329" s="132">
        <f t="shared" si="205"/>
        <v>0</v>
      </c>
      <c r="H329" s="133">
        <f t="shared" si="233"/>
        <v>1</v>
      </c>
      <c r="I329" s="31">
        <f t="shared" si="217"/>
        <v>347341.35624077002</v>
      </c>
      <c r="J329" s="31">
        <f t="shared" si="206"/>
        <v>1690.7016149367812</v>
      </c>
      <c r="K329" s="163">
        <f t="shared" si="207"/>
        <v>-20</v>
      </c>
      <c r="L329" s="163">
        <f t="shared" si="218"/>
        <v>-289.45113020064173</v>
      </c>
      <c r="M329" s="163">
        <f t="shared" si="201"/>
        <v>0</v>
      </c>
      <c r="N329" s="163">
        <f t="shared" si="219"/>
        <v>-329.9742884287316</v>
      </c>
      <c r="O329" s="84">
        <f t="shared" si="208"/>
        <v>-6234.7220095610019</v>
      </c>
      <c r="P329" s="31">
        <f t="shared" si="209"/>
        <v>342157.91042751638</v>
      </c>
      <c r="Q329" s="5"/>
      <c r="R329">
        <f t="shared" ca="1" si="220"/>
        <v>446</v>
      </c>
      <c r="S329" s="133">
        <f t="shared" ca="1" si="221"/>
        <v>105</v>
      </c>
      <c r="T329" s="132">
        <f t="shared" ca="1" si="210"/>
        <v>0</v>
      </c>
      <c r="U329" s="133">
        <f t="shared" ca="1" si="228"/>
        <v>1.9008342029825436E-4</v>
      </c>
      <c r="V329" s="31">
        <f t="shared" ca="1" si="222"/>
        <v>0</v>
      </c>
      <c r="W329" s="31">
        <f t="shared" ca="1" si="211"/>
        <v>0</v>
      </c>
      <c r="X329" s="163">
        <f t="shared" ca="1" si="229"/>
        <v>0</v>
      </c>
      <c r="Y329" s="163">
        <f t="shared" ca="1" si="230"/>
        <v>0</v>
      </c>
      <c r="Z329" s="163">
        <f t="shared" ca="1" si="223"/>
        <v>0</v>
      </c>
      <c r="AA329" s="163">
        <f t="shared" ca="1" si="231"/>
        <v>0</v>
      </c>
      <c r="AB329" s="84">
        <f t="shared" ca="1" si="212"/>
        <v>0</v>
      </c>
      <c r="AC329" s="160">
        <f t="shared" si="213"/>
        <v>0</v>
      </c>
      <c r="AD329" s="31">
        <f t="shared" ca="1" si="214"/>
        <v>0</v>
      </c>
      <c r="AE329" s="5"/>
      <c r="AF329" s="151">
        <f t="shared" ca="1" si="215"/>
        <v>0</v>
      </c>
      <c r="AG329" s="151">
        <f t="shared" ca="1" si="216"/>
        <v>0</v>
      </c>
      <c r="AH329" s="5"/>
      <c r="AI329" s="5"/>
      <c r="AS329" s="55">
        <f t="shared" si="224"/>
        <v>28</v>
      </c>
      <c r="AT329" s="56">
        <f t="shared" si="232"/>
        <v>326</v>
      </c>
      <c r="AU329" s="57">
        <f t="shared" si="204"/>
        <v>0.20378372290816682</v>
      </c>
      <c r="AV329" s="58">
        <f t="shared" si="225"/>
        <v>4.8675505653430484E-3</v>
      </c>
      <c r="AW329" s="59">
        <f t="shared" si="226"/>
        <v>1.004867550565343</v>
      </c>
      <c r="AX329" s="60">
        <f>PRODUCT(AW$4:AW329)</f>
        <v>4.8694062221999879</v>
      </c>
    </row>
    <row r="330" spans="5:50">
      <c r="E330">
        <f t="shared" si="203"/>
        <v>327</v>
      </c>
      <c r="F330" s="9">
        <f t="shared" si="227"/>
        <v>96.166666666665122</v>
      </c>
      <c r="G330" s="132">
        <f t="shared" si="205"/>
        <v>0</v>
      </c>
      <c r="H330" s="133">
        <f t="shared" si="233"/>
        <v>1</v>
      </c>
      <c r="I330" s="31">
        <f t="shared" si="217"/>
        <v>342157.91042751638</v>
      </c>
      <c r="J330" s="31">
        <f t="shared" si="206"/>
        <v>1665.4709303380534</v>
      </c>
      <c r="K330" s="163">
        <f t="shared" si="207"/>
        <v>-20</v>
      </c>
      <c r="L330" s="163">
        <f t="shared" si="218"/>
        <v>-285.13159202293036</v>
      </c>
      <c r="M330" s="163">
        <f t="shared" si="201"/>
        <v>0</v>
      </c>
      <c r="N330" s="163">
        <f t="shared" si="219"/>
        <v>-325.05001490614063</v>
      </c>
      <c r="O330" s="84">
        <f t="shared" si="208"/>
        <v>-6234.7220095610019</v>
      </c>
      <c r="P330" s="31">
        <f t="shared" si="209"/>
        <v>336958.47774136433</v>
      </c>
      <c r="Q330" s="5"/>
      <c r="R330">
        <f t="shared" ca="1" si="220"/>
        <v>447</v>
      </c>
      <c r="S330" s="133">
        <f t="shared" ca="1" si="221"/>
        <v>105.08</v>
      </c>
      <c r="T330" s="132">
        <f t="shared" ca="1" si="210"/>
        <v>0</v>
      </c>
      <c r="U330" s="133">
        <f t="shared" ca="1" si="228"/>
        <v>1.9008342029825436E-4</v>
      </c>
      <c r="V330" s="31">
        <f t="shared" ca="1" si="222"/>
        <v>0</v>
      </c>
      <c r="W330" s="31">
        <f t="shared" ca="1" si="211"/>
        <v>0</v>
      </c>
      <c r="X330" s="163">
        <f t="shared" ca="1" si="229"/>
        <v>0</v>
      </c>
      <c r="Y330" s="163">
        <f t="shared" ca="1" si="230"/>
        <v>0</v>
      </c>
      <c r="Z330" s="163">
        <f t="shared" ca="1" si="223"/>
        <v>0</v>
      </c>
      <c r="AA330" s="163">
        <f t="shared" ca="1" si="231"/>
        <v>0</v>
      </c>
      <c r="AB330" s="84">
        <f t="shared" ca="1" si="212"/>
        <v>0</v>
      </c>
      <c r="AC330" s="160">
        <f t="shared" si="213"/>
        <v>0</v>
      </c>
      <c r="AD330" s="31">
        <f t="shared" ca="1" si="214"/>
        <v>0</v>
      </c>
      <c r="AE330" s="5"/>
      <c r="AF330" s="151">
        <f t="shared" ca="1" si="215"/>
        <v>0</v>
      </c>
      <c r="AG330" s="151">
        <f t="shared" ca="1" si="216"/>
        <v>0</v>
      </c>
      <c r="AH330" s="5"/>
      <c r="AI330" s="5"/>
      <c r="AS330" s="55">
        <f t="shared" si="224"/>
        <v>28</v>
      </c>
      <c r="AT330" s="56">
        <f t="shared" si="232"/>
        <v>327</v>
      </c>
      <c r="AU330" s="57">
        <f t="shared" si="204"/>
        <v>0.20279179533251745</v>
      </c>
      <c r="AV330" s="58">
        <f t="shared" si="225"/>
        <v>4.8675505653430484E-3</v>
      </c>
      <c r="AW330" s="59">
        <f t="shared" si="226"/>
        <v>1.004867550565343</v>
      </c>
      <c r="AX330" s="60">
        <f>PRODUCT(AW$4:AW330)</f>
        <v>4.8931083032097424</v>
      </c>
    </row>
    <row r="331" spans="5:50">
      <c r="E331">
        <f t="shared" si="203"/>
        <v>328</v>
      </c>
      <c r="F331" s="9">
        <f t="shared" si="227"/>
        <v>96.249999999998451</v>
      </c>
      <c r="G331" s="132">
        <f t="shared" si="205"/>
        <v>0</v>
      </c>
      <c r="H331" s="133">
        <f t="shared" si="233"/>
        <v>1</v>
      </c>
      <c r="I331" s="31">
        <f t="shared" si="217"/>
        <v>336958.47774136433</v>
      </c>
      <c r="J331" s="31">
        <f t="shared" si="206"/>
        <v>1640.1624288271109</v>
      </c>
      <c r="K331" s="163">
        <f t="shared" si="207"/>
        <v>-20</v>
      </c>
      <c r="L331" s="163">
        <f t="shared" si="218"/>
        <v>-280.79873145113697</v>
      </c>
      <c r="M331" s="163">
        <f t="shared" si="201"/>
        <v>0</v>
      </c>
      <c r="N331" s="163">
        <f t="shared" si="219"/>
        <v>-320.11055385429614</v>
      </c>
      <c r="O331" s="84">
        <f t="shared" si="208"/>
        <v>-6234.7220095610019</v>
      </c>
      <c r="P331" s="31">
        <f t="shared" si="209"/>
        <v>331743.00887532491</v>
      </c>
      <c r="Q331" s="5"/>
      <c r="R331">
        <f t="shared" ca="1" si="220"/>
        <v>448</v>
      </c>
      <c r="S331" s="133">
        <f t="shared" ca="1" si="221"/>
        <v>105.16</v>
      </c>
      <c r="T331" s="132">
        <f t="shared" ca="1" si="210"/>
        <v>0</v>
      </c>
      <c r="U331" s="133">
        <f t="shared" ca="1" si="228"/>
        <v>1.9008342029825436E-4</v>
      </c>
      <c r="V331" s="31">
        <f t="shared" ca="1" si="222"/>
        <v>0</v>
      </c>
      <c r="W331" s="31">
        <f t="shared" ca="1" si="211"/>
        <v>0</v>
      </c>
      <c r="X331" s="163">
        <f t="shared" ca="1" si="229"/>
        <v>0</v>
      </c>
      <c r="Y331" s="163">
        <f t="shared" ca="1" si="230"/>
        <v>0</v>
      </c>
      <c r="Z331" s="163">
        <f t="shared" ca="1" si="223"/>
        <v>0</v>
      </c>
      <c r="AA331" s="163">
        <f t="shared" ca="1" si="231"/>
        <v>0</v>
      </c>
      <c r="AB331" s="84">
        <f t="shared" ca="1" si="212"/>
        <v>0</v>
      </c>
      <c r="AC331" s="160">
        <f t="shared" si="213"/>
        <v>0</v>
      </c>
      <c r="AD331" s="31">
        <f t="shared" ca="1" si="214"/>
        <v>0</v>
      </c>
      <c r="AE331" s="5"/>
      <c r="AF331" s="151">
        <f t="shared" ca="1" si="215"/>
        <v>0</v>
      </c>
      <c r="AG331" s="151">
        <f t="shared" ca="1" si="216"/>
        <v>0</v>
      </c>
      <c r="AH331" s="5"/>
      <c r="AI331" s="5"/>
      <c r="AS331" s="55">
        <f t="shared" si="224"/>
        <v>28</v>
      </c>
      <c r="AT331" s="56">
        <f t="shared" si="232"/>
        <v>328</v>
      </c>
      <c r="AU331" s="57">
        <f t="shared" si="204"/>
        <v>0.20180469601449974</v>
      </c>
      <c r="AV331" s="58">
        <f t="shared" si="225"/>
        <v>4.8675505653430484E-3</v>
      </c>
      <c r="AW331" s="59">
        <f t="shared" si="226"/>
        <v>1.004867550565343</v>
      </c>
      <c r="AX331" s="60">
        <f>PRODUCT(AW$4:AW331)</f>
        <v>4.9169257552973153</v>
      </c>
    </row>
    <row r="332" spans="5:50">
      <c r="E332">
        <f t="shared" si="203"/>
        <v>329</v>
      </c>
      <c r="F332" s="9">
        <f t="shared" si="227"/>
        <v>96.33333333333178</v>
      </c>
      <c r="G332" s="132">
        <f t="shared" si="205"/>
        <v>0</v>
      </c>
      <c r="H332" s="133">
        <f t="shared" si="233"/>
        <v>1</v>
      </c>
      <c r="I332" s="31">
        <f t="shared" si="217"/>
        <v>331743.00887532491</v>
      </c>
      <c r="J332" s="31">
        <f t="shared" si="206"/>
        <v>1614.7758703996917</v>
      </c>
      <c r="K332" s="163">
        <f t="shared" si="207"/>
        <v>-20</v>
      </c>
      <c r="L332" s="163">
        <f t="shared" si="218"/>
        <v>-276.45250739610412</v>
      </c>
      <c r="M332" s="163">
        <f t="shared" si="201"/>
        <v>0</v>
      </c>
      <c r="N332" s="163">
        <f t="shared" si="219"/>
        <v>-315.15585843155873</v>
      </c>
      <c r="O332" s="84">
        <f t="shared" si="208"/>
        <v>-6234.7220095610019</v>
      </c>
      <c r="P332" s="31">
        <f t="shared" si="209"/>
        <v>326511.45437033591</v>
      </c>
      <c r="Q332" s="5"/>
      <c r="R332">
        <f t="shared" ca="1" si="220"/>
        <v>449</v>
      </c>
      <c r="S332" s="133">
        <f t="shared" ca="1" si="221"/>
        <v>105.24</v>
      </c>
      <c r="T332" s="132">
        <f t="shared" ca="1" si="210"/>
        <v>0</v>
      </c>
      <c r="U332" s="133">
        <f t="shared" ca="1" si="228"/>
        <v>1.9008342029825436E-4</v>
      </c>
      <c r="V332" s="31">
        <f t="shared" ca="1" si="222"/>
        <v>0</v>
      </c>
      <c r="W332" s="31">
        <f t="shared" ca="1" si="211"/>
        <v>0</v>
      </c>
      <c r="X332" s="163">
        <f t="shared" ca="1" si="229"/>
        <v>0</v>
      </c>
      <c r="Y332" s="163">
        <f t="shared" ca="1" si="230"/>
        <v>0</v>
      </c>
      <c r="Z332" s="163">
        <f t="shared" ca="1" si="223"/>
        <v>0</v>
      </c>
      <c r="AA332" s="163">
        <f t="shared" ca="1" si="231"/>
        <v>0</v>
      </c>
      <c r="AB332" s="84">
        <f t="shared" ca="1" si="212"/>
        <v>0</v>
      </c>
      <c r="AC332" s="160">
        <f t="shared" si="213"/>
        <v>0</v>
      </c>
      <c r="AD332" s="31">
        <f t="shared" ca="1" si="214"/>
        <v>0</v>
      </c>
      <c r="AE332" s="5"/>
      <c r="AF332" s="151">
        <f t="shared" ca="1" si="215"/>
        <v>0</v>
      </c>
      <c r="AG332" s="151">
        <f t="shared" ca="1" si="216"/>
        <v>0</v>
      </c>
      <c r="AH332" s="5"/>
      <c r="AI332" s="5"/>
      <c r="AS332" s="55">
        <f t="shared" si="224"/>
        <v>28</v>
      </c>
      <c r="AT332" s="56">
        <f t="shared" si="232"/>
        <v>329</v>
      </c>
      <c r="AU332" s="57">
        <f t="shared" si="204"/>
        <v>0.20082240145232547</v>
      </c>
      <c r="AV332" s="58">
        <f t="shared" si="225"/>
        <v>4.8675505653430484E-3</v>
      </c>
      <c r="AW332" s="59">
        <f t="shared" si="226"/>
        <v>1.004867550565343</v>
      </c>
      <c r="AX332" s="60">
        <f>PRODUCT(AW$4:AW332)</f>
        <v>4.9408591400372623</v>
      </c>
    </row>
    <row r="333" spans="5:50">
      <c r="E333">
        <f t="shared" si="203"/>
        <v>330</v>
      </c>
      <c r="F333" s="9">
        <f t="shared" si="227"/>
        <v>96.416666666665108</v>
      </c>
      <c r="G333" s="132">
        <f t="shared" si="205"/>
        <v>0</v>
      </c>
      <c r="H333" s="133">
        <f t="shared" si="233"/>
        <v>1</v>
      </c>
      <c r="I333" s="31">
        <f t="shared" si="217"/>
        <v>326511.45437033591</v>
      </c>
      <c r="J333" s="31">
        <f t="shared" si="206"/>
        <v>1589.3110143113095</v>
      </c>
      <c r="K333" s="163">
        <f t="shared" si="207"/>
        <v>-20</v>
      </c>
      <c r="L333" s="163">
        <f t="shared" si="218"/>
        <v>-272.09287864194658</v>
      </c>
      <c r="M333" s="163">
        <f t="shared" si="201"/>
        <v>0</v>
      </c>
      <c r="N333" s="163">
        <f t="shared" si="219"/>
        <v>-310.18588165181916</v>
      </c>
      <c r="O333" s="84">
        <f t="shared" si="208"/>
        <v>-6234.7220095610019</v>
      </c>
      <c r="P333" s="31">
        <f t="shared" si="209"/>
        <v>321263.76461479242</v>
      </c>
      <c r="Q333" s="5"/>
      <c r="R333">
        <f t="shared" ca="1" si="220"/>
        <v>450</v>
      </c>
      <c r="S333" s="133">
        <f t="shared" ca="1" si="221"/>
        <v>105.32</v>
      </c>
      <c r="T333" s="132">
        <f t="shared" ca="1" si="210"/>
        <v>0</v>
      </c>
      <c r="U333" s="133">
        <f t="shared" ca="1" si="228"/>
        <v>1.9008342029825436E-4</v>
      </c>
      <c r="V333" s="31">
        <f t="shared" ca="1" si="222"/>
        <v>0</v>
      </c>
      <c r="W333" s="31">
        <f t="shared" ca="1" si="211"/>
        <v>0</v>
      </c>
      <c r="X333" s="163">
        <f t="shared" ca="1" si="229"/>
        <v>0</v>
      </c>
      <c r="Y333" s="163">
        <f t="shared" ca="1" si="230"/>
        <v>0</v>
      </c>
      <c r="Z333" s="163">
        <f t="shared" ca="1" si="223"/>
        <v>0</v>
      </c>
      <c r="AA333" s="163">
        <f t="shared" ca="1" si="231"/>
        <v>0</v>
      </c>
      <c r="AB333" s="84">
        <f t="shared" ca="1" si="212"/>
        <v>0</v>
      </c>
      <c r="AC333" s="160">
        <f t="shared" si="213"/>
        <v>0</v>
      </c>
      <c r="AD333" s="31">
        <f t="shared" ca="1" si="214"/>
        <v>0</v>
      </c>
      <c r="AE333" s="5"/>
      <c r="AF333" s="151">
        <f t="shared" ca="1" si="215"/>
        <v>0</v>
      </c>
      <c r="AG333" s="151">
        <f t="shared" ca="1" si="216"/>
        <v>0</v>
      </c>
      <c r="AH333" s="5"/>
      <c r="AI333" s="5"/>
      <c r="AS333" s="55">
        <f t="shared" si="224"/>
        <v>28</v>
      </c>
      <c r="AT333" s="56">
        <f t="shared" si="232"/>
        <v>330</v>
      </c>
      <c r="AU333" s="57">
        <f t="shared" si="204"/>
        <v>0.19984488825860264</v>
      </c>
      <c r="AV333" s="58">
        <f t="shared" si="225"/>
        <v>4.8675505653430484E-3</v>
      </c>
      <c r="AW333" s="59">
        <f t="shared" si="226"/>
        <v>1.004867550565343</v>
      </c>
      <c r="AX333" s="60">
        <f>PRODUCT(AW$4:AW333)</f>
        <v>4.9649090217376308</v>
      </c>
    </row>
    <row r="334" spans="5:50">
      <c r="E334">
        <f t="shared" si="203"/>
        <v>331</v>
      </c>
      <c r="F334" s="9">
        <f t="shared" si="227"/>
        <v>96.499999999998437</v>
      </c>
      <c r="G334" s="132">
        <f t="shared" si="205"/>
        <v>0</v>
      </c>
      <c r="H334" s="133">
        <f t="shared" si="233"/>
        <v>1</v>
      </c>
      <c r="I334" s="31">
        <f t="shared" si="217"/>
        <v>321263.76461479242</v>
      </c>
      <c r="J334" s="31">
        <f t="shared" si="206"/>
        <v>1563.7676190749689</v>
      </c>
      <c r="K334" s="163">
        <f t="shared" si="207"/>
        <v>-20</v>
      </c>
      <c r="L334" s="163">
        <f t="shared" si="218"/>
        <v>-267.71980384566035</v>
      </c>
      <c r="M334" s="163">
        <f t="shared" si="201"/>
        <v>0</v>
      </c>
      <c r="N334" s="163">
        <f t="shared" si="219"/>
        <v>-305.20057638405285</v>
      </c>
      <c r="O334" s="84">
        <f t="shared" si="208"/>
        <v>-6234.7220095610019</v>
      </c>
      <c r="P334" s="31">
        <f t="shared" si="209"/>
        <v>315999.88984407665</v>
      </c>
      <c r="Q334" s="5"/>
      <c r="R334">
        <f t="shared" ca="1" si="220"/>
        <v>451</v>
      </c>
      <c r="S334" s="133">
        <f t="shared" ca="1" si="221"/>
        <v>105.4</v>
      </c>
      <c r="T334" s="132">
        <f t="shared" ca="1" si="210"/>
        <v>0</v>
      </c>
      <c r="U334" s="133">
        <f t="shared" ca="1" si="228"/>
        <v>1.9008342029825436E-4</v>
      </c>
      <c r="V334" s="31">
        <f t="shared" ca="1" si="222"/>
        <v>0</v>
      </c>
      <c r="W334" s="31">
        <f t="shared" ca="1" si="211"/>
        <v>0</v>
      </c>
      <c r="X334" s="163">
        <f t="shared" ca="1" si="229"/>
        <v>0</v>
      </c>
      <c r="Y334" s="163">
        <f t="shared" ca="1" si="230"/>
        <v>0</v>
      </c>
      <c r="Z334" s="163">
        <f t="shared" ca="1" si="223"/>
        <v>0</v>
      </c>
      <c r="AA334" s="163">
        <f t="shared" ca="1" si="231"/>
        <v>0</v>
      </c>
      <c r="AB334" s="84">
        <f t="shared" ca="1" si="212"/>
        <v>0</v>
      </c>
      <c r="AC334" s="160">
        <f t="shared" si="213"/>
        <v>0</v>
      </c>
      <c r="AD334" s="31">
        <f t="shared" ca="1" si="214"/>
        <v>0</v>
      </c>
      <c r="AE334" s="5"/>
      <c r="AF334" s="151">
        <f t="shared" ca="1" si="215"/>
        <v>0</v>
      </c>
      <c r="AG334" s="151">
        <f t="shared" ca="1" si="216"/>
        <v>0</v>
      </c>
      <c r="AH334" s="5"/>
      <c r="AI334" s="5"/>
      <c r="AS334" s="55">
        <f t="shared" si="224"/>
        <v>28</v>
      </c>
      <c r="AT334" s="56">
        <f t="shared" si="232"/>
        <v>331</v>
      </c>
      <c r="AU334" s="57">
        <f t="shared" si="204"/>
        <v>0.19887213315977856</v>
      </c>
      <c r="AV334" s="58">
        <f t="shared" si="225"/>
        <v>4.8675505653430484E-3</v>
      </c>
      <c r="AW334" s="59">
        <f t="shared" si="226"/>
        <v>1.004867550565343</v>
      </c>
      <c r="AX334" s="60">
        <f>PRODUCT(AW$4:AW334)</f>
        <v>4.9890759674532665</v>
      </c>
    </row>
    <row r="335" spans="5:50">
      <c r="E335">
        <f t="shared" si="203"/>
        <v>332</v>
      </c>
      <c r="F335" s="9">
        <f t="shared" si="227"/>
        <v>96.583333333331765</v>
      </c>
      <c r="G335" s="132">
        <f t="shared" si="205"/>
        <v>0</v>
      </c>
      <c r="H335" s="133">
        <f t="shared" si="233"/>
        <v>1</v>
      </c>
      <c r="I335" s="31">
        <f t="shared" si="217"/>
        <v>315999.88984407665</v>
      </c>
      <c r="J335" s="31">
        <f t="shared" si="206"/>
        <v>1538.1454424588762</v>
      </c>
      <c r="K335" s="163">
        <f t="shared" si="207"/>
        <v>-20</v>
      </c>
      <c r="L335" s="163">
        <f t="shared" si="218"/>
        <v>-263.33324153673055</v>
      </c>
      <c r="M335" s="163">
        <f t="shared" si="201"/>
        <v>0</v>
      </c>
      <c r="N335" s="163">
        <f t="shared" si="219"/>
        <v>-300.19989535187284</v>
      </c>
      <c r="O335" s="84">
        <f t="shared" si="208"/>
        <v>-6234.7220095610019</v>
      </c>
      <c r="P335" s="31">
        <f t="shared" si="209"/>
        <v>310719.78014008584</v>
      </c>
      <c r="Q335" s="5"/>
      <c r="R335">
        <f t="shared" ca="1" si="220"/>
        <v>452</v>
      </c>
      <c r="S335" s="133">
        <f t="shared" ca="1" si="221"/>
        <v>105.48</v>
      </c>
      <c r="T335" s="132">
        <f t="shared" ca="1" si="210"/>
        <v>0</v>
      </c>
      <c r="U335" s="133">
        <f t="shared" ca="1" si="228"/>
        <v>1.9008342029825436E-4</v>
      </c>
      <c r="V335" s="31">
        <f t="shared" ca="1" si="222"/>
        <v>0</v>
      </c>
      <c r="W335" s="31">
        <f t="shared" ca="1" si="211"/>
        <v>0</v>
      </c>
      <c r="X335" s="163">
        <f t="shared" ca="1" si="229"/>
        <v>0</v>
      </c>
      <c r="Y335" s="163">
        <f t="shared" ca="1" si="230"/>
        <v>0</v>
      </c>
      <c r="Z335" s="163">
        <f t="shared" ca="1" si="223"/>
        <v>0</v>
      </c>
      <c r="AA335" s="163">
        <f t="shared" ca="1" si="231"/>
        <v>0</v>
      </c>
      <c r="AB335" s="84">
        <f t="shared" ca="1" si="212"/>
        <v>0</v>
      </c>
      <c r="AC335" s="160">
        <f t="shared" si="213"/>
        <v>0</v>
      </c>
      <c r="AD335" s="31">
        <f t="shared" ca="1" si="214"/>
        <v>0</v>
      </c>
      <c r="AE335" s="5"/>
      <c r="AF335" s="151">
        <f t="shared" ca="1" si="215"/>
        <v>0</v>
      </c>
      <c r="AG335" s="151">
        <f t="shared" ca="1" si="216"/>
        <v>0</v>
      </c>
      <c r="AH335" s="5"/>
      <c r="AI335" s="5"/>
      <c r="AS335" s="55">
        <f t="shared" si="224"/>
        <v>28</v>
      </c>
      <c r="AT335" s="56">
        <f t="shared" si="232"/>
        <v>332</v>
      </c>
      <c r="AU335" s="57">
        <f t="shared" si="204"/>
        <v>0.19790411299558569</v>
      </c>
      <c r="AV335" s="58">
        <f t="shared" si="225"/>
        <v>4.8675505653430484E-3</v>
      </c>
      <c r="AW335" s="59">
        <f t="shared" si="226"/>
        <v>1.004867550565343</v>
      </c>
      <c r="AX335" s="60">
        <f>PRODUCT(AW$4:AW335)</f>
        <v>5.0133605469991833</v>
      </c>
    </row>
    <row r="336" spans="5:50">
      <c r="E336">
        <f t="shared" ref="E336:E399" si="234">E335+1</f>
        <v>333</v>
      </c>
      <c r="F336" s="9">
        <f t="shared" si="227"/>
        <v>96.666666666665094</v>
      </c>
      <c r="G336" s="132">
        <f t="shared" si="205"/>
        <v>0</v>
      </c>
      <c r="H336" s="133">
        <f t="shared" si="233"/>
        <v>1</v>
      </c>
      <c r="I336" s="31">
        <f t="shared" si="217"/>
        <v>310719.78014008584</v>
      </c>
      <c r="J336" s="31">
        <f t="shared" si="206"/>
        <v>1512.4442414841426</v>
      </c>
      <c r="K336" s="163">
        <f t="shared" si="207"/>
        <v>-20</v>
      </c>
      <c r="L336" s="163">
        <f t="shared" si="218"/>
        <v>-258.9331501167382</v>
      </c>
      <c r="M336" s="163">
        <f t="shared" ref="M336:M399" si="235">IF(OR(I335+O335=0,K335=0),0,-IF(MOD(E336-1,12)=0,1,0)*I336*($C$17))</f>
        <v>0</v>
      </c>
      <c r="N336" s="163">
        <f t="shared" si="219"/>
        <v>-295.18379113308157</v>
      </c>
      <c r="O336" s="84">
        <f t="shared" si="208"/>
        <v>-6234.7220095610019</v>
      </c>
      <c r="P336" s="31">
        <f t="shared" si="209"/>
        <v>305423.38543075911</v>
      </c>
      <c r="Q336" s="5"/>
      <c r="R336">
        <f t="shared" ca="1" si="220"/>
        <v>453</v>
      </c>
      <c r="S336" s="133">
        <f t="shared" ca="1" si="221"/>
        <v>105.56</v>
      </c>
      <c r="T336" s="132">
        <f t="shared" ca="1" si="210"/>
        <v>0</v>
      </c>
      <c r="U336" s="133">
        <f t="shared" ca="1" si="228"/>
        <v>1.9008342029825436E-4</v>
      </c>
      <c r="V336" s="31">
        <f t="shared" ca="1" si="222"/>
        <v>0</v>
      </c>
      <c r="W336" s="31">
        <f t="shared" ca="1" si="211"/>
        <v>0</v>
      </c>
      <c r="X336" s="163">
        <f t="shared" ca="1" si="229"/>
        <v>0</v>
      </c>
      <c r="Y336" s="163">
        <f t="shared" ca="1" si="230"/>
        <v>0</v>
      </c>
      <c r="Z336" s="163">
        <f t="shared" ca="1" si="223"/>
        <v>0</v>
      </c>
      <c r="AA336" s="163">
        <f t="shared" ca="1" si="231"/>
        <v>0</v>
      </c>
      <c r="AB336" s="84">
        <f t="shared" ca="1" si="212"/>
        <v>0</v>
      </c>
      <c r="AC336" s="160">
        <f t="shared" si="213"/>
        <v>0</v>
      </c>
      <c r="AD336" s="31">
        <f t="shared" ca="1" si="214"/>
        <v>0</v>
      </c>
      <c r="AE336" s="5"/>
      <c r="AF336" s="151">
        <f t="shared" ca="1" si="215"/>
        <v>0</v>
      </c>
      <c r="AG336" s="151">
        <f t="shared" ca="1" si="216"/>
        <v>0</v>
      </c>
      <c r="AH336" s="5"/>
      <c r="AI336" s="5"/>
      <c r="AS336" s="55">
        <f t="shared" si="224"/>
        <v>28</v>
      </c>
      <c r="AT336" s="56">
        <f t="shared" si="232"/>
        <v>333</v>
      </c>
      <c r="AU336" s="57">
        <f t="shared" si="204"/>
        <v>0.19694080471849032</v>
      </c>
      <c r="AV336" s="58">
        <f t="shared" si="225"/>
        <v>4.8675505653430484E-3</v>
      </c>
      <c r="AW336" s="59">
        <f t="shared" si="226"/>
        <v>1.004867550565343</v>
      </c>
      <c r="AX336" s="60">
        <f>PRODUCT(AW$4:AW336)</f>
        <v>5.0377633329639977</v>
      </c>
    </row>
    <row r="337" spans="5:50">
      <c r="E337">
        <f t="shared" si="234"/>
        <v>334</v>
      </c>
      <c r="F337" s="9">
        <f t="shared" si="227"/>
        <v>96.749999999998423</v>
      </c>
      <c r="G337" s="132">
        <f t="shared" si="205"/>
        <v>0</v>
      </c>
      <c r="H337" s="133">
        <f t="shared" si="233"/>
        <v>1</v>
      </c>
      <c r="I337" s="31">
        <f t="shared" si="217"/>
        <v>305423.38543075911</v>
      </c>
      <c r="J337" s="31">
        <f t="shared" si="206"/>
        <v>1486.6637724224793</v>
      </c>
      <c r="K337" s="163">
        <f t="shared" si="207"/>
        <v>-20</v>
      </c>
      <c r="L337" s="163">
        <f t="shared" si="218"/>
        <v>-254.51948785896593</v>
      </c>
      <c r="M337" s="163">
        <f t="shared" si="235"/>
        <v>0</v>
      </c>
      <c r="N337" s="163">
        <f t="shared" si="219"/>
        <v>-290.15221615922121</v>
      </c>
      <c r="O337" s="84">
        <f t="shared" si="208"/>
        <v>-6234.7220095610019</v>
      </c>
      <c r="P337" s="31">
        <f t="shared" si="209"/>
        <v>300110.65548960236</v>
      </c>
      <c r="Q337" s="5"/>
      <c r="R337">
        <f t="shared" ca="1" si="220"/>
        <v>454</v>
      </c>
      <c r="S337" s="133">
        <f t="shared" ca="1" si="221"/>
        <v>105.64</v>
      </c>
      <c r="T337" s="132">
        <f t="shared" ca="1" si="210"/>
        <v>0</v>
      </c>
      <c r="U337" s="133">
        <f t="shared" ca="1" si="228"/>
        <v>1.9008342029825436E-4</v>
      </c>
      <c r="V337" s="31">
        <f t="shared" ca="1" si="222"/>
        <v>0</v>
      </c>
      <c r="W337" s="31">
        <f t="shared" ca="1" si="211"/>
        <v>0</v>
      </c>
      <c r="X337" s="163">
        <f t="shared" ca="1" si="229"/>
        <v>0</v>
      </c>
      <c r="Y337" s="163">
        <f t="shared" ca="1" si="230"/>
        <v>0</v>
      </c>
      <c r="Z337" s="163">
        <f t="shared" ca="1" si="223"/>
        <v>0</v>
      </c>
      <c r="AA337" s="163">
        <f t="shared" ca="1" si="231"/>
        <v>0</v>
      </c>
      <c r="AB337" s="84">
        <f t="shared" ca="1" si="212"/>
        <v>0</v>
      </c>
      <c r="AC337" s="160">
        <f t="shared" si="213"/>
        <v>0</v>
      </c>
      <c r="AD337" s="31">
        <f t="shared" ca="1" si="214"/>
        <v>0</v>
      </c>
      <c r="AE337" s="5"/>
      <c r="AF337" s="151">
        <f t="shared" ca="1" si="215"/>
        <v>0</v>
      </c>
      <c r="AG337" s="151">
        <f t="shared" ca="1" si="216"/>
        <v>0</v>
      </c>
      <c r="AH337" s="5"/>
      <c r="AI337" s="5"/>
      <c r="AS337" s="55">
        <f t="shared" si="224"/>
        <v>28</v>
      </c>
      <c r="AT337" s="56">
        <f t="shared" si="232"/>
        <v>334</v>
      </c>
      <c r="AU337" s="57">
        <f t="shared" si="204"/>
        <v>0.19598218539314372</v>
      </c>
      <c r="AV337" s="58">
        <f t="shared" si="225"/>
        <v>4.8675505653430484E-3</v>
      </c>
      <c r="AW337" s="59">
        <f t="shared" si="226"/>
        <v>1.004867550565343</v>
      </c>
      <c r="AX337" s="60">
        <f>PRODUCT(AW$4:AW337)</f>
        <v>5.062284900723431</v>
      </c>
    </row>
    <row r="338" spans="5:50">
      <c r="E338">
        <f t="shared" si="234"/>
        <v>335</v>
      </c>
      <c r="F338" s="9">
        <f t="shared" si="227"/>
        <v>96.833333333331751</v>
      </c>
      <c r="G338" s="132">
        <f t="shared" si="205"/>
        <v>0</v>
      </c>
      <c r="H338" s="133">
        <f t="shared" si="233"/>
        <v>1</v>
      </c>
      <c r="I338" s="31">
        <f t="shared" si="217"/>
        <v>300110.65548960236</v>
      </c>
      <c r="J338" s="31">
        <f t="shared" si="206"/>
        <v>1460.8037907938867</v>
      </c>
      <c r="K338" s="163">
        <f t="shared" si="207"/>
        <v>-20</v>
      </c>
      <c r="L338" s="163">
        <f t="shared" si="218"/>
        <v>-250.09221290800198</v>
      </c>
      <c r="M338" s="163">
        <f t="shared" si="235"/>
        <v>0</v>
      </c>
      <c r="N338" s="163">
        <f t="shared" si="219"/>
        <v>-285.10512271512226</v>
      </c>
      <c r="O338" s="84">
        <f t="shared" si="208"/>
        <v>-6234.7220095610019</v>
      </c>
      <c r="P338" s="31">
        <f t="shared" si="209"/>
        <v>294781.53993521206</v>
      </c>
      <c r="Q338" s="5"/>
      <c r="R338">
        <f t="shared" ca="1" si="220"/>
        <v>455</v>
      </c>
      <c r="S338" s="133">
        <f t="shared" ca="1" si="221"/>
        <v>105.72</v>
      </c>
      <c r="T338" s="132">
        <f t="shared" ca="1" si="210"/>
        <v>0</v>
      </c>
      <c r="U338" s="133">
        <f t="shared" ca="1" si="228"/>
        <v>1.9008342029825436E-4</v>
      </c>
      <c r="V338" s="31">
        <f t="shared" ca="1" si="222"/>
        <v>0</v>
      </c>
      <c r="W338" s="31">
        <f t="shared" ca="1" si="211"/>
        <v>0</v>
      </c>
      <c r="X338" s="163">
        <f t="shared" ca="1" si="229"/>
        <v>0</v>
      </c>
      <c r="Y338" s="163">
        <f t="shared" ca="1" si="230"/>
        <v>0</v>
      </c>
      <c r="Z338" s="163">
        <f t="shared" ca="1" si="223"/>
        <v>0</v>
      </c>
      <c r="AA338" s="163">
        <f t="shared" ca="1" si="231"/>
        <v>0</v>
      </c>
      <c r="AB338" s="84">
        <f t="shared" ca="1" si="212"/>
        <v>0</v>
      </c>
      <c r="AC338" s="160">
        <f t="shared" si="213"/>
        <v>0</v>
      </c>
      <c r="AD338" s="31">
        <f t="shared" ca="1" si="214"/>
        <v>0</v>
      </c>
      <c r="AE338" s="5"/>
      <c r="AF338" s="151">
        <f t="shared" ca="1" si="215"/>
        <v>0</v>
      </c>
      <c r="AG338" s="151">
        <f t="shared" ca="1" si="216"/>
        <v>0</v>
      </c>
      <c r="AH338" s="5"/>
      <c r="AI338" s="5"/>
      <c r="AS338" s="55">
        <f t="shared" si="224"/>
        <v>28</v>
      </c>
      <c r="AT338" s="56">
        <f t="shared" si="232"/>
        <v>335</v>
      </c>
      <c r="AU338" s="57">
        <f t="shared" si="204"/>
        <v>0.19502823219583615</v>
      </c>
      <c r="AV338" s="58">
        <f t="shared" si="225"/>
        <v>4.8675505653430484E-3</v>
      </c>
      <c r="AW338" s="59">
        <f t="shared" si="226"/>
        <v>1.004867550565343</v>
      </c>
      <c r="AX338" s="60">
        <f>PRODUCT(AW$4:AW338)</f>
        <v>5.0869258284538752</v>
      </c>
    </row>
    <row r="339" spans="5:50">
      <c r="E339">
        <f t="shared" si="234"/>
        <v>336</v>
      </c>
      <c r="F339" s="9">
        <f t="shared" si="227"/>
        <v>96.91666666666508</v>
      </c>
      <c r="G339" s="132">
        <f t="shared" si="205"/>
        <v>0</v>
      </c>
      <c r="H339" s="133">
        <f t="shared" si="233"/>
        <v>1</v>
      </c>
      <c r="I339" s="31">
        <f t="shared" si="217"/>
        <v>294781.53993521206</v>
      </c>
      <c r="J339" s="31">
        <f t="shared" si="206"/>
        <v>1434.8640513643359</v>
      </c>
      <c r="K339" s="163">
        <f t="shared" si="207"/>
        <v>-20</v>
      </c>
      <c r="L339" s="163">
        <f t="shared" si="218"/>
        <v>-245.6512832793434</v>
      </c>
      <c r="M339" s="163">
        <f t="shared" si="235"/>
        <v>0</v>
      </c>
      <c r="N339" s="163">
        <f t="shared" si="219"/>
        <v>-280.04246293845148</v>
      </c>
      <c r="O339" s="84">
        <f t="shared" si="208"/>
        <v>-6234.7220095610019</v>
      </c>
      <c r="P339" s="31">
        <f t="shared" si="209"/>
        <v>289435.98823079758</v>
      </c>
      <c r="Q339" s="5"/>
      <c r="R339">
        <f t="shared" ca="1" si="220"/>
        <v>456</v>
      </c>
      <c r="S339" s="133">
        <f t="shared" ca="1" si="221"/>
        <v>105.8</v>
      </c>
      <c r="T339" s="132">
        <f t="shared" ca="1" si="210"/>
        <v>0</v>
      </c>
      <c r="U339" s="133">
        <f t="shared" ca="1" si="228"/>
        <v>1.9008342029825436E-4</v>
      </c>
      <c r="V339" s="31">
        <f t="shared" ca="1" si="222"/>
        <v>0</v>
      </c>
      <c r="W339" s="31">
        <f t="shared" ca="1" si="211"/>
        <v>0</v>
      </c>
      <c r="X339" s="163">
        <f t="shared" ca="1" si="229"/>
        <v>0</v>
      </c>
      <c r="Y339" s="163">
        <f t="shared" ca="1" si="230"/>
        <v>0</v>
      </c>
      <c r="Z339" s="163">
        <f t="shared" ca="1" si="223"/>
        <v>0</v>
      </c>
      <c r="AA339" s="163">
        <f t="shared" ca="1" si="231"/>
        <v>0</v>
      </c>
      <c r="AB339" s="84">
        <f t="shared" ca="1" si="212"/>
        <v>0</v>
      </c>
      <c r="AC339" s="160">
        <f t="shared" si="213"/>
        <v>0</v>
      </c>
      <c r="AD339" s="31">
        <f t="shared" ca="1" si="214"/>
        <v>0</v>
      </c>
      <c r="AE339" s="5"/>
      <c r="AF339" s="151">
        <f t="shared" ca="1" si="215"/>
        <v>0</v>
      </c>
      <c r="AG339" s="151">
        <f t="shared" ca="1" si="216"/>
        <v>0</v>
      </c>
      <c r="AH339" s="5"/>
      <c r="AI339" s="5"/>
      <c r="AS339" s="55">
        <f t="shared" si="224"/>
        <v>28</v>
      </c>
      <c r="AT339" s="56">
        <f t="shared" si="232"/>
        <v>336</v>
      </c>
      <c r="AU339" s="57">
        <f t="shared" si="204"/>
        <v>0.19407892241395344</v>
      </c>
      <c r="AV339" s="58">
        <f t="shared" si="225"/>
        <v>4.8675505653430484E-3</v>
      </c>
      <c r="AW339" s="59">
        <f t="shared" si="226"/>
        <v>1.004867550565343</v>
      </c>
      <c r="AX339" s="60">
        <f>PRODUCT(AW$4:AW339)</f>
        <v>5.1116866971460242</v>
      </c>
    </row>
    <row r="340" spans="5:50">
      <c r="E340">
        <f t="shared" si="234"/>
        <v>337</v>
      </c>
      <c r="F340" s="9">
        <f t="shared" si="227"/>
        <v>96.999999999998408</v>
      </c>
      <c r="G340" s="132">
        <f t="shared" si="205"/>
        <v>0</v>
      </c>
      <c r="H340" s="133">
        <f t="shared" si="233"/>
        <v>1</v>
      </c>
      <c r="I340" s="31">
        <f t="shared" si="217"/>
        <v>289435.98823079758</v>
      </c>
      <c r="J340" s="31">
        <f t="shared" si="206"/>
        <v>1408.8443081434427</v>
      </c>
      <c r="K340" s="163">
        <f t="shared" si="207"/>
        <v>-20</v>
      </c>
      <c r="L340" s="163">
        <f t="shared" si="218"/>
        <v>-241.19665685899801</v>
      </c>
      <c r="M340" s="163">
        <f t="shared" si="235"/>
        <v>-2170.7699117309817</v>
      </c>
      <c r="N340" s="163">
        <f t="shared" si="219"/>
        <v>-274.96418881925774</v>
      </c>
      <c r="O340" s="84">
        <f t="shared" si="208"/>
        <v>-6234.7220095610019</v>
      </c>
      <c r="P340" s="31">
        <f t="shared" si="209"/>
        <v>281903.17977197072</v>
      </c>
      <c r="Q340" s="5"/>
      <c r="R340">
        <f t="shared" ca="1" si="220"/>
        <v>457</v>
      </c>
      <c r="S340" s="133">
        <f t="shared" ca="1" si="221"/>
        <v>105.88</v>
      </c>
      <c r="T340" s="132">
        <f t="shared" ca="1" si="210"/>
        <v>0</v>
      </c>
      <c r="U340" s="133">
        <f t="shared" ca="1" si="228"/>
        <v>1.9008342029825436E-4</v>
      </c>
      <c r="V340" s="31">
        <f t="shared" ca="1" si="222"/>
        <v>0</v>
      </c>
      <c r="W340" s="31">
        <f t="shared" ca="1" si="211"/>
        <v>0</v>
      </c>
      <c r="X340" s="163">
        <f t="shared" ca="1" si="229"/>
        <v>0</v>
      </c>
      <c r="Y340" s="163">
        <f t="shared" ca="1" si="230"/>
        <v>0</v>
      </c>
      <c r="Z340" s="163">
        <f t="shared" ca="1" si="223"/>
        <v>0</v>
      </c>
      <c r="AA340" s="163">
        <f t="shared" ca="1" si="231"/>
        <v>0</v>
      </c>
      <c r="AB340" s="84">
        <f t="shared" ca="1" si="212"/>
        <v>0</v>
      </c>
      <c r="AC340" s="160">
        <f t="shared" si="213"/>
        <v>0</v>
      </c>
      <c r="AD340" s="31">
        <f t="shared" ca="1" si="214"/>
        <v>0</v>
      </c>
      <c r="AE340" s="5"/>
      <c r="AF340" s="151">
        <f t="shared" ca="1" si="215"/>
        <v>0</v>
      </c>
      <c r="AG340" s="151">
        <f t="shared" ca="1" si="216"/>
        <v>0</v>
      </c>
      <c r="AH340" s="5"/>
      <c r="AI340" s="5"/>
      <c r="AS340" s="55">
        <f t="shared" si="224"/>
        <v>29</v>
      </c>
      <c r="AT340" s="56">
        <f t="shared" si="232"/>
        <v>337</v>
      </c>
      <c r="AU340" s="57">
        <f t="shared" si="204"/>
        <v>0.19313423344543623</v>
      </c>
      <c r="AV340" s="58">
        <f t="shared" si="225"/>
        <v>4.8675505653430484E-3</v>
      </c>
      <c r="AW340" s="59">
        <f t="shared" si="226"/>
        <v>1.004867550565343</v>
      </c>
      <c r="AX340" s="60">
        <f>PRODUCT(AW$4:AW340)</f>
        <v>5.1365680906185736</v>
      </c>
    </row>
    <row r="341" spans="5:50">
      <c r="E341">
        <f t="shared" si="234"/>
        <v>338</v>
      </c>
      <c r="F341" s="9">
        <f t="shared" si="227"/>
        <v>97.083333333331737</v>
      </c>
      <c r="G341" s="132">
        <f t="shared" si="205"/>
        <v>0</v>
      </c>
      <c r="H341" s="133">
        <f t="shared" si="233"/>
        <v>1</v>
      </c>
      <c r="I341" s="31">
        <f t="shared" si="217"/>
        <v>281903.17977197072</v>
      </c>
      <c r="J341" s="31">
        <f t="shared" si="206"/>
        <v>1372.1779820710592</v>
      </c>
      <c r="K341" s="163">
        <f t="shared" si="207"/>
        <v>-20</v>
      </c>
      <c r="L341" s="163">
        <f t="shared" si="218"/>
        <v>-234.91931647664228</v>
      </c>
      <c r="M341" s="163">
        <f t="shared" si="235"/>
        <v>0</v>
      </c>
      <c r="N341" s="163">
        <f t="shared" si="219"/>
        <v>-267.80802078337223</v>
      </c>
      <c r="O341" s="84">
        <f t="shared" si="208"/>
        <v>-6234.7220095610019</v>
      </c>
      <c r="P341" s="31">
        <f t="shared" si="209"/>
        <v>276517.90840722079</v>
      </c>
      <c r="Q341" s="5"/>
      <c r="R341">
        <f t="shared" ca="1" si="220"/>
        <v>458</v>
      </c>
      <c r="S341" s="133">
        <f t="shared" ca="1" si="221"/>
        <v>105.96</v>
      </c>
      <c r="T341" s="132">
        <f t="shared" ca="1" si="210"/>
        <v>0</v>
      </c>
      <c r="U341" s="133">
        <f t="shared" ca="1" si="228"/>
        <v>1.9008342029825436E-4</v>
      </c>
      <c r="V341" s="31">
        <f t="shared" ca="1" si="222"/>
        <v>0</v>
      </c>
      <c r="W341" s="31">
        <f t="shared" ca="1" si="211"/>
        <v>0</v>
      </c>
      <c r="X341" s="163">
        <f t="shared" ca="1" si="229"/>
        <v>0</v>
      </c>
      <c r="Y341" s="163">
        <f t="shared" ca="1" si="230"/>
        <v>0</v>
      </c>
      <c r="Z341" s="163">
        <f t="shared" ca="1" si="223"/>
        <v>0</v>
      </c>
      <c r="AA341" s="163">
        <f t="shared" ca="1" si="231"/>
        <v>0</v>
      </c>
      <c r="AB341" s="84">
        <f t="shared" ca="1" si="212"/>
        <v>0</v>
      </c>
      <c r="AC341" s="160">
        <f t="shared" si="213"/>
        <v>0</v>
      </c>
      <c r="AD341" s="31">
        <f t="shared" ca="1" si="214"/>
        <v>0</v>
      </c>
      <c r="AE341" s="5"/>
      <c r="AF341" s="151">
        <f t="shared" ca="1" si="215"/>
        <v>0</v>
      </c>
      <c r="AG341" s="151">
        <f t="shared" ca="1" si="216"/>
        <v>0</v>
      </c>
      <c r="AH341" s="5"/>
      <c r="AI341" s="5"/>
      <c r="AS341" s="55">
        <f t="shared" si="224"/>
        <v>29</v>
      </c>
      <c r="AT341" s="56">
        <f t="shared" si="232"/>
        <v>338</v>
      </c>
      <c r="AU341" s="57">
        <f t="shared" si="204"/>
        <v>0.19219414279824179</v>
      </c>
      <c r="AV341" s="58">
        <f t="shared" si="225"/>
        <v>4.8675505653430484E-3</v>
      </c>
      <c r="AW341" s="59">
        <f t="shared" si="226"/>
        <v>1.004867550565343</v>
      </c>
      <c r="AX341" s="60">
        <f>PRODUCT(AW$4:AW341)</f>
        <v>5.1615705955319875</v>
      </c>
    </row>
    <row r="342" spans="5:50">
      <c r="E342">
        <f t="shared" si="234"/>
        <v>339</v>
      </c>
      <c r="F342" s="9">
        <f t="shared" si="227"/>
        <v>97.166666666665066</v>
      </c>
      <c r="G342" s="132">
        <f t="shared" si="205"/>
        <v>0</v>
      </c>
      <c r="H342" s="133">
        <f t="shared" si="233"/>
        <v>1</v>
      </c>
      <c r="I342" s="31">
        <f t="shared" si="217"/>
        <v>276517.90840722079</v>
      </c>
      <c r="J342" s="31">
        <f t="shared" si="206"/>
        <v>1345.9649013950448</v>
      </c>
      <c r="K342" s="163">
        <f t="shared" si="207"/>
        <v>-20</v>
      </c>
      <c r="L342" s="163">
        <f t="shared" si="218"/>
        <v>-230.43159033935066</v>
      </c>
      <c r="M342" s="163">
        <f t="shared" si="235"/>
        <v>0</v>
      </c>
      <c r="N342" s="163">
        <f t="shared" si="219"/>
        <v>-262.69201298685977</v>
      </c>
      <c r="O342" s="84">
        <f t="shared" si="208"/>
        <v>-6234.7220095610019</v>
      </c>
      <c r="P342" s="31">
        <f t="shared" si="209"/>
        <v>271116.02769572858</v>
      </c>
      <c r="Q342" s="5"/>
      <c r="R342">
        <f t="shared" ca="1" si="220"/>
        <v>459</v>
      </c>
      <c r="S342" s="133">
        <f t="shared" ca="1" si="221"/>
        <v>106.04</v>
      </c>
      <c r="T342" s="132">
        <f t="shared" ca="1" si="210"/>
        <v>0</v>
      </c>
      <c r="U342" s="133">
        <f t="shared" ca="1" si="228"/>
        <v>1.9008342029825436E-4</v>
      </c>
      <c r="V342" s="31">
        <f t="shared" ca="1" si="222"/>
        <v>0</v>
      </c>
      <c r="W342" s="31">
        <f t="shared" ca="1" si="211"/>
        <v>0</v>
      </c>
      <c r="X342" s="163">
        <f t="shared" ca="1" si="229"/>
        <v>0</v>
      </c>
      <c r="Y342" s="163">
        <f t="shared" ca="1" si="230"/>
        <v>0</v>
      </c>
      <c r="Z342" s="163">
        <f t="shared" ca="1" si="223"/>
        <v>0</v>
      </c>
      <c r="AA342" s="163">
        <f t="shared" ca="1" si="231"/>
        <v>0</v>
      </c>
      <c r="AB342" s="84">
        <f t="shared" ca="1" si="212"/>
        <v>0</v>
      </c>
      <c r="AC342" s="160">
        <f t="shared" si="213"/>
        <v>0</v>
      </c>
      <c r="AD342" s="31">
        <f t="shared" ca="1" si="214"/>
        <v>0</v>
      </c>
      <c r="AE342" s="5"/>
      <c r="AF342" s="151">
        <f t="shared" ca="1" si="215"/>
        <v>0</v>
      </c>
      <c r="AG342" s="151">
        <f t="shared" ca="1" si="216"/>
        <v>0</v>
      </c>
      <c r="AH342" s="5"/>
      <c r="AI342" s="5"/>
      <c r="AS342" s="55">
        <f t="shared" si="224"/>
        <v>29</v>
      </c>
      <c r="AT342" s="56">
        <f t="shared" si="232"/>
        <v>339</v>
      </c>
      <c r="AU342" s="57">
        <f t="shared" si="204"/>
        <v>0.19125862808980859</v>
      </c>
      <c r="AV342" s="58">
        <f t="shared" si="225"/>
        <v>4.8675505653430484E-3</v>
      </c>
      <c r="AW342" s="59">
        <f t="shared" si="226"/>
        <v>1.004867550565343</v>
      </c>
      <c r="AX342" s="60">
        <f>PRODUCT(AW$4:AW342)</f>
        <v>5.1866948014023269</v>
      </c>
    </row>
    <row r="343" spans="5:50">
      <c r="E343">
        <f t="shared" si="234"/>
        <v>340</v>
      </c>
      <c r="F343" s="9">
        <f t="shared" si="227"/>
        <v>97.249999999998394</v>
      </c>
      <c r="G343" s="132">
        <f t="shared" si="205"/>
        <v>0</v>
      </c>
      <c r="H343" s="133">
        <f t="shared" si="233"/>
        <v>1</v>
      </c>
      <c r="I343" s="31">
        <f t="shared" si="217"/>
        <v>271116.02769572858</v>
      </c>
      <c r="J343" s="31">
        <f t="shared" si="206"/>
        <v>1319.6709738839052</v>
      </c>
      <c r="K343" s="163">
        <f t="shared" si="207"/>
        <v>-20</v>
      </c>
      <c r="L343" s="163">
        <f t="shared" si="218"/>
        <v>-225.93002307977383</v>
      </c>
      <c r="M343" s="163">
        <f t="shared" si="235"/>
        <v>0</v>
      </c>
      <c r="N343" s="163">
        <f t="shared" si="219"/>
        <v>-257.5602263109422</v>
      </c>
      <c r="O343" s="84">
        <f t="shared" si="208"/>
        <v>-6234.7220095610019</v>
      </c>
      <c r="P343" s="31">
        <f t="shared" si="209"/>
        <v>265697.48641066073</v>
      </c>
      <c r="Q343" s="5"/>
      <c r="R343">
        <f t="shared" ca="1" si="220"/>
        <v>460</v>
      </c>
      <c r="S343" s="133">
        <f t="shared" ca="1" si="221"/>
        <v>106.12</v>
      </c>
      <c r="T343" s="132">
        <f t="shared" ca="1" si="210"/>
        <v>0</v>
      </c>
      <c r="U343" s="133">
        <f t="shared" ca="1" si="228"/>
        <v>1.9008342029825436E-4</v>
      </c>
      <c r="V343" s="31">
        <f t="shared" ca="1" si="222"/>
        <v>0</v>
      </c>
      <c r="W343" s="31">
        <f t="shared" ca="1" si="211"/>
        <v>0</v>
      </c>
      <c r="X343" s="163">
        <f t="shared" ca="1" si="229"/>
        <v>0</v>
      </c>
      <c r="Y343" s="163">
        <f t="shared" ca="1" si="230"/>
        <v>0</v>
      </c>
      <c r="Z343" s="163">
        <f t="shared" ca="1" si="223"/>
        <v>0</v>
      </c>
      <c r="AA343" s="163">
        <f t="shared" ca="1" si="231"/>
        <v>0</v>
      </c>
      <c r="AB343" s="84">
        <f t="shared" ca="1" si="212"/>
        <v>0</v>
      </c>
      <c r="AC343" s="160">
        <f t="shared" si="213"/>
        <v>0</v>
      </c>
      <c r="AD343" s="31">
        <f t="shared" ca="1" si="214"/>
        <v>0</v>
      </c>
      <c r="AE343" s="5"/>
      <c r="AF343" s="151">
        <f t="shared" ca="1" si="215"/>
        <v>0</v>
      </c>
      <c r="AG343" s="151">
        <f t="shared" ca="1" si="216"/>
        <v>0</v>
      </c>
      <c r="AH343" s="5"/>
      <c r="AI343" s="5"/>
      <c r="AS343" s="55">
        <f t="shared" si="224"/>
        <v>29</v>
      </c>
      <c r="AT343" s="56">
        <f t="shared" si="232"/>
        <v>340</v>
      </c>
      <c r="AU343" s="57">
        <f t="shared" si="204"/>
        <v>0.19032766704652332</v>
      </c>
      <c r="AV343" s="58">
        <f t="shared" si="225"/>
        <v>4.8675505653430484E-3</v>
      </c>
      <c r="AW343" s="59">
        <f t="shared" si="226"/>
        <v>1.004867550565343</v>
      </c>
      <c r="AX343" s="60">
        <f>PRODUCT(AW$4:AW343)</f>
        <v>5.2119413006151545</v>
      </c>
    </row>
    <row r="344" spans="5:50">
      <c r="E344">
        <f t="shared" si="234"/>
        <v>341</v>
      </c>
      <c r="F344" s="9">
        <f t="shared" si="227"/>
        <v>97.333333333331723</v>
      </c>
      <c r="G344" s="132">
        <f t="shared" si="205"/>
        <v>0</v>
      </c>
      <c r="H344" s="133">
        <f t="shared" si="233"/>
        <v>1</v>
      </c>
      <c r="I344" s="31">
        <f t="shared" si="217"/>
        <v>265697.48641066073</v>
      </c>
      <c r="J344" s="31">
        <f t="shared" si="206"/>
        <v>1293.2959501884386</v>
      </c>
      <c r="K344" s="163">
        <f t="shared" si="207"/>
        <v>-20</v>
      </c>
      <c r="L344" s="163">
        <f t="shared" si="218"/>
        <v>-221.41457200888397</v>
      </c>
      <c r="M344" s="163">
        <f t="shared" si="235"/>
        <v>0</v>
      </c>
      <c r="N344" s="163">
        <f t="shared" si="219"/>
        <v>-252.41261209012774</v>
      </c>
      <c r="O344" s="84">
        <f t="shared" si="208"/>
        <v>-6234.7220095610019</v>
      </c>
      <c r="P344" s="31">
        <f t="shared" si="209"/>
        <v>260262.23316718914</v>
      </c>
      <c r="Q344" s="5"/>
      <c r="R344">
        <f t="shared" ca="1" si="220"/>
        <v>461</v>
      </c>
      <c r="S344" s="133">
        <f t="shared" ca="1" si="221"/>
        <v>106.2</v>
      </c>
      <c r="T344" s="132">
        <f t="shared" ca="1" si="210"/>
        <v>0</v>
      </c>
      <c r="U344" s="133">
        <f t="shared" ca="1" si="228"/>
        <v>1.9008342029825436E-4</v>
      </c>
      <c r="V344" s="31">
        <f t="shared" ca="1" si="222"/>
        <v>0</v>
      </c>
      <c r="W344" s="31">
        <f t="shared" ca="1" si="211"/>
        <v>0</v>
      </c>
      <c r="X344" s="163">
        <f t="shared" ca="1" si="229"/>
        <v>0</v>
      </c>
      <c r="Y344" s="163">
        <f t="shared" ca="1" si="230"/>
        <v>0</v>
      </c>
      <c r="Z344" s="163">
        <f t="shared" ca="1" si="223"/>
        <v>0</v>
      </c>
      <c r="AA344" s="163">
        <f t="shared" ca="1" si="231"/>
        <v>0</v>
      </c>
      <c r="AB344" s="84">
        <f t="shared" ca="1" si="212"/>
        <v>0</v>
      </c>
      <c r="AC344" s="160">
        <f t="shared" si="213"/>
        <v>0</v>
      </c>
      <c r="AD344" s="31">
        <f t="shared" ca="1" si="214"/>
        <v>0</v>
      </c>
      <c r="AE344" s="5"/>
      <c r="AF344" s="151">
        <f t="shared" ca="1" si="215"/>
        <v>0</v>
      </c>
      <c r="AG344" s="151">
        <f t="shared" ca="1" si="216"/>
        <v>0</v>
      </c>
      <c r="AH344" s="5"/>
      <c r="AI344" s="5"/>
      <c r="AS344" s="55">
        <f t="shared" si="224"/>
        <v>29</v>
      </c>
      <c r="AT344" s="56">
        <f t="shared" si="232"/>
        <v>341</v>
      </c>
      <c r="AU344" s="57">
        <f t="shared" si="204"/>
        <v>0.1894012375031906</v>
      </c>
      <c r="AV344" s="58">
        <f t="shared" si="225"/>
        <v>4.8675505653430484E-3</v>
      </c>
      <c r="AW344" s="59">
        <f t="shared" si="226"/>
        <v>1.004867550565343</v>
      </c>
      <c r="AX344" s="60">
        <f>PRODUCT(AW$4:AW344)</f>
        <v>5.2373106884394982</v>
      </c>
    </row>
    <row r="345" spans="5:50">
      <c r="E345">
        <f t="shared" si="234"/>
        <v>342</v>
      </c>
      <c r="F345" s="9">
        <f t="shared" si="227"/>
        <v>97.416666666665051</v>
      </c>
      <c r="G345" s="132">
        <f t="shared" si="205"/>
        <v>0</v>
      </c>
      <c r="H345" s="133">
        <f t="shared" si="233"/>
        <v>1</v>
      </c>
      <c r="I345" s="31">
        <f t="shared" si="217"/>
        <v>260262.23316718914</v>
      </c>
      <c r="J345" s="31">
        <f t="shared" si="206"/>
        <v>1266.8395801903957</v>
      </c>
      <c r="K345" s="163">
        <f t="shared" si="207"/>
        <v>-20</v>
      </c>
      <c r="L345" s="163">
        <f t="shared" si="218"/>
        <v>-216.88519430599098</v>
      </c>
      <c r="M345" s="163">
        <f t="shared" si="235"/>
        <v>0</v>
      </c>
      <c r="N345" s="163">
        <f t="shared" si="219"/>
        <v>-247.24912150882972</v>
      </c>
      <c r="O345" s="84">
        <f t="shared" si="208"/>
        <v>-6234.7220095610019</v>
      </c>
      <c r="P345" s="31">
        <f t="shared" si="209"/>
        <v>254810.21642200372</v>
      </c>
      <c r="Q345" s="5"/>
      <c r="R345">
        <f t="shared" ca="1" si="220"/>
        <v>462</v>
      </c>
      <c r="S345" s="133">
        <f t="shared" ca="1" si="221"/>
        <v>106.28</v>
      </c>
      <c r="T345" s="132">
        <f t="shared" ca="1" si="210"/>
        <v>0</v>
      </c>
      <c r="U345" s="133">
        <f t="shared" ca="1" si="228"/>
        <v>1.9008342029825436E-4</v>
      </c>
      <c r="V345" s="31">
        <f t="shared" ca="1" si="222"/>
        <v>0</v>
      </c>
      <c r="W345" s="31">
        <f t="shared" ca="1" si="211"/>
        <v>0</v>
      </c>
      <c r="X345" s="163">
        <f t="shared" ca="1" si="229"/>
        <v>0</v>
      </c>
      <c r="Y345" s="163">
        <f t="shared" ca="1" si="230"/>
        <v>0</v>
      </c>
      <c r="Z345" s="163">
        <f t="shared" ca="1" si="223"/>
        <v>0</v>
      </c>
      <c r="AA345" s="163">
        <f t="shared" ca="1" si="231"/>
        <v>0</v>
      </c>
      <c r="AB345" s="84">
        <f t="shared" ca="1" si="212"/>
        <v>0</v>
      </c>
      <c r="AC345" s="160">
        <f t="shared" si="213"/>
        <v>0</v>
      </c>
      <c r="AD345" s="31">
        <f t="shared" ca="1" si="214"/>
        <v>0</v>
      </c>
      <c r="AE345" s="5"/>
      <c r="AF345" s="151">
        <f t="shared" ca="1" si="215"/>
        <v>0</v>
      </c>
      <c r="AG345" s="151">
        <f t="shared" ca="1" si="216"/>
        <v>0</v>
      </c>
      <c r="AH345" s="5"/>
      <c r="AI345" s="5"/>
      <c r="AS345" s="55">
        <f t="shared" si="224"/>
        <v>29</v>
      </c>
      <c r="AT345" s="56">
        <f t="shared" si="232"/>
        <v>342</v>
      </c>
      <c r="AU345" s="57">
        <f t="shared" si="204"/>
        <v>0.18847931740250526</v>
      </c>
      <c r="AV345" s="58">
        <f t="shared" si="225"/>
        <v>4.8675505653430484E-3</v>
      </c>
      <c r="AW345" s="59">
        <f t="shared" si="226"/>
        <v>1.004867550565343</v>
      </c>
      <c r="AX345" s="60">
        <f>PRODUCT(AW$4:AW345)</f>
        <v>5.2628035630418895</v>
      </c>
    </row>
    <row r="346" spans="5:50">
      <c r="E346">
        <f t="shared" si="234"/>
        <v>343</v>
      </c>
      <c r="F346" s="9">
        <f t="shared" si="227"/>
        <v>97.49999999999838</v>
      </c>
      <c r="G346" s="132">
        <f t="shared" si="205"/>
        <v>0</v>
      </c>
      <c r="H346" s="133">
        <f t="shared" si="233"/>
        <v>1</v>
      </c>
      <c r="I346" s="31">
        <f t="shared" si="217"/>
        <v>254810.21642200372</v>
      </c>
      <c r="J346" s="31">
        <f t="shared" si="206"/>
        <v>1240.3016130001088</v>
      </c>
      <c r="K346" s="163">
        <f t="shared" si="207"/>
        <v>-20</v>
      </c>
      <c r="L346" s="163">
        <f t="shared" si="218"/>
        <v>-212.34184701833644</v>
      </c>
      <c r="M346" s="163">
        <f t="shared" si="235"/>
        <v>0</v>
      </c>
      <c r="N346" s="163">
        <f t="shared" si="219"/>
        <v>-242.06970560090357</v>
      </c>
      <c r="O346" s="84">
        <f t="shared" si="208"/>
        <v>-6234.7220095610019</v>
      </c>
      <c r="P346" s="31">
        <f t="shared" si="209"/>
        <v>249341.38447282359</v>
      </c>
      <c r="Q346" s="5"/>
      <c r="R346">
        <f t="shared" ca="1" si="220"/>
        <v>463</v>
      </c>
      <c r="S346" s="133">
        <f t="shared" ca="1" si="221"/>
        <v>106.36</v>
      </c>
      <c r="T346" s="132">
        <f t="shared" ca="1" si="210"/>
        <v>0</v>
      </c>
      <c r="U346" s="133">
        <f t="shared" ca="1" si="228"/>
        <v>1.9008342029825436E-4</v>
      </c>
      <c r="V346" s="31">
        <f t="shared" ca="1" si="222"/>
        <v>0</v>
      </c>
      <c r="W346" s="31">
        <f t="shared" ca="1" si="211"/>
        <v>0</v>
      </c>
      <c r="X346" s="163">
        <f t="shared" ca="1" si="229"/>
        <v>0</v>
      </c>
      <c r="Y346" s="163">
        <f t="shared" ca="1" si="230"/>
        <v>0</v>
      </c>
      <c r="Z346" s="163">
        <f t="shared" ca="1" si="223"/>
        <v>0</v>
      </c>
      <c r="AA346" s="163">
        <f t="shared" ca="1" si="231"/>
        <v>0</v>
      </c>
      <c r="AB346" s="84">
        <f t="shared" ca="1" si="212"/>
        <v>0</v>
      </c>
      <c r="AC346" s="160">
        <f t="shared" si="213"/>
        <v>0</v>
      </c>
      <c r="AD346" s="31">
        <f t="shared" ca="1" si="214"/>
        <v>0</v>
      </c>
      <c r="AE346" s="5"/>
      <c r="AF346" s="151">
        <f t="shared" ca="1" si="215"/>
        <v>0</v>
      </c>
      <c r="AG346" s="151">
        <f t="shared" ca="1" si="216"/>
        <v>0</v>
      </c>
      <c r="AH346" s="5"/>
      <c r="AI346" s="5"/>
      <c r="AS346" s="55">
        <f t="shared" si="224"/>
        <v>29</v>
      </c>
      <c r="AT346" s="56">
        <f t="shared" si="232"/>
        <v>343</v>
      </c>
      <c r="AU346" s="57">
        <f t="shared" si="204"/>
        <v>0.18756188479452723</v>
      </c>
      <c r="AV346" s="58">
        <f t="shared" si="225"/>
        <v>4.8675505653430484E-3</v>
      </c>
      <c r="AW346" s="59">
        <f t="shared" si="226"/>
        <v>1.004867550565343</v>
      </c>
      <c r="AX346" s="60">
        <f>PRODUCT(AW$4:AW346)</f>
        <v>5.288420525500463</v>
      </c>
    </row>
    <row r="347" spans="5:50">
      <c r="E347">
        <f t="shared" si="234"/>
        <v>344</v>
      </c>
      <c r="F347" s="9">
        <f t="shared" si="227"/>
        <v>97.583333333331709</v>
      </c>
      <c r="G347" s="132">
        <f t="shared" si="205"/>
        <v>0</v>
      </c>
      <c r="H347" s="133">
        <f t="shared" si="233"/>
        <v>1</v>
      </c>
      <c r="I347" s="31">
        <f t="shared" si="217"/>
        <v>249341.38447282359</v>
      </c>
      <c r="J347" s="31">
        <f t="shared" si="206"/>
        <v>1213.681796954111</v>
      </c>
      <c r="K347" s="163">
        <f t="shared" si="207"/>
        <v>-20</v>
      </c>
      <c r="L347" s="163">
        <f t="shared" si="218"/>
        <v>-207.78448706068633</v>
      </c>
      <c r="M347" s="163">
        <f t="shared" si="235"/>
        <v>0</v>
      </c>
      <c r="N347" s="163">
        <f t="shared" si="219"/>
        <v>-236.87431524918244</v>
      </c>
      <c r="O347" s="84">
        <f t="shared" si="208"/>
        <v>-6234.7220095610019</v>
      </c>
      <c r="P347" s="31">
        <f t="shared" si="209"/>
        <v>243855.68545790683</v>
      </c>
      <c r="Q347" s="5"/>
      <c r="R347">
        <f t="shared" ca="1" si="220"/>
        <v>464</v>
      </c>
      <c r="S347" s="133">
        <f t="shared" ca="1" si="221"/>
        <v>106.44</v>
      </c>
      <c r="T347" s="132">
        <f t="shared" ca="1" si="210"/>
        <v>0</v>
      </c>
      <c r="U347" s="133">
        <f t="shared" ca="1" si="228"/>
        <v>1.9008342029825436E-4</v>
      </c>
      <c r="V347" s="31">
        <f t="shared" ca="1" si="222"/>
        <v>0</v>
      </c>
      <c r="W347" s="31">
        <f t="shared" ca="1" si="211"/>
        <v>0</v>
      </c>
      <c r="X347" s="163">
        <f t="shared" ca="1" si="229"/>
        <v>0</v>
      </c>
      <c r="Y347" s="163">
        <f t="shared" ca="1" si="230"/>
        <v>0</v>
      </c>
      <c r="Z347" s="163">
        <f t="shared" ca="1" si="223"/>
        <v>0</v>
      </c>
      <c r="AA347" s="163">
        <f t="shared" ca="1" si="231"/>
        <v>0</v>
      </c>
      <c r="AB347" s="84">
        <f t="shared" ca="1" si="212"/>
        <v>0</v>
      </c>
      <c r="AC347" s="160">
        <f t="shared" si="213"/>
        <v>0</v>
      </c>
      <c r="AD347" s="31">
        <f t="shared" ca="1" si="214"/>
        <v>0</v>
      </c>
      <c r="AE347" s="5"/>
      <c r="AF347" s="151">
        <f t="shared" ca="1" si="215"/>
        <v>0</v>
      </c>
      <c r="AG347" s="151">
        <f t="shared" ca="1" si="216"/>
        <v>0</v>
      </c>
      <c r="AH347" s="5"/>
      <c r="AI347" s="5"/>
      <c r="AS347" s="55">
        <f t="shared" si="224"/>
        <v>29</v>
      </c>
      <c r="AT347" s="56">
        <f t="shared" si="232"/>
        <v>344</v>
      </c>
      <c r="AU347" s="57">
        <f t="shared" si="204"/>
        <v>0.18664891783615883</v>
      </c>
      <c r="AV347" s="58">
        <f t="shared" si="225"/>
        <v>4.8675505653430484E-3</v>
      </c>
      <c r="AW347" s="59">
        <f t="shared" si="226"/>
        <v>1.004867550565343</v>
      </c>
      <c r="AX347" s="60">
        <f>PRODUCT(AW$4:AW347)</f>
        <v>5.3141621798191343</v>
      </c>
    </row>
    <row r="348" spans="5:50">
      <c r="E348">
        <f t="shared" si="234"/>
        <v>345</v>
      </c>
      <c r="F348" s="9">
        <f t="shared" si="227"/>
        <v>97.666666666665037</v>
      </c>
      <c r="G348" s="132">
        <f t="shared" si="205"/>
        <v>0</v>
      </c>
      <c r="H348" s="133">
        <f t="shared" si="233"/>
        <v>1</v>
      </c>
      <c r="I348" s="31">
        <f t="shared" si="217"/>
        <v>243855.68545790683</v>
      </c>
      <c r="J348" s="31">
        <f t="shared" si="206"/>
        <v>1186.9798796127509</v>
      </c>
      <c r="K348" s="163">
        <f t="shared" si="207"/>
        <v>-20</v>
      </c>
      <c r="L348" s="163">
        <f t="shared" si="218"/>
        <v>-203.21307121492237</v>
      </c>
      <c r="M348" s="163">
        <f t="shared" si="235"/>
        <v>0</v>
      </c>
      <c r="N348" s="163">
        <f t="shared" si="219"/>
        <v>-231.66290118501152</v>
      </c>
      <c r="O348" s="84">
        <f t="shared" si="208"/>
        <v>-6234.7220095610019</v>
      </c>
      <c r="P348" s="31">
        <f t="shared" si="209"/>
        <v>238353.06735555865</v>
      </c>
      <c r="Q348" s="5"/>
      <c r="R348">
        <f t="shared" ca="1" si="220"/>
        <v>465</v>
      </c>
      <c r="S348" s="133">
        <f t="shared" ca="1" si="221"/>
        <v>106.52</v>
      </c>
      <c r="T348" s="132">
        <f t="shared" ca="1" si="210"/>
        <v>0</v>
      </c>
      <c r="U348" s="133">
        <f t="shared" ca="1" si="228"/>
        <v>1.9008342029825436E-4</v>
      </c>
      <c r="V348" s="31">
        <f t="shared" ca="1" si="222"/>
        <v>0</v>
      </c>
      <c r="W348" s="31">
        <f t="shared" ca="1" si="211"/>
        <v>0</v>
      </c>
      <c r="X348" s="163">
        <f t="shared" ca="1" si="229"/>
        <v>0</v>
      </c>
      <c r="Y348" s="163">
        <f t="shared" ca="1" si="230"/>
        <v>0</v>
      </c>
      <c r="Z348" s="163">
        <f t="shared" ca="1" si="223"/>
        <v>0</v>
      </c>
      <c r="AA348" s="163">
        <f t="shared" ca="1" si="231"/>
        <v>0</v>
      </c>
      <c r="AB348" s="84">
        <f t="shared" ca="1" si="212"/>
        <v>0</v>
      </c>
      <c r="AC348" s="160">
        <f t="shared" si="213"/>
        <v>0</v>
      </c>
      <c r="AD348" s="31">
        <f t="shared" ca="1" si="214"/>
        <v>0</v>
      </c>
      <c r="AE348" s="5"/>
      <c r="AF348" s="151">
        <f t="shared" ca="1" si="215"/>
        <v>0</v>
      </c>
      <c r="AG348" s="151">
        <f t="shared" ca="1" si="216"/>
        <v>0</v>
      </c>
      <c r="AH348" s="5"/>
      <c r="AI348" s="5"/>
      <c r="AS348" s="55">
        <f t="shared" si="224"/>
        <v>29</v>
      </c>
      <c r="AT348" s="56">
        <f t="shared" si="232"/>
        <v>345</v>
      </c>
      <c r="AU348" s="57">
        <f t="shared" ref="AU348:AU411" si="236">(1-AV348)*AU347</f>
        <v>0.18574039479062476</v>
      </c>
      <c r="AV348" s="58">
        <f t="shared" si="225"/>
        <v>4.8675505653430484E-3</v>
      </c>
      <c r="AW348" s="59">
        <f t="shared" si="226"/>
        <v>1.004867550565343</v>
      </c>
      <c r="AX348" s="60">
        <f>PRODUCT(AW$4:AW348)</f>
        <v>5.3400291329418375</v>
      </c>
    </row>
    <row r="349" spans="5:50">
      <c r="E349">
        <f t="shared" si="234"/>
        <v>346</v>
      </c>
      <c r="F349" s="9">
        <f t="shared" si="227"/>
        <v>97.749999999998366</v>
      </c>
      <c r="G349" s="132">
        <f t="shared" si="205"/>
        <v>0</v>
      </c>
      <c r="H349" s="133">
        <f t="shared" si="233"/>
        <v>1</v>
      </c>
      <c r="I349" s="31">
        <f t="shared" si="217"/>
        <v>238353.06735555865</v>
      </c>
      <c r="J349" s="31">
        <f t="shared" si="206"/>
        <v>1160.1956077577993</v>
      </c>
      <c r="K349" s="163">
        <f t="shared" si="207"/>
        <v>-20</v>
      </c>
      <c r="L349" s="163">
        <f t="shared" si="218"/>
        <v>-198.62755612963221</v>
      </c>
      <c r="M349" s="163">
        <f t="shared" si="235"/>
        <v>0</v>
      </c>
      <c r="N349" s="163">
        <f t="shared" si="219"/>
        <v>-226.43541398778075</v>
      </c>
      <c r="O349" s="84">
        <f t="shared" si="208"/>
        <v>-6234.7220095610019</v>
      </c>
      <c r="P349" s="31">
        <f t="shared" si="209"/>
        <v>232833.47798363806</v>
      </c>
      <c r="Q349" s="5"/>
      <c r="R349">
        <f t="shared" ca="1" si="220"/>
        <v>466</v>
      </c>
      <c r="S349" s="133">
        <f t="shared" ca="1" si="221"/>
        <v>106.6</v>
      </c>
      <c r="T349" s="132">
        <f t="shared" ca="1" si="210"/>
        <v>0</v>
      </c>
      <c r="U349" s="133">
        <f t="shared" ca="1" si="228"/>
        <v>1.9008342029825436E-4</v>
      </c>
      <c r="V349" s="31">
        <f t="shared" ca="1" si="222"/>
        <v>0</v>
      </c>
      <c r="W349" s="31">
        <f t="shared" ca="1" si="211"/>
        <v>0</v>
      </c>
      <c r="X349" s="163">
        <f t="shared" ca="1" si="229"/>
        <v>0</v>
      </c>
      <c r="Y349" s="163">
        <f t="shared" ca="1" si="230"/>
        <v>0</v>
      </c>
      <c r="Z349" s="163">
        <f t="shared" ca="1" si="223"/>
        <v>0</v>
      </c>
      <c r="AA349" s="163">
        <f t="shared" ca="1" si="231"/>
        <v>0</v>
      </c>
      <c r="AB349" s="84">
        <f t="shared" ca="1" si="212"/>
        <v>0</v>
      </c>
      <c r="AC349" s="160">
        <f t="shared" si="213"/>
        <v>0</v>
      </c>
      <c r="AD349" s="31">
        <f t="shared" ca="1" si="214"/>
        <v>0</v>
      </c>
      <c r="AE349" s="5"/>
      <c r="AF349" s="151">
        <f t="shared" ca="1" si="215"/>
        <v>0</v>
      </c>
      <c r="AG349" s="151">
        <f t="shared" ca="1" si="216"/>
        <v>0</v>
      </c>
      <c r="AH349" s="5"/>
      <c r="AI349" s="5"/>
      <c r="AS349" s="55">
        <f t="shared" si="224"/>
        <v>29</v>
      </c>
      <c r="AT349" s="56">
        <f t="shared" si="232"/>
        <v>346</v>
      </c>
      <c r="AU349" s="57">
        <f t="shared" si="236"/>
        <v>0.18483629402695462</v>
      </c>
      <c r="AV349" s="58">
        <f t="shared" si="225"/>
        <v>4.8675505653430484E-3</v>
      </c>
      <c r="AW349" s="59">
        <f t="shared" si="226"/>
        <v>1.004867550565343</v>
      </c>
      <c r="AX349" s="60">
        <f>PRODUCT(AW$4:AW349)</f>
        <v>5.3660219947668368</v>
      </c>
    </row>
    <row r="350" spans="5:50">
      <c r="E350">
        <f t="shared" si="234"/>
        <v>347</v>
      </c>
      <c r="F350" s="9">
        <f t="shared" si="227"/>
        <v>97.833333333331694</v>
      </c>
      <c r="G350" s="132">
        <f t="shared" si="205"/>
        <v>0</v>
      </c>
      <c r="H350" s="133">
        <f t="shared" si="233"/>
        <v>1</v>
      </c>
      <c r="I350" s="31">
        <f t="shared" si="217"/>
        <v>232833.47798363806</v>
      </c>
      <c r="J350" s="31">
        <f t="shared" si="206"/>
        <v>1133.3287273900457</v>
      </c>
      <c r="K350" s="163">
        <f t="shared" si="207"/>
        <v>-20</v>
      </c>
      <c r="L350" s="163">
        <f t="shared" si="218"/>
        <v>-194.02789831969841</v>
      </c>
      <c r="M350" s="163">
        <f t="shared" si="235"/>
        <v>0</v>
      </c>
      <c r="N350" s="163">
        <f t="shared" si="219"/>
        <v>-221.19180408445621</v>
      </c>
      <c r="O350" s="84">
        <f t="shared" si="208"/>
        <v>-6234.7220095610019</v>
      </c>
      <c r="P350" s="31">
        <f t="shared" si="209"/>
        <v>227296.86499906293</v>
      </c>
      <c r="Q350" s="5"/>
      <c r="R350">
        <f t="shared" ca="1" si="220"/>
        <v>467</v>
      </c>
      <c r="S350" s="133">
        <f t="shared" ca="1" si="221"/>
        <v>106.68</v>
      </c>
      <c r="T350" s="132">
        <f t="shared" ca="1" si="210"/>
        <v>0</v>
      </c>
      <c r="U350" s="133">
        <f t="shared" ca="1" si="228"/>
        <v>1.9008342029825436E-4</v>
      </c>
      <c r="V350" s="31">
        <f t="shared" ca="1" si="222"/>
        <v>0</v>
      </c>
      <c r="W350" s="31">
        <f t="shared" ca="1" si="211"/>
        <v>0</v>
      </c>
      <c r="X350" s="163">
        <f t="shared" ca="1" si="229"/>
        <v>0</v>
      </c>
      <c r="Y350" s="163">
        <f t="shared" ca="1" si="230"/>
        <v>0</v>
      </c>
      <c r="Z350" s="163">
        <f t="shared" ca="1" si="223"/>
        <v>0</v>
      </c>
      <c r="AA350" s="163">
        <f t="shared" ca="1" si="231"/>
        <v>0</v>
      </c>
      <c r="AB350" s="84">
        <f t="shared" ca="1" si="212"/>
        <v>0</v>
      </c>
      <c r="AC350" s="160">
        <f t="shared" si="213"/>
        <v>0</v>
      </c>
      <c r="AD350" s="31">
        <f t="shared" ca="1" si="214"/>
        <v>0</v>
      </c>
      <c r="AE350" s="5"/>
      <c r="AF350" s="151">
        <f t="shared" ca="1" si="215"/>
        <v>0</v>
      </c>
      <c r="AG350" s="151">
        <f t="shared" ca="1" si="216"/>
        <v>0</v>
      </c>
      <c r="AH350" s="5"/>
      <c r="AI350" s="5"/>
      <c r="AS350" s="55">
        <f t="shared" si="224"/>
        <v>29</v>
      </c>
      <c r="AT350" s="56">
        <f t="shared" si="232"/>
        <v>347</v>
      </c>
      <c r="AU350" s="57">
        <f t="shared" si="236"/>
        <v>0.1839365940194678</v>
      </c>
      <c r="AV350" s="58">
        <f t="shared" si="225"/>
        <v>4.8675505653430484E-3</v>
      </c>
      <c r="AW350" s="59">
        <f t="shared" si="226"/>
        <v>1.004867550565343</v>
      </c>
      <c r="AX350" s="60">
        <f>PRODUCT(AW$4:AW350)</f>
        <v>5.3921413781611074</v>
      </c>
    </row>
    <row r="351" spans="5:50">
      <c r="E351">
        <f t="shared" si="234"/>
        <v>348</v>
      </c>
      <c r="F351" s="9">
        <f t="shared" si="227"/>
        <v>97.916666666665023</v>
      </c>
      <c r="G351" s="132">
        <f t="shared" si="205"/>
        <v>0</v>
      </c>
      <c r="H351" s="133">
        <f t="shared" si="233"/>
        <v>1</v>
      </c>
      <c r="I351" s="31">
        <f t="shared" si="217"/>
        <v>227296.86499906293</v>
      </c>
      <c r="J351" s="31">
        <f t="shared" si="206"/>
        <v>1106.3789837268914</v>
      </c>
      <c r="K351" s="163">
        <f t="shared" si="207"/>
        <v>-20</v>
      </c>
      <c r="L351" s="163">
        <f t="shared" si="218"/>
        <v>-189.4140541658858</v>
      </c>
      <c r="M351" s="163">
        <f t="shared" si="235"/>
        <v>0</v>
      </c>
      <c r="N351" s="163">
        <f t="shared" si="219"/>
        <v>-215.93202174910982</v>
      </c>
      <c r="O351" s="84">
        <f t="shared" si="208"/>
        <v>-6234.7220095610019</v>
      </c>
      <c r="P351" s="31">
        <f t="shared" si="209"/>
        <v>221743.17589731383</v>
      </c>
      <c r="Q351" s="5"/>
      <c r="R351">
        <f t="shared" ca="1" si="220"/>
        <v>468</v>
      </c>
      <c r="S351" s="133">
        <f t="shared" ca="1" si="221"/>
        <v>106.76</v>
      </c>
      <c r="T351" s="132">
        <f t="shared" ca="1" si="210"/>
        <v>0</v>
      </c>
      <c r="U351" s="133">
        <f t="shared" ca="1" si="228"/>
        <v>1.9008342029825436E-4</v>
      </c>
      <c r="V351" s="31">
        <f t="shared" ca="1" si="222"/>
        <v>0</v>
      </c>
      <c r="W351" s="31">
        <f t="shared" ca="1" si="211"/>
        <v>0</v>
      </c>
      <c r="X351" s="163">
        <f t="shared" ca="1" si="229"/>
        <v>0</v>
      </c>
      <c r="Y351" s="163">
        <f t="shared" ca="1" si="230"/>
        <v>0</v>
      </c>
      <c r="Z351" s="163">
        <f t="shared" ca="1" si="223"/>
        <v>0</v>
      </c>
      <c r="AA351" s="163">
        <f t="shared" ca="1" si="231"/>
        <v>0</v>
      </c>
      <c r="AB351" s="84">
        <f t="shared" ca="1" si="212"/>
        <v>0</v>
      </c>
      <c r="AC351" s="160">
        <f t="shared" si="213"/>
        <v>0</v>
      </c>
      <c r="AD351" s="31">
        <f t="shared" ca="1" si="214"/>
        <v>0</v>
      </c>
      <c r="AE351" s="5"/>
      <c r="AF351" s="151">
        <f t="shared" ca="1" si="215"/>
        <v>0</v>
      </c>
      <c r="AG351" s="151">
        <f t="shared" ca="1" si="216"/>
        <v>0</v>
      </c>
      <c r="AH351" s="5"/>
      <c r="AI351" s="5"/>
      <c r="AS351" s="55">
        <f t="shared" si="224"/>
        <v>29</v>
      </c>
      <c r="AT351" s="56">
        <f t="shared" si="232"/>
        <v>348</v>
      </c>
      <c r="AU351" s="57">
        <f t="shared" si="236"/>
        <v>0.18304127334726106</v>
      </c>
      <c r="AV351" s="58">
        <f t="shared" si="225"/>
        <v>4.8675505653430484E-3</v>
      </c>
      <c r="AW351" s="59">
        <f t="shared" si="226"/>
        <v>1.004867550565343</v>
      </c>
      <c r="AX351" s="60">
        <f>PRODUCT(AW$4:AW351)</f>
        <v>5.4183878989747853</v>
      </c>
    </row>
    <row r="352" spans="5:50">
      <c r="E352">
        <f t="shared" si="234"/>
        <v>349</v>
      </c>
      <c r="F352" s="9">
        <f t="shared" si="227"/>
        <v>97.999999999998352</v>
      </c>
      <c r="G352" s="132">
        <f t="shared" si="205"/>
        <v>0</v>
      </c>
      <c r="H352" s="133">
        <f t="shared" si="233"/>
        <v>1</v>
      </c>
      <c r="I352" s="31">
        <f t="shared" si="217"/>
        <v>221743.17589731383</v>
      </c>
      <c r="J352" s="31">
        <f t="shared" si="206"/>
        <v>1079.3461211999329</v>
      </c>
      <c r="K352" s="163">
        <f t="shared" si="207"/>
        <v>-20</v>
      </c>
      <c r="L352" s="163">
        <f t="shared" si="218"/>
        <v>-184.7859799144282</v>
      </c>
      <c r="M352" s="163">
        <f t="shared" si="235"/>
        <v>-1663.0738192298536</v>
      </c>
      <c r="N352" s="163">
        <f t="shared" si="219"/>
        <v>-210.6560171024482</v>
      </c>
      <c r="O352" s="84">
        <f t="shared" si="208"/>
        <v>-6234.7220095610019</v>
      </c>
      <c r="P352" s="31">
        <f t="shared" si="209"/>
        <v>214509.28419270605</v>
      </c>
      <c r="Q352" s="5"/>
      <c r="R352">
        <f t="shared" ca="1" si="220"/>
        <v>469</v>
      </c>
      <c r="S352" s="133">
        <f t="shared" ca="1" si="221"/>
        <v>106.84</v>
      </c>
      <c r="T352" s="132">
        <f t="shared" ca="1" si="210"/>
        <v>0</v>
      </c>
      <c r="U352" s="133">
        <f t="shared" ca="1" si="228"/>
        <v>1.9008342029825436E-4</v>
      </c>
      <c r="V352" s="31">
        <f t="shared" ca="1" si="222"/>
        <v>0</v>
      </c>
      <c r="W352" s="31">
        <f t="shared" ca="1" si="211"/>
        <v>0</v>
      </c>
      <c r="X352" s="163">
        <f t="shared" ca="1" si="229"/>
        <v>0</v>
      </c>
      <c r="Y352" s="163">
        <f t="shared" ca="1" si="230"/>
        <v>0</v>
      </c>
      <c r="Z352" s="163">
        <f t="shared" ca="1" si="223"/>
        <v>0</v>
      </c>
      <c r="AA352" s="163">
        <f t="shared" ca="1" si="231"/>
        <v>0</v>
      </c>
      <c r="AB352" s="84">
        <f t="shared" ca="1" si="212"/>
        <v>0</v>
      </c>
      <c r="AC352" s="160">
        <f t="shared" si="213"/>
        <v>0</v>
      </c>
      <c r="AD352" s="31">
        <f t="shared" ca="1" si="214"/>
        <v>0</v>
      </c>
      <c r="AE352" s="5"/>
      <c r="AF352" s="151">
        <f t="shared" ca="1" si="215"/>
        <v>0</v>
      </c>
      <c r="AG352" s="151">
        <f t="shared" ca="1" si="216"/>
        <v>0</v>
      </c>
      <c r="AH352" s="5"/>
      <c r="AI352" s="5"/>
      <c r="AS352" s="55">
        <f t="shared" si="224"/>
        <v>30</v>
      </c>
      <c r="AT352" s="56">
        <f t="shared" si="232"/>
        <v>349</v>
      </c>
      <c r="AU352" s="57">
        <f t="shared" si="236"/>
        <v>0.1821503106936985</v>
      </c>
      <c r="AV352" s="58">
        <f t="shared" si="225"/>
        <v>4.8675505653430484E-3</v>
      </c>
      <c r="AW352" s="59">
        <f t="shared" si="226"/>
        <v>1.004867550565343</v>
      </c>
      <c r="AX352" s="60">
        <f>PRODUCT(AW$4:AW352)</f>
        <v>5.4447621760556881</v>
      </c>
    </row>
    <row r="353" spans="5:50">
      <c r="E353">
        <f t="shared" si="234"/>
        <v>350</v>
      </c>
      <c r="F353" s="9">
        <f t="shared" si="227"/>
        <v>98.08333333333168</v>
      </c>
      <c r="G353" s="132">
        <f t="shared" si="205"/>
        <v>0</v>
      </c>
      <c r="H353" s="133">
        <f t="shared" si="233"/>
        <v>1</v>
      </c>
      <c r="I353" s="31">
        <f t="shared" si="217"/>
        <v>214509.28419270605</v>
      </c>
      <c r="J353" s="31">
        <f t="shared" si="206"/>
        <v>1044.134787543539</v>
      </c>
      <c r="K353" s="163">
        <f t="shared" si="207"/>
        <v>-20</v>
      </c>
      <c r="L353" s="163">
        <f t="shared" si="218"/>
        <v>-178.75773682725506</v>
      </c>
      <c r="M353" s="163">
        <f t="shared" si="235"/>
        <v>0</v>
      </c>
      <c r="N353" s="163">
        <f t="shared" si="219"/>
        <v>-203.78381998307077</v>
      </c>
      <c r="O353" s="84">
        <f t="shared" si="208"/>
        <v>-6234.7220095610019</v>
      </c>
      <c r="P353" s="31">
        <f t="shared" si="209"/>
        <v>208916.15541387827</v>
      </c>
      <c r="Q353" s="5"/>
      <c r="R353">
        <f t="shared" ca="1" si="220"/>
        <v>470</v>
      </c>
      <c r="S353" s="133">
        <f t="shared" ca="1" si="221"/>
        <v>106.92</v>
      </c>
      <c r="T353" s="132">
        <f t="shared" ca="1" si="210"/>
        <v>0</v>
      </c>
      <c r="U353" s="133">
        <f t="shared" ca="1" si="228"/>
        <v>1.9008342029825436E-4</v>
      </c>
      <c r="V353" s="31">
        <f t="shared" ca="1" si="222"/>
        <v>0</v>
      </c>
      <c r="W353" s="31">
        <f t="shared" ca="1" si="211"/>
        <v>0</v>
      </c>
      <c r="X353" s="163">
        <f t="shared" ca="1" si="229"/>
        <v>0</v>
      </c>
      <c r="Y353" s="163">
        <f t="shared" ca="1" si="230"/>
        <v>0</v>
      </c>
      <c r="Z353" s="163">
        <f t="shared" ca="1" si="223"/>
        <v>0</v>
      </c>
      <c r="AA353" s="163">
        <f t="shared" ca="1" si="231"/>
        <v>0</v>
      </c>
      <c r="AB353" s="84">
        <f t="shared" ca="1" si="212"/>
        <v>0</v>
      </c>
      <c r="AC353" s="160">
        <f t="shared" si="213"/>
        <v>0</v>
      </c>
      <c r="AD353" s="31">
        <f t="shared" ca="1" si="214"/>
        <v>0</v>
      </c>
      <c r="AE353" s="5"/>
      <c r="AF353" s="151">
        <f t="shared" ca="1" si="215"/>
        <v>0</v>
      </c>
      <c r="AG353" s="151">
        <f t="shared" ca="1" si="216"/>
        <v>0</v>
      </c>
      <c r="AH353" s="5"/>
      <c r="AI353" s="5"/>
      <c r="AS353" s="55">
        <f t="shared" si="224"/>
        <v>30</v>
      </c>
      <c r="AT353" s="56">
        <f t="shared" si="232"/>
        <v>350</v>
      </c>
      <c r="AU353" s="57">
        <f t="shared" si="236"/>
        <v>0.18126368484590397</v>
      </c>
      <c r="AV353" s="58">
        <f t="shared" si="225"/>
        <v>4.8675505653430484E-3</v>
      </c>
      <c r="AW353" s="59">
        <f t="shared" si="226"/>
        <v>1.004867550565343</v>
      </c>
      <c r="AX353" s="60">
        <f>PRODUCT(AW$4:AW353)</f>
        <v>5.4712648312639063</v>
      </c>
    </row>
    <row r="354" spans="5:50">
      <c r="E354">
        <f t="shared" si="234"/>
        <v>351</v>
      </c>
      <c r="F354" s="9">
        <f t="shared" si="227"/>
        <v>98.166666666665009</v>
      </c>
      <c r="G354" s="132">
        <f t="shared" si="205"/>
        <v>0</v>
      </c>
      <c r="H354" s="133">
        <f t="shared" si="233"/>
        <v>1</v>
      </c>
      <c r="I354" s="31">
        <f t="shared" si="217"/>
        <v>208916.15541387827</v>
      </c>
      <c r="J354" s="31">
        <f t="shared" si="206"/>
        <v>1016.9099503941193</v>
      </c>
      <c r="K354" s="163">
        <f t="shared" si="207"/>
        <v>-20</v>
      </c>
      <c r="L354" s="163">
        <f t="shared" si="218"/>
        <v>-174.0967961782319</v>
      </c>
      <c r="M354" s="163">
        <f t="shared" si="235"/>
        <v>0</v>
      </c>
      <c r="N354" s="163">
        <f t="shared" si="219"/>
        <v>-198.4703476431844</v>
      </c>
      <c r="O354" s="84">
        <f t="shared" si="208"/>
        <v>-6234.7220095610019</v>
      </c>
      <c r="P354" s="31">
        <f t="shared" si="209"/>
        <v>203305.77621088998</v>
      </c>
      <c r="Q354" s="5"/>
      <c r="R354">
        <f t="shared" ca="1" si="220"/>
        <v>471</v>
      </c>
      <c r="S354" s="133">
        <f t="shared" ca="1" si="221"/>
        <v>107</v>
      </c>
      <c r="T354" s="132">
        <f t="shared" ca="1" si="210"/>
        <v>0</v>
      </c>
      <c r="U354" s="133">
        <f t="shared" ca="1" si="228"/>
        <v>1.9008342029825436E-4</v>
      </c>
      <c r="V354" s="31">
        <f t="shared" ca="1" si="222"/>
        <v>0</v>
      </c>
      <c r="W354" s="31">
        <f t="shared" ca="1" si="211"/>
        <v>0</v>
      </c>
      <c r="X354" s="163">
        <f t="shared" ca="1" si="229"/>
        <v>0</v>
      </c>
      <c r="Y354" s="163">
        <f t="shared" ca="1" si="230"/>
        <v>0</v>
      </c>
      <c r="Z354" s="163">
        <f t="shared" ca="1" si="223"/>
        <v>0</v>
      </c>
      <c r="AA354" s="163">
        <f t="shared" ca="1" si="231"/>
        <v>0</v>
      </c>
      <c r="AB354" s="84">
        <f t="shared" ca="1" si="212"/>
        <v>0</v>
      </c>
      <c r="AC354" s="160">
        <f t="shared" si="213"/>
        <v>0</v>
      </c>
      <c r="AD354" s="31">
        <f t="shared" ca="1" si="214"/>
        <v>0</v>
      </c>
      <c r="AE354" s="5"/>
      <c r="AF354" s="151">
        <f t="shared" ca="1" si="215"/>
        <v>0</v>
      </c>
      <c r="AG354" s="151">
        <f t="shared" ca="1" si="216"/>
        <v>0</v>
      </c>
      <c r="AH354" s="5"/>
      <c r="AI354" s="5"/>
      <c r="AS354" s="55">
        <f t="shared" si="224"/>
        <v>30</v>
      </c>
      <c r="AT354" s="56">
        <f t="shared" si="232"/>
        <v>351</v>
      </c>
      <c r="AU354" s="57">
        <f t="shared" si="236"/>
        <v>0.18038137469425614</v>
      </c>
      <c r="AV354" s="58">
        <f t="shared" si="225"/>
        <v>4.8675505653430484E-3</v>
      </c>
      <c r="AW354" s="59">
        <f t="shared" si="226"/>
        <v>1.004867550565343</v>
      </c>
      <c r="AX354" s="60">
        <f>PRODUCT(AW$4:AW354)</f>
        <v>5.4978964894864664</v>
      </c>
    </row>
    <row r="355" spans="5:50">
      <c r="E355">
        <f t="shared" si="234"/>
        <v>352</v>
      </c>
      <c r="F355" s="9">
        <f t="shared" si="227"/>
        <v>98.249999999998337</v>
      </c>
      <c r="G355" s="132">
        <f t="shared" si="205"/>
        <v>0</v>
      </c>
      <c r="H355" s="133">
        <f t="shared" si="233"/>
        <v>1</v>
      </c>
      <c r="I355" s="31">
        <f t="shared" si="217"/>
        <v>203305.77621088998</v>
      </c>
      <c r="J355" s="31">
        <f t="shared" si="206"/>
        <v>989.60114593282481</v>
      </c>
      <c r="K355" s="163">
        <f t="shared" si="207"/>
        <v>-20</v>
      </c>
      <c r="L355" s="163">
        <f t="shared" si="218"/>
        <v>-169.42148017574166</v>
      </c>
      <c r="M355" s="163">
        <f t="shared" si="235"/>
        <v>0</v>
      </c>
      <c r="N355" s="163">
        <f t="shared" si="219"/>
        <v>-193.14048740034551</v>
      </c>
      <c r="O355" s="84">
        <f t="shared" si="208"/>
        <v>-6234.7220095610019</v>
      </c>
      <c r="P355" s="31">
        <f t="shared" si="209"/>
        <v>197678.09337968571</v>
      </c>
      <c r="Q355" s="5"/>
      <c r="R355">
        <f t="shared" ca="1" si="220"/>
        <v>472</v>
      </c>
      <c r="S355" s="133">
        <f t="shared" ca="1" si="221"/>
        <v>107.08</v>
      </c>
      <c r="T355" s="132">
        <f t="shared" ca="1" si="210"/>
        <v>0</v>
      </c>
      <c r="U355" s="133">
        <f t="shared" ca="1" si="228"/>
        <v>1.9008342029825436E-4</v>
      </c>
      <c r="V355" s="31">
        <f t="shared" ca="1" si="222"/>
        <v>0</v>
      </c>
      <c r="W355" s="31">
        <f t="shared" ca="1" si="211"/>
        <v>0</v>
      </c>
      <c r="X355" s="163">
        <f t="shared" ca="1" si="229"/>
        <v>0</v>
      </c>
      <c r="Y355" s="163">
        <f t="shared" ca="1" si="230"/>
        <v>0</v>
      </c>
      <c r="Z355" s="163">
        <f t="shared" ca="1" si="223"/>
        <v>0</v>
      </c>
      <c r="AA355" s="163">
        <f t="shared" ca="1" si="231"/>
        <v>0</v>
      </c>
      <c r="AB355" s="84">
        <f t="shared" ca="1" si="212"/>
        <v>0</v>
      </c>
      <c r="AC355" s="160">
        <f t="shared" si="213"/>
        <v>0</v>
      </c>
      <c r="AD355" s="31">
        <f t="shared" ca="1" si="214"/>
        <v>0</v>
      </c>
      <c r="AE355" s="5"/>
      <c r="AF355" s="151">
        <f t="shared" ca="1" si="215"/>
        <v>0</v>
      </c>
      <c r="AG355" s="151">
        <f t="shared" ca="1" si="216"/>
        <v>0</v>
      </c>
      <c r="AH355" s="5"/>
      <c r="AI355" s="5"/>
      <c r="AS355" s="55">
        <f t="shared" si="224"/>
        <v>30</v>
      </c>
      <c r="AT355" s="56">
        <f t="shared" si="232"/>
        <v>352</v>
      </c>
      <c r="AU355" s="57">
        <f t="shared" si="236"/>
        <v>0.17950335923188576</v>
      </c>
      <c r="AV355" s="58">
        <f t="shared" si="225"/>
        <v>4.8675505653430484E-3</v>
      </c>
      <c r="AW355" s="59">
        <f t="shared" si="226"/>
        <v>1.004867550565343</v>
      </c>
      <c r="AX355" s="60">
        <f>PRODUCT(AW$4:AW355)</f>
        <v>5.5246577786520641</v>
      </c>
    </row>
    <row r="356" spans="5:50">
      <c r="E356">
        <f t="shared" si="234"/>
        <v>353</v>
      </c>
      <c r="F356" s="9">
        <f t="shared" si="227"/>
        <v>98.333333333331666</v>
      </c>
      <c r="G356" s="132">
        <f t="shared" si="205"/>
        <v>0</v>
      </c>
      <c r="H356" s="133">
        <f t="shared" si="233"/>
        <v>1</v>
      </c>
      <c r="I356" s="31">
        <f t="shared" si="217"/>
        <v>197678.09337968571</v>
      </c>
      <c r="J356" s="31">
        <f t="shared" si="206"/>
        <v>962.20811518622509</v>
      </c>
      <c r="K356" s="163">
        <f t="shared" si="207"/>
        <v>-20</v>
      </c>
      <c r="L356" s="163">
        <f t="shared" si="218"/>
        <v>-164.73174448307145</v>
      </c>
      <c r="M356" s="163">
        <f t="shared" si="235"/>
        <v>0</v>
      </c>
      <c r="N356" s="163">
        <f t="shared" si="219"/>
        <v>-187.79418871070149</v>
      </c>
      <c r="O356" s="84">
        <f t="shared" si="208"/>
        <v>-6234.7220095610019</v>
      </c>
      <c r="P356" s="31">
        <f t="shared" si="209"/>
        <v>192033.05355211714</v>
      </c>
      <c r="Q356" s="5"/>
      <c r="R356">
        <f t="shared" ca="1" si="220"/>
        <v>473</v>
      </c>
      <c r="S356" s="133">
        <f t="shared" ca="1" si="221"/>
        <v>107.16</v>
      </c>
      <c r="T356" s="132">
        <f t="shared" ca="1" si="210"/>
        <v>0</v>
      </c>
      <c r="U356" s="133">
        <f t="shared" ca="1" si="228"/>
        <v>1.9008342029825436E-4</v>
      </c>
      <c r="V356" s="31">
        <f t="shared" ca="1" si="222"/>
        <v>0</v>
      </c>
      <c r="W356" s="31">
        <f t="shared" ca="1" si="211"/>
        <v>0</v>
      </c>
      <c r="X356" s="163">
        <f t="shared" ca="1" si="229"/>
        <v>0</v>
      </c>
      <c r="Y356" s="163">
        <f t="shared" ca="1" si="230"/>
        <v>0</v>
      </c>
      <c r="Z356" s="163">
        <f t="shared" ca="1" si="223"/>
        <v>0</v>
      </c>
      <c r="AA356" s="163">
        <f t="shared" ca="1" si="231"/>
        <v>0</v>
      </c>
      <c r="AB356" s="84">
        <f t="shared" ca="1" si="212"/>
        <v>0</v>
      </c>
      <c r="AC356" s="160">
        <f t="shared" si="213"/>
        <v>0</v>
      </c>
      <c r="AD356" s="31">
        <f t="shared" ca="1" si="214"/>
        <v>0</v>
      </c>
      <c r="AE356" s="5"/>
      <c r="AF356" s="151">
        <f t="shared" ca="1" si="215"/>
        <v>0</v>
      </c>
      <c r="AG356" s="151">
        <f t="shared" ca="1" si="216"/>
        <v>0</v>
      </c>
      <c r="AH356" s="5"/>
      <c r="AI356" s="5"/>
      <c r="AS356" s="55">
        <f t="shared" si="224"/>
        <v>30</v>
      </c>
      <c r="AT356" s="56">
        <f t="shared" si="232"/>
        <v>353</v>
      </c>
      <c r="AU356" s="57">
        <f t="shared" si="236"/>
        <v>0.17862961755417561</v>
      </c>
      <c r="AV356" s="58">
        <f t="shared" si="225"/>
        <v>4.8675505653430484E-3</v>
      </c>
      <c r="AW356" s="59">
        <f t="shared" si="226"/>
        <v>1.004867550565343</v>
      </c>
      <c r="AX356" s="60">
        <f>PRODUCT(AW$4:AW356)</f>
        <v>5.5515493297458685</v>
      </c>
    </row>
    <row r="357" spans="5:50">
      <c r="E357">
        <f t="shared" si="234"/>
        <v>354</v>
      </c>
      <c r="F357" s="9">
        <f t="shared" si="227"/>
        <v>98.416666666664995</v>
      </c>
      <c r="G357" s="132">
        <f t="shared" si="205"/>
        <v>0</v>
      </c>
      <c r="H357" s="133">
        <f t="shared" si="233"/>
        <v>1</v>
      </c>
      <c r="I357" s="31">
        <f t="shared" si="217"/>
        <v>192033.05355211714</v>
      </c>
      <c r="J357" s="31">
        <f t="shared" si="206"/>
        <v>934.73059838215966</v>
      </c>
      <c r="K357" s="163">
        <f t="shared" si="207"/>
        <v>-20</v>
      </c>
      <c r="L357" s="163">
        <f t="shared" si="218"/>
        <v>-160.0275446267643</v>
      </c>
      <c r="M357" s="163">
        <f t="shared" si="235"/>
        <v>0</v>
      </c>
      <c r="N357" s="163">
        <f t="shared" si="219"/>
        <v>-182.4314008745113</v>
      </c>
      <c r="O357" s="84">
        <f t="shared" si="208"/>
        <v>-6234.7220095610019</v>
      </c>
      <c r="P357" s="31">
        <f t="shared" si="209"/>
        <v>186370.60319543703</v>
      </c>
      <c r="Q357" s="5"/>
      <c r="R357">
        <f t="shared" ca="1" si="220"/>
        <v>474</v>
      </c>
      <c r="S357" s="133">
        <f t="shared" ca="1" si="221"/>
        <v>107.24</v>
      </c>
      <c r="T357" s="132">
        <f t="shared" ca="1" si="210"/>
        <v>0</v>
      </c>
      <c r="U357" s="133">
        <f t="shared" ca="1" si="228"/>
        <v>1.9008342029825436E-4</v>
      </c>
      <c r="V357" s="31">
        <f t="shared" ca="1" si="222"/>
        <v>0</v>
      </c>
      <c r="W357" s="31">
        <f t="shared" ca="1" si="211"/>
        <v>0</v>
      </c>
      <c r="X357" s="163">
        <f t="shared" ca="1" si="229"/>
        <v>0</v>
      </c>
      <c r="Y357" s="163">
        <f t="shared" ca="1" si="230"/>
        <v>0</v>
      </c>
      <c r="Z357" s="163">
        <f t="shared" ca="1" si="223"/>
        <v>0</v>
      </c>
      <c r="AA357" s="163">
        <f t="shared" ca="1" si="231"/>
        <v>0</v>
      </c>
      <c r="AB357" s="84">
        <f t="shared" ca="1" si="212"/>
        <v>0</v>
      </c>
      <c r="AC357" s="160">
        <f t="shared" si="213"/>
        <v>0</v>
      </c>
      <c r="AD357" s="31">
        <f t="shared" ca="1" si="214"/>
        <v>0</v>
      </c>
      <c r="AE357" s="5"/>
      <c r="AF357" s="151">
        <f t="shared" ca="1" si="215"/>
        <v>0</v>
      </c>
      <c r="AG357" s="151">
        <f t="shared" ca="1" si="216"/>
        <v>0</v>
      </c>
      <c r="AH357" s="5"/>
      <c r="AI357" s="5"/>
      <c r="AS357" s="55">
        <f t="shared" si="224"/>
        <v>30</v>
      </c>
      <c r="AT357" s="56">
        <f t="shared" si="232"/>
        <v>354</v>
      </c>
      <c r="AU357" s="57">
        <f t="shared" si="236"/>
        <v>0.17776012885826278</v>
      </c>
      <c r="AV357" s="58">
        <f t="shared" si="225"/>
        <v>4.8675505653430484E-3</v>
      </c>
      <c r="AW357" s="59">
        <f t="shared" si="226"/>
        <v>1.004867550565343</v>
      </c>
      <c r="AX357" s="60">
        <f>PRODUCT(AW$4:AW357)</f>
        <v>5.5785717768244032</v>
      </c>
    </row>
    <row r="358" spans="5:50">
      <c r="E358">
        <f t="shared" si="234"/>
        <v>355</v>
      </c>
      <c r="F358" s="9">
        <f t="shared" si="227"/>
        <v>98.499999999998323</v>
      </c>
      <c r="G358" s="132">
        <f t="shared" si="205"/>
        <v>0</v>
      </c>
      <c r="H358" s="133">
        <f t="shared" si="233"/>
        <v>1</v>
      </c>
      <c r="I358" s="31">
        <f t="shared" si="217"/>
        <v>186370.60319543703</v>
      </c>
      <c r="J358" s="31">
        <f t="shared" si="206"/>
        <v>907.16833494727439</v>
      </c>
      <c r="K358" s="163">
        <f t="shared" si="207"/>
        <v>-20</v>
      </c>
      <c r="L358" s="163">
        <f t="shared" si="218"/>
        <v>-155.30883599619753</v>
      </c>
      <c r="M358" s="163">
        <f t="shared" si="235"/>
        <v>0</v>
      </c>
      <c r="N358" s="163">
        <f t="shared" si="219"/>
        <v>-177.05207303566522</v>
      </c>
      <c r="O358" s="84">
        <f t="shared" si="208"/>
        <v>-6234.7220095610019</v>
      </c>
      <c r="P358" s="31">
        <f t="shared" si="209"/>
        <v>180690.68861179147</v>
      </c>
      <c r="Q358" s="5"/>
      <c r="R358">
        <f t="shared" ca="1" si="220"/>
        <v>475</v>
      </c>
      <c r="S358" s="133">
        <f t="shared" ca="1" si="221"/>
        <v>107.32</v>
      </c>
      <c r="T358" s="132">
        <f t="shared" ca="1" si="210"/>
        <v>0</v>
      </c>
      <c r="U358" s="133">
        <f t="shared" ca="1" si="228"/>
        <v>1.9008342029825436E-4</v>
      </c>
      <c r="V358" s="31">
        <f t="shared" ca="1" si="222"/>
        <v>0</v>
      </c>
      <c r="W358" s="31">
        <f t="shared" ca="1" si="211"/>
        <v>0</v>
      </c>
      <c r="X358" s="163">
        <f t="shared" ca="1" si="229"/>
        <v>0</v>
      </c>
      <c r="Y358" s="163">
        <f t="shared" ca="1" si="230"/>
        <v>0</v>
      </c>
      <c r="Z358" s="163">
        <f t="shared" ca="1" si="223"/>
        <v>0</v>
      </c>
      <c r="AA358" s="163">
        <f t="shared" ca="1" si="231"/>
        <v>0</v>
      </c>
      <c r="AB358" s="84">
        <f t="shared" ca="1" si="212"/>
        <v>0</v>
      </c>
      <c r="AC358" s="160">
        <f t="shared" si="213"/>
        <v>0</v>
      </c>
      <c r="AD358" s="31">
        <f t="shared" ca="1" si="214"/>
        <v>0</v>
      </c>
      <c r="AE358" s="5"/>
      <c r="AF358" s="151">
        <f t="shared" ca="1" si="215"/>
        <v>0</v>
      </c>
      <c r="AG358" s="151">
        <f t="shared" ca="1" si="216"/>
        <v>0</v>
      </c>
      <c r="AH358" s="5"/>
      <c r="AI358" s="5"/>
      <c r="AS358" s="55">
        <f t="shared" si="224"/>
        <v>30</v>
      </c>
      <c r="AT358" s="56">
        <f t="shared" si="232"/>
        <v>355</v>
      </c>
      <c r="AU358" s="57">
        <f t="shared" si="236"/>
        <v>0.17689487244254329</v>
      </c>
      <c r="AV358" s="58">
        <f t="shared" si="225"/>
        <v>4.8675505653430484E-3</v>
      </c>
      <c r="AW358" s="59">
        <f t="shared" si="226"/>
        <v>1.004867550565343</v>
      </c>
      <c r="AX358" s="60">
        <f>PRODUCT(AW$4:AW358)</f>
        <v>5.6057257570304913</v>
      </c>
    </row>
    <row r="359" spans="5:50">
      <c r="E359">
        <f t="shared" si="234"/>
        <v>356</v>
      </c>
      <c r="F359" s="9">
        <f t="shared" si="227"/>
        <v>98.583333333331652</v>
      </c>
      <c r="G359" s="132">
        <f t="shared" si="205"/>
        <v>0</v>
      </c>
      <c r="H359" s="133">
        <f t="shared" si="233"/>
        <v>1</v>
      </c>
      <c r="I359" s="31">
        <f t="shared" si="217"/>
        <v>180690.68861179147</v>
      </c>
      <c r="J359" s="31">
        <f t="shared" si="206"/>
        <v>879.52106350455028</v>
      </c>
      <c r="K359" s="163">
        <f t="shared" si="207"/>
        <v>-20</v>
      </c>
      <c r="L359" s="163">
        <f t="shared" si="218"/>
        <v>-150.57557384315956</v>
      </c>
      <c r="M359" s="163">
        <f t="shared" si="235"/>
        <v>0</v>
      </c>
      <c r="N359" s="163">
        <f t="shared" si="219"/>
        <v>-171.65615418120194</v>
      </c>
      <c r="O359" s="84">
        <f t="shared" si="208"/>
        <v>-6234.7220095610019</v>
      </c>
      <c r="P359" s="31">
        <f t="shared" si="209"/>
        <v>174993.25593771067</v>
      </c>
      <c r="Q359" s="5"/>
      <c r="R359">
        <f t="shared" ca="1" si="220"/>
        <v>476</v>
      </c>
      <c r="S359" s="133">
        <f t="shared" ca="1" si="221"/>
        <v>107.4</v>
      </c>
      <c r="T359" s="132">
        <f t="shared" ca="1" si="210"/>
        <v>0</v>
      </c>
      <c r="U359" s="133">
        <f t="shared" ca="1" si="228"/>
        <v>1.9008342029825436E-4</v>
      </c>
      <c r="V359" s="31">
        <f t="shared" ca="1" si="222"/>
        <v>0</v>
      </c>
      <c r="W359" s="31">
        <f t="shared" ca="1" si="211"/>
        <v>0</v>
      </c>
      <c r="X359" s="163">
        <f t="shared" ca="1" si="229"/>
        <v>0</v>
      </c>
      <c r="Y359" s="163">
        <f t="shared" ca="1" si="230"/>
        <v>0</v>
      </c>
      <c r="Z359" s="163">
        <f t="shared" ca="1" si="223"/>
        <v>0</v>
      </c>
      <c r="AA359" s="163">
        <f t="shared" ca="1" si="231"/>
        <v>0</v>
      </c>
      <c r="AB359" s="84">
        <f t="shared" ca="1" si="212"/>
        <v>0</v>
      </c>
      <c r="AC359" s="160">
        <f t="shared" si="213"/>
        <v>0</v>
      </c>
      <c r="AD359" s="31">
        <f t="shared" ca="1" si="214"/>
        <v>0</v>
      </c>
      <c r="AE359" s="5"/>
      <c r="AF359" s="151">
        <f t="shared" ca="1" si="215"/>
        <v>0</v>
      </c>
      <c r="AG359" s="151">
        <f t="shared" ca="1" si="216"/>
        <v>0</v>
      </c>
      <c r="AH359" s="5"/>
      <c r="AI359" s="5"/>
      <c r="AS359" s="55">
        <f t="shared" si="224"/>
        <v>30</v>
      </c>
      <c r="AT359" s="56">
        <f t="shared" si="232"/>
        <v>356</v>
      </c>
      <c r="AU359" s="57">
        <f t="shared" si="236"/>
        <v>0.17603382770617931</v>
      </c>
      <c r="AV359" s="58">
        <f t="shared" si="225"/>
        <v>4.8675505653430484E-3</v>
      </c>
      <c r="AW359" s="59">
        <f t="shared" si="226"/>
        <v>1.004867550565343</v>
      </c>
      <c r="AX359" s="60">
        <f>PRODUCT(AW$4:AW359)</f>
        <v>5.6330119106082828</v>
      </c>
    </row>
    <row r="360" spans="5:50">
      <c r="E360">
        <f t="shared" si="234"/>
        <v>357</v>
      </c>
      <c r="F360" s="9">
        <f t="shared" si="227"/>
        <v>98.66666666666498</v>
      </c>
      <c r="G360" s="132">
        <f t="shared" si="205"/>
        <v>0</v>
      </c>
      <c r="H360" s="133">
        <f t="shared" si="233"/>
        <v>1</v>
      </c>
      <c r="I360" s="31">
        <f t="shared" si="217"/>
        <v>174993.25593771067</v>
      </c>
      <c r="J360" s="31">
        <f t="shared" si="206"/>
        <v>851.7885218708243</v>
      </c>
      <c r="K360" s="163">
        <f t="shared" si="207"/>
        <v>-20</v>
      </c>
      <c r="L360" s="163">
        <f t="shared" si="218"/>
        <v>-145.82771328142556</v>
      </c>
      <c r="M360" s="163">
        <f t="shared" si="235"/>
        <v>0</v>
      </c>
      <c r="N360" s="163">
        <f t="shared" si="219"/>
        <v>-166.24359314082517</v>
      </c>
      <c r="O360" s="84">
        <f t="shared" si="208"/>
        <v>-6234.7220095610019</v>
      </c>
      <c r="P360" s="31">
        <f t="shared" si="209"/>
        <v>169278.25114359823</v>
      </c>
      <c r="Q360" s="5"/>
      <c r="R360">
        <f t="shared" ca="1" si="220"/>
        <v>477</v>
      </c>
      <c r="S360" s="133">
        <f t="shared" ca="1" si="221"/>
        <v>107.48</v>
      </c>
      <c r="T360" s="132">
        <f t="shared" ca="1" si="210"/>
        <v>0</v>
      </c>
      <c r="U360" s="133">
        <f t="shared" ca="1" si="228"/>
        <v>1.9008342029825436E-4</v>
      </c>
      <c r="V360" s="31">
        <f t="shared" ca="1" si="222"/>
        <v>0</v>
      </c>
      <c r="W360" s="31">
        <f t="shared" ca="1" si="211"/>
        <v>0</v>
      </c>
      <c r="X360" s="163">
        <f t="shared" ca="1" si="229"/>
        <v>0</v>
      </c>
      <c r="Y360" s="163">
        <f t="shared" ca="1" si="230"/>
        <v>0</v>
      </c>
      <c r="Z360" s="163">
        <f t="shared" ca="1" si="223"/>
        <v>0</v>
      </c>
      <c r="AA360" s="163">
        <f t="shared" ca="1" si="231"/>
        <v>0</v>
      </c>
      <c r="AB360" s="84">
        <f t="shared" ca="1" si="212"/>
        <v>0</v>
      </c>
      <c r="AC360" s="160">
        <f t="shared" si="213"/>
        <v>0</v>
      </c>
      <c r="AD360" s="31">
        <f t="shared" ca="1" si="214"/>
        <v>0</v>
      </c>
      <c r="AE360" s="5"/>
      <c r="AF360" s="151">
        <f t="shared" ca="1" si="215"/>
        <v>0</v>
      </c>
      <c r="AG360" s="151">
        <f t="shared" ca="1" si="216"/>
        <v>0</v>
      </c>
      <c r="AH360" s="5"/>
      <c r="AI360" s="5"/>
      <c r="AS360" s="55">
        <f t="shared" si="224"/>
        <v>30</v>
      </c>
      <c r="AT360" s="56">
        <f t="shared" si="232"/>
        <v>357</v>
      </c>
      <c r="AU360" s="57">
        <f t="shared" si="236"/>
        <v>0.17517697414860861</v>
      </c>
      <c r="AV360" s="58">
        <f t="shared" si="225"/>
        <v>4.8675505653430484E-3</v>
      </c>
      <c r="AW360" s="59">
        <f t="shared" si="226"/>
        <v>1.004867550565343</v>
      </c>
      <c r="AX360" s="60">
        <f>PRODUCT(AW$4:AW360)</f>
        <v>5.6604308809183479</v>
      </c>
    </row>
    <row r="361" spans="5:50">
      <c r="E361">
        <f t="shared" si="234"/>
        <v>358</v>
      </c>
      <c r="F361" s="9">
        <f t="shared" si="227"/>
        <v>98.749999999998309</v>
      </c>
      <c r="G361" s="132">
        <f t="shared" si="205"/>
        <v>0</v>
      </c>
      <c r="H361" s="133">
        <f t="shared" si="233"/>
        <v>1</v>
      </c>
      <c r="I361" s="31">
        <f t="shared" si="217"/>
        <v>169278.25114359823</v>
      </c>
      <c r="J361" s="31">
        <f t="shared" si="206"/>
        <v>823.97044705430415</v>
      </c>
      <c r="K361" s="163">
        <f t="shared" si="207"/>
        <v>-20</v>
      </c>
      <c r="L361" s="163">
        <f t="shared" si="218"/>
        <v>-141.06520928633188</v>
      </c>
      <c r="M361" s="163">
        <f t="shared" si="235"/>
        <v>0</v>
      </c>
      <c r="N361" s="163">
        <f t="shared" si="219"/>
        <v>-160.81433858641836</v>
      </c>
      <c r="O361" s="84">
        <f t="shared" si="208"/>
        <v>-6234.7220095610019</v>
      </c>
      <c r="P361" s="31">
        <f t="shared" si="209"/>
        <v>163545.62003321879</v>
      </c>
      <c r="Q361" s="5"/>
      <c r="R361">
        <f t="shared" ca="1" si="220"/>
        <v>478</v>
      </c>
      <c r="S361" s="133">
        <f t="shared" ca="1" si="221"/>
        <v>107.56</v>
      </c>
      <c r="T361" s="132">
        <f t="shared" ca="1" si="210"/>
        <v>0</v>
      </c>
      <c r="U361" s="133">
        <f t="shared" ca="1" si="228"/>
        <v>1.9008342029825436E-4</v>
      </c>
      <c r="V361" s="31">
        <f t="shared" ca="1" si="222"/>
        <v>0</v>
      </c>
      <c r="W361" s="31">
        <f t="shared" ca="1" si="211"/>
        <v>0</v>
      </c>
      <c r="X361" s="163">
        <f t="shared" ca="1" si="229"/>
        <v>0</v>
      </c>
      <c r="Y361" s="163">
        <f t="shared" ca="1" si="230"/>
        <v>0</v>
      </c>
      <c r="Z361" s="163">
        <f t="shared" ca="1" si="223"/>
        <v>0</v>
      </c>
      <c r="AA361" s="163">
        <f t="shared" ca="1" si="231"/>
        <v>0</v>
      </c>
      <c r="AB361" s="84">
        <f t="shared" ca="1" si="212"/>
        <v>0</v>
      </c>
      <c r="AC361" s="160">
        <f t="shared" si="213"/>
        <v>0</v>
      </c>
      <c r="AD361" s="31">
        <f t="shared" ca="1" si="214"/>
        <v>0</v>
      </c>
      <c r="AE361" s="5"/>
      <c r="AF361" s="151">
        <f t="shared" ca="1" si="215"/>
        <v>0</v>
      </c>
      <c r="AG361" s="151">
        <f t="shared" ca="1" si="216"/>
        <v>0</v>
      </c>
      <c r="AH361" s="5"/>
      <c r="AI361" s="5"/>
      <c r="AS361" s="55">
        <f t="shared" si="224"/>
        <v>30</v>
      </c>
      <c r="AT361" s="56">
        <f t="shared" si="232"/>
        <v>358</v>
      </c>
      <c r="AU361" s="57">
        <f t="shared" si="236"/>
        <v>0.17432429136905647</v>
      </c>
      <c r="AV361" s="58">
        <f t="shared" si="225"/>
        <v>4.8675505653430484E-3</v>
      </c>
      <c r="AW361" s="59">
        <f t="shared" si="226"/>
        <v>1.004867550565343</v>
      </c>
      <c r="AX361" s="60">
        <f>PRODUCT(AW$4:AW361)</f>
        <v>5.6879833144528469</v>
      </c>
    </row>
    <row r="362" spans="5:50">
      <c r="E362">
        <f t="shared" si="234"/>
        <v>359</v>
      </c>
      <c r="F362" s="9">
        <f t="shared" si="227"/>
        <v>98.833333333331638</v>
      </c>
      <c r="G362" s="132">
        <f t="shared" si="205"/>
        <v>0</v>
      </c>
      <c r="H362" s="133">
        <f t="shared" si="233"/>
        <v>1</v>
      </c>
      <c r="I362" s="31">
        <f t="shared" si="217"/>
        <v>163545.62003321879</v>
      </c>
      <c r="J362" s="31">
        <f t="shared" si="206"/>
        <v>796.06657525207345</v>
      </c>
      <c r="K362" s="163">
        <f t="shared" si="207"/>
        <v>-20</v>
      </c>
      <c r="L362" s="163">
        <f t="shared" si="218"/>
        <v>-136.28801669434901</v>
      </c>
      <c r="M362" s="163">
        <f t="shared" si="235"/>
        <v>0</v>
      </c>
      <c r="N362" s="163">
        <f t="shared" si="219"/>
        <v>-155.36833903155789</v>
      </c>
      <c r="O362" s="84">
        <f t="shared" si="208"/>
        <v>-6234.7220095610019</v>
      </c>
      <c r="P362" s="31">
        <f t="shared" si="209"/>
        <v>157795.30824318397</v>
      </c>
      <c r="Q362" s="5"/>
      <c r="R362">
        <f t="shared" ca="1" si="220"/>
        <v>479</v>
      </c>
      <c r="S362" s="133">
        <f t="shared" ca="1" si="221"/>
        <v>107.64</v>
      </c>
      <c r="T362" s="132">
        <f t="shared" ca="1" si="210"/>
        <v>0</v>
      </c>
      <c r="U362" s="133">
        <f t="shared" ca="1" si="228"/>
        <v>1.9008342029825436E-4</v>
      </c>
      <c r="V362" s="31">
        <f t="shared" ca="1" si="222"/>
        <v>0</v>
      </c>
      <c r="W362" s="31">
        <f t="shared" ca="1" si="211"/>
        <v>0</v>
      </c>
      <c r="X362" s="163">
        <f t="shared" ca="1" si="229"/>
        <v>0</v>
      </c>
      <c r="Y362" s="163">
        <f t="shared" ca="1" si="230"/>
        <v>0</v>
      </c>
      <c r="Z362" s="163">
        <f t="shared" ca="1" si="223"/>
        <v>0</v>
      </c>
      <c r="AA362" s="163">
        <f t="shared" ca="1" si="231"/>
        <v>0</v>
      </c>
      <c r="AB362" s="84">
        <f t="shared" ca="1" si="212"/>
        <v>0</v>
      </c>
      <c r="AC362" s="160">
        <f t="shared" si="213"/>
        <v>0</v>
      </c>
      <c r="AD362" s="31">
        <f t="shared" ca="1" si="214"/>
        <v>0</v>
      </c>
      <c r="AE362" s="5"/>
      <c r="AF362" s="151">
        <f t="shared" ca="1" si="215"/>
        <v>0</v>
      </c>
      <c r="AG362" s="151">
        <f t="shared" ca="1" si="216"/>
        <v>0</v>
      </c>
      <c r="AH362" s="5"/>
      <c r="AI362" s="5"/>
      <c r="AS362" s="55">
        <f t="shared" si="224"/>
        <v>30</v>
      </c>
      <c r="AT362" s="56">
        <f t="shared" si="232"/>
        <v>359</v>
      </c>
      <c r="AU362" s="57">
        <f t="shared" si="236"/>
        <v>0.17347575906605001</v>
      </c>
      <c r="AV362" s="58">
        <f t="shared" si="225"/>
        <v>4.8675505653430484E-3</v>
      </c>
      <c r="AW362" s="59">
        <f t="shared" si="226"/>
        <v>1.004867550565343</v>
      </c>
      <c r="AX362" s="60">
        <f>PRODUCT(AW$4:AW362)</f>
        <v>5.7156698608507739</v>
      </c>
    </row>
    <row r="363" spans="5:50">
      <c r="E363">
        <f t="shared" si="234"/>
        <v>360</v>
      </c>
      <c r="F363" s="9">
        <f t="shared" si="227"/>
        <v>98.916666666664966</v>
      </c>
      <c r="G363" s="132">
        <f t="shared" si="205"/>
        <v>0</v>
      </c>
      <c r="H363" s="133">
        <f t="shared" si="233"/>
        <v>1</v>
      </c>
      <c r="I363" s="31">
        <f t="shared" si="217"/>
        <v>157795.30824318397</v>
      </c>
      <c r="J363" s="31">
        <f t="shared" si="206"/>
        <v>768.07664184759074</v>
      </c>
      <c r="K363" s="163">
        <f t="shared" si="207"/>
        <v>-20</v>
      </c>
      <c r="L363" s="163">
        <f t="shared" si="218"/>
        <v>-131.49609020265331</v>
      </c>
      <c r="M363" s="163">
        <f t="shared" si="235"/>
        <v>0</v>
      </c>
      <c r="N363" s="163">
        <f t="shared" si="219"/>
        <v>-149.9055428310248</v>
      </c>
      <c r="O363" s="84">
        <f t="shared" si="208"/>
        <v>-6234.7220095610019</v>
      </c>
      <c r="P363" s="31">
        <f t="shared" si="209"/>
        <v>152027.26124243689</v>
      </c>
      <c r="Q363" s="5"/>
      <c r="R363">
        <f t="shared" ca="1" si="220"/>
        <v>480</v>
      </c>
      <c r="S363" s="133">
        <f t="shared" ca="1" si="221"/>
        <v>107.72</v>
      </c>
      <c r="T363" s="132">
        <f t="shared" ca="1" si="210"/>
        <v>0</v>
      </c>
      <c r="U363" s="133">
        <f t="shared" ca="1" si="228"/>
        <v>1.9008342029825436E-4</v>
      </c>
      <c r="V363" s="31">
        <f t="shared" ca="1" si="222"/>
        <v>0</v>
      </c>
      <c r="W363" s="31">
        <f t="shared" ca="1" si="211"/>
        <v>0</v>
      </c>
      <c r="X363" s="163">
        <f t="shared" ca="1" si="229"/>
        <v>0</v>
      </c>
      <c r="Y363" s="163">
        <f t="shared" ca="1" si="230"/>
        <v>0</v>
      </c>
      <c r="Z363" s="163">
        <f t="shared" ca="1" si="223"/>
        <v>0</v>
      </c>
      <c r="AA363" s="163">
        <f t="shared" ca="1" si="231"/>
        <v>0</v>
      </c>
      <c r="AB363" s="84">
        <f t="shared" ca="1" si="212"/>
        <v>0</v>
      </c>
      <c r="AC363" s="160">
        <f t="shared" si="213"/>
        <v>0</v>
      </c>
      <c r="AD363" s="31">
        <f t="shared" ca="1" si="214"/>
        <v>0</v>
      </c>
      <c r="AE363" s="5"/>
      <c r="AF363" s="151">
        <f t="shared" ca="1" si="215"/>
        <v>0</v>
      </c>
      <c r="AG363" s="151">
        <f t="shared" ca="1" si="216"/>
        <v>0</v>
      </c>
      <c r="AH363" s="5"/>
      <c r="AI363" s="5"/>
      <c r="AS363" s="55">
        <f t="shared" si="224"/>
        <v>30</v>
      </c>
      <c r="AT363" s="56">
        <f t="shared" si="232"/>
        <v>360</v>
      </c>
      <c r="AU363" s="57">
        <f t="shared" si="236"/>
        <v>0.17263135703693475</v>
      </c>
      <c r="AV363" s="58">
        <f t="shared" si="225"/>
        <v>4.8675505653430484E-3</v>
      </c>
      <c r="AW363" s="59">
        <f t="shared" si="226"/>
        <v>1.004867550565343</v>
      </c>
      <c r="AX363" s="60">
        <f>PRODUCT(AW$4:AW363)</f>
        <v>5.7434911729132727</v>
      </c>
    </row>
    <row r="364" spans="5:50">
      <c r="E364">
        <f t="shared" si="234"/>
        <v>361</v>
      </c>
      <c r="F364" s="9">
        <f t="shared" si="227"/>
        <v>98.999999999998295</v>
      </c>
      <c r="G364" s="132">
        <f t="shared" si="205"/>
        <v>0</v>
      </c>
      <c r="H364" s="133">
        <f t="shared" si="233"/>
        <v>1</v>
      </c>
      <c r="I364" s="31">
        <f t="shared" si="217"/>
        <v>152027.26124243689</v>
      </c>
      <c r="J364" s="31">
        <f t="shared" si="206"/>
        <v>740.00038140817901</v>
      </c>
      <c r="K364" s="163">
        <f t="shared" si="207"/>
        <v>-20</v>
      </c>
      <c r="L364" s="163">
        <f t="shared" si="218"/>
        <v>-126.68938436869742</v>
      </c>
      <c r="M364" s="163">
        <f t="shared" si="235"/>
        <v>-1140.2044593182766</v>
      </c>
      <c r="N364" s="163">
        <f t="shared" si="219"/>
        <v>-144.42589818031507</v>
      </c>
      <c r="O364" s="84">
        <f t="shared" si="208"/>
        <v>-6234.7220095610019</v>
      </c>
      <c r="P364" s="31">
        <f t="shared" si="209"/>
        <v>145101.21987241678</v>
      </c>
      <c r="Q364" s="5"/>
      <c r="R364">
        <f t="shared" ca="1" si="220"/>
        <v>481</v>
      </c>
      <c r="S364" s="133">
        <f t="shared" ca="1" si="221"/>
        <v>107.8</v>
      </c>
      <c r="T364" s="132">
        <f t="shared" ca="1" si="210"/>
        <v>0</v>
      </c>
      <c r="U364" s="133">
        <f t="shared" ca="1" si="228"/>
        <v>1.9008342029825436E-4</v>
      </c>
      <c r="V364" s="31">
        <f t="shared" ca="1" si="222"/>
        <v>0</v>
      </c>
      <c r="W364" s="31">
        <f t="shared" ca="1" si="211"/>
        <v>0</v>
      </c>
      <c r="X364" s="163">
        <f t="shared" ca="1" si="229"/>
        <v>0</v>
      </c>
      <c r="Y364" s="163">
        <f t="shared" ca="1" si="230"/>
        <v>0</v>
      </c>
      <c r="Z364" s="163">
        <f t="shared" ca="1" si="223"/>
        <v>0</v>
      </c>
      <c r="AA364" s="163">
        <f t="shared" ca="1" si="231"/>
        <v>0</v>
      </c>
      <c r="AB364" s="84">
        <f t="shared" ca="1" si="212"/>
        <v>0</v>
      </c>
      <c r="AC364" s="160">
        <f t="shared" si="213"/>
        <v>0</v>
      </c>
      <c r="AD364" s="31">
        <f t="shared" ca="1" si="214"/>
        <v>0</v>
      </c>
      <c r="AE364" s="5"/>
      <c r="AF364" s="151">
        <f t="shared" ca="1" si="215"/>
        <v>0</v>
      </c>
      <c r="AG364" s="151">
        <f t="shared" ca="1" si="216"/>
        <v>0</v>
      </c>
      <c r="AH364" s="5"/>
      <c r="AI364" s="5"/>
      <c r="AS364" s="55">
        <f t="shared" si="224"/>
        <v>31</v>
      </c>
      <c r="AT364" s="56">
        <f t="shared" si="232"/>
        <v>361</v>
      </c>
      <c r="AU364" s="57">
        <f t="shared" si="236"/>
        <v>0.17179106517739368</v>
      </c>
      <c r="AV364" s="58">
        <f t="shared" si="225"/>
        <v>4.8675505653430484E-3</v>
      </c>
      <c r="AW364" s="59">
        <f t="shared" si="226"/>
        <v>1.004867550565343</v>
      </c>
      <c r="AX364" s="60">
        <f>PRODUCT(AW$4:AW364)</f>
        <v>5.7714479066190298</v>
      </c>
    </row>
    <row r="365" spans="5:50">
      <c r="E365">
        <f t="shared" si="234"/>
        <v>362</v>
      </c>
      <c r="F365" s="9">
        <f t="shared" si="227"/>
        <v>99.083333333331623</v>
      </c>
      <c r="G365" s="132">
        <f t="shared" si="205"/>
        <v>0</v>
      </c>
      <c r="H365" s="133">
        <f t="shared" si="233"/>
        <v>1</v>
      </c>
      <c r="I365" s="31">
        <f t="shared" si="217"/>
        <v>145101.21987241678</v>
      </c>
      <c r="J365" s="31">
        <f t="shared" si="206"/>
        <v>706.2875248219483</v>
      </c>
      <c r="K365" s="163">
        <f t="shared" si="207"/>
        <v>-20</v>
      </c>
      <c r="L365" s="163">
        <f t="shared" si="218"/>
        <v>-120.917683227014</v>
      </c>
      <c r="M365" s="163">
        <f t="shared" si="235"/>
        <v>0</v>
      </c>
      <c r="N365" s="163">
        <f t="shared" si="219"/>
        <v>-137.84615887879596</v>
      </c>
      <c r="O365" s="84">
        <f t="shared" si="208"/>
        <v>-6234.7220095610019</v>
      </c>
      <c r="P365" s="31">
        <f t="shared" si="209"/>
        <v>139294.02154557192</v>
      </c>
      <c r="Q365" s="5"/>
      <c r="R365">
        <f t="shared" ca="1" si="220"/>
        <v>482</v>
      </c>
      <c r="S365" s="133">
        <f t="shared" ca="1" si="221"/>
        <v>107.88</v>
      </c>
      <c r="T365" s="132">
        <f t="shared" ca="1" si="210"/>
        <v>0</v>
      </c>
      <c r="U365" s="133">
        <f t="shared" ca="1" si="228"/>
        <v>1.9008342029825436E-4</v>
      </c>
      <c r="V365" s="31">
        <f t="shared" ca="1" si="222"/>
        <v>0</v>
      </c>
      <c r="W365" s="31">
        <f t="shared" ca="1" si="211"/>
        <v>0</v>
      </c>
      <c r="X365" s="163">
        <f t="shared" ca="1" si="229"/>
        <v>0</v>
      </c>
      <c r="Y365" s="163">
        <f t="shared" ca="1" si="230"/>
        <v>0</v>
      </c>
      <c r="Z365" s="163">
        <f t="shared" ca="1" si="223"/>
        <v>0</v>
      </c>
      <c r="AA365" s="163">
        <f t="shared" ca="1" si="231"/>
        <v>0</v>
      </c>
      <c r="AB365" s="84">
        <f t="shared" ca="1" si="212"/>
        <v>0</v>
      </c>
      <c r="AC365" s="160">
        <f t="shared" si="213"/>
        <v>0</v>
      </c>
      <c r="AD365" s="31">
        <f t="shared" ca="1" si="214"/>
        <v>0</v>
      </c>
      <c r="AE365" s="5"/>
      <c r="AF365" s="151">
        <f t="shared" ca="1" si="215"/>
        <v>0</v>
      </c>
      <c r="AG365" s="151">
        <f t="shared" ca="1" si="216"/>
        <v>0</v>
      </c>
      <c r="AH365" s="5"/>
      <c r="AI365" s="5"/>
      <c r="AS365" s="55">
        <f t="shared" si="224"/>
        <v>31</v>
      </c>
      <c r="AT365" s="56">
        <f t="shared" si="232"/>
        <v>362</v>
      </c>
      <c r="AU365" s="57">
        <f t="shared" si="236"/>
        <v>0.17095486348096856</v>
      </c>
      <c r="AV365" s="58">
        <f t="shared" si="225"/>
        <v>4.8675505653430484E-3</v>
      </c>
      <c r="AW365" s="59">
        <f t="shared" si="226"/>
        <v>1.004867550565343</v>
      </c>
      <c r="AX365" s="60">
        <f>PRODUCT(AW$4:AW365)</f>
        <v>5.7995407211397412</v>
      </c>
    </row>
    <row r="366" spans="5:50">
      <c r="E366">
        <f t="shared" si="234"/>
        <v>363</v>
      </c>
      <c r="F366" s="9">
        <f t="shared" si="227"/>
        <v>99.166666666664952</v>
      </c>
      <c r="G366" s="132">
        <f t="shared" si="205"/>
        <v>0</v>
      </c>
      <c r="H366" s="133">
        <f t="shared" si="233"/>
        <v>1</v>
      </c>
      <c r="I366" s="31">
        <f t="shared" si="217"/>
        <v>139294.02154557192</v>
      </c>
      <c r="J366" s="31">
        <f t="shared" si="206"/>
        <v>678.0206933230553</v>
      </c>
      <c r="K366" s="163">
        <f t="shared" si="207"/>
        <v>-20</v>
      </c>
      <c r="L366" s="163">
        <f t="shared" si="218"/>
        <v>-116.0783512879766</v>
      </c>
      <c r="M366" s="163">
        <f t="shared" si="235"/>
        <v>0</v>
      </c>
      <c r="N366" s="163">
        <f t="shared" si="219"/>
        <v>-132.32932046829333</v>
      </c>
      <c r="O366" s="84">
        <f t="shared" si="208"/>
        <v>-6234.7220095610019</v>
      </c>
      <c r="P366" s="31">
        <f t="shared" si="209"/>
        <v>133468.91255757769</v>
      </c>
      <c r="Q366" s="5"/>
      <c r="R366">
        <f t="shared" ca="1" si="220"/>
        <v>483</v>
      </c>
      <c r="S366" s="133">
        <f t="shared" ca="1" si="221"/>
        <v>107.96</v>
      </c>
      <c r="T366" s="132">
        <f t="shared" ca="1" si="210"/>
        <v>0</v>
      </c>
      <c r="U366" s="133">
        <f t="shared" ca="1" si="228"/>
        <v>1.9008342029825436E-4</v>
      </c>
      <c r="V366" s="31">
        <f t="shared" ca="1" si="222"/>
        <v>0</v>
      </c>
      <c r="W366" s="31">
        <f t="shared" ca="1" si="211"/>
        <v>0</v>
      </c>
      <c r="X366" s="163">
        <f t="shared" ca="1" si="229"/>
        <v>0</v>
      </c>
      <c r="Y366" s="163">
        <f t="shared" ca="1" si="230"/>
        <v>0</v>
      </c>
      <c r="Z366" s="163">
        <f t="shared" ca="1" si="223"/>
        <v>0</v>
      </c>
      <c r="AA366" s="163">
        <f t="shared" ca="1" si="231"/>
        <v>0</v>
      </c>
      <c r="AB366" s="84">
        <f t="shared" ca="1" si="212"/>
        <v>0</v>
      </c>
      <c r="AC366" s="160">
        <f t="shared" si="213"/>
        <v>0</v>
      </c>
      <c r="AD366" s="31">
        <f t="shared" ca="1" si="214"/>
        <v>0</v>
      </c>
      <c r="AE366" s="5"/>
      <c r="AF366" s="151">
        <f t="shared" ca="1" si="215"/>
        <v>0</v>
      </c>
      <c r="AG366" s="151">
        <f t="shared" ca="1" si="216"/>
        <v>0</v>
      </c>
      <c r="AH366" s="5"/>
      <c r="AI366" s="5"/>
      <c r="AS366" s="55">
        <f t="shared" si="224"/>
        <v>31</v>
      </c>
      <c r="AT366" s="56">
        <f t="shared" si="232"/>
        <v>363</v>
      </c>
      <c r="AU366" s="57">
        <f t="shared" si="236"/>
        <v>0.17012273203858364</v>
      </c>
      <c r="AV366" s="58">
        <f t="shared" si="225"/>
        <v>4.8675505653430484E-3</v>
      </c>
      <c r="AW366" s="59">
        <f t="shared" si="226"/>
        <v>1.004867550565343</v>
      </c>
      <c r="AX366" s="60">
        <f>PRODUCT(AW$4:AW366)</f>
        <v>5.8277702788556551</v>
      </c>
    </row>
    <row r="367" spans="5:50">
      <c r="E367">
        <f t="shared" si="234"/>
        <v>364</v>
      </c>
      <c r="F367" s="9">
        <f t="shared" si="227"/>
        <v>99.24999999999828</v>
      </c>
      <c r="G367" s="132">
        <f t="shared" si="205"/>
        <v>0</v>
      </c>
      <c r="H367" s="133">
        <f t="shared" si="233"/>
        <v>1</v>
      </c>
      <c r="I367" s="31">
        <f t="shared" si="217"/>
        <v>133468.91255757769</v>
      </c>
      <c r="J367" s="31">
        <f t="shared" si="206"/>
        <v>649.66668077535917</v>
      </c>
      <c r="K367" s="163">
        <f t="shared" si="207"/>
        <v>-20</v>
      </c>
      <c r="L367" s="163">
        <f t="shared" si="218"/>
        <v>-111.22409379798141</v>
      </c>
      <c r="M367" s="163">
        <f t="shared" si="235"/>
        <v>0</v>
      </c>
      <c r="N367" s="163">
        <f t="shared" si="219"/>
        <v>-126.79546692969882</v>
      </c>
      <c r="O367" s="84">
        <f t="shared" si="208"/>
        <v>-6234.7220095610019</v>
      </c>
      <c r="P367" s="31">
        <f t="shared" si="209"/>
        <v>127625.83766806434</v>
      </c>
      <c r="Q367" s="5"/>
      <c r="R367">
        <f t="shared" ca="1" si="220"/>
        <v>484</v>
      </c>
      <c r="S367" s="133">
        <f t="shared" ca="1" si="221"/>
        <v>108.04</v>
      </c>
      <c r="T367" s="132">
        <f t="shared" ca="1" si="210"/>
        <v>0</v>
      </c>
      <c r="U367" s="133">
        <f t="shared" ca="1" si="228"/>
        <v>1.9008342029825436E-4</v>
      </c>
      <c r="V367" s="31">
        <f t="shared" ca="1" si="222"/>
        <v>0</v>
      </c>
      <c r="W367" s="31">
        <f t="shared" ca="1" si="211"/>
        <v>0</v>
      </c>
      <c r="X367" s="163">
        <f t="shared" ca="1" si="229"/>
        <v>0</v>
      </c>
      <c r="Y367" s="163">
        <f t="shared" ca="1" si="230"/>
        <v>0</v>
      </c>
      <c r="Z367" s="163">
        <f t="shared" ca="1" si="223"/>
        <v>0</v>
      </c>
      <c r="AA367" s="163">
        <f t="shared" ca="1" si="231"/>
        <v>0</v>
      </c>
      <c r="AB367" s="84">
        <f t="shared" ca="1" si="212"/>
        <v>0</v>
      </c>
      <c r="AC367" s="160">
        <f t="shared" si="213"/>
        <v>0</v>
      </c>
      <c r="AD367" s="31">
        <f t="shared" ca="1" si="214"/>
        <v>0</v>
      </c>
      <c r="AE367" s="5"/>
      <c r="AF367" s="151">
        <f t="shared" ca="1" si="215"/>
        <v>0</v>
      </c>
      <c r="AG367" s="151">
        <f t="shared" ca="1" si="216"/>
        <v>0</v>
      </c>
      <c r="AH367" s="5"/>
      <c r="AI367" s="5"/>
      <c r="AS367" s="55">
        <f t="shared" si="224"/>
        <v>31</v>
      </c>
      <c r="AT367" s="56">
        <f t="shared" si="232"/>
        <v>364</v>
      </c>
      <c r="AU367" s="57">
        <f t="shared" si="236"/>
        <v>0.16929465103807154</v>
      </c>
      <c r="AV367" s="58">
        <f t="shared" si="225"/>
        <v>4.8675505653430484E-3</v>
      </c>
      <c r="AW367" s="59">
        <f t="shared" si="226"/>
        <v>1.004867550565343</v>
      </c>
      <c r="AX367" s="60">
        <f>PRODUCT(AW$4:AW367)</f>
        <v>5.8561372453711886</v>
      </c>
    </row>
    <row r="368" spans="5:50">
      <c r="E368">
        <f t="shared" si="234"/>
        <v>365</v>
      </c>
      <c r="F368" s="9">
        <f t="shared" si="227"/>
        <v>99.333333333331609</v>
      </c>
      <c r="G368" s="132">
        <f t="shared" si="205"/>
        <v>0</v>
      </c>
      <c r="H368" s="133">
        <f t="shared" si="233"/>
        <v>1</v>
      </c>
      <c r="I368" s="31">
        <f t="shared" si="217"/>
        <v>127625.83766806434</v>
      </c>
      <c r="J368" s="31">
        <f t="shared" si="206"/>
        <v>621.22521829356674</v>
      </c>
      <c r="K368" s="163">
        <f t="shared" si="207"/>
        <v>-20</v>
      </c>
      <c r="L368" s="163">
        <f t="shared" si="218"/>
        <v>-106.35486472338695</v>
      </c>
      <c r="M368" s="163">
        <f t="shared" si="235"/>
        <v>0</v>
      </c>
      <c r="N368" s="163">
        <f t="shared" si="219"/>
        <v>-121.24454578466116</v>
      </c>
      <c r="O368" s="84">
        <f t="shared" si="208"/>
        <v>-6234.7220095610019</v>
      </c>
      <c r="P368" s="31">
        <f t="shared" si="209"/>
        <v>121764.74146628886</v>
      </c>
      <c r="Q368" s="5"/>
      <c r="R368">
        <f t="shared" ca="1" si="220"/>
        <v>485</v>
      </c>
      <c r="S368" s="133">
        <f t="shared" ca="1" si="221"/>
        <v>108.12</v>
      </c>
      <c r="T368" s="132">
        <f t="shared" ca="1" si="210"/>
        <v>0</v>
      </c>
      <c r="U368" s="133">
        <f t="shared" ca="1" si="228"/>
        <v>1.9008342029825436E-4</v>
      </c>
      <c r="V368" s="31">
        <f t="shared" ca="1" si="222"/>
        <v>0</v>
      </c>
      <c r="W368" s="31">
        <f t="shared" ca="1" si="211"/>
        <v>0</v>
      </c>
      <c r="X368" s="163">
        <f t="shared" ca="1" si="229"/>
        <v>0</v>
      </c>
      <c r="Y368" s="163">
        <f t="shared" ca="1" si="230"/>
        <v>0</v>
      </c>
      <c r="Z368" s="163">
        <f t="shared" ca="1" si="223"/>
        <v>0</v>
      </c>
      <c r="AA368" s="163">
        <f t="shared" ca="1" si="231"/>
        <v>0</v>
      </c>
      <c r="AB368" s="84">
        <f t="shared" ca="1" si="212"/>
        <v>0</v>
      </c>
      <c r="AC368" s="160">
        <f t="shared" si="213"/>
        <v>0</v>
      </c>
      <c r="AD368" s="31">
        <f t="shared" ca="1" si="214"/>
        <v>0</v>
      </c>
      <c r="AE368" s="5"/>
      <c r="AF368" s="151">
        <f t="shared" ca="1" si="215"/>
        <v>0</v>
      </c>
      <c r="AG368" s="151">
        <f t="shared" ca="1" si="216"/>
        <v>0</v>
      </c>
      <c r="AH368" s="5"/>
      <c r="AI368" s="5"/>
      <c r="AS368" s="55">
        <f t="shared" si="224"/>
        <v>31</v>
      </c>
      <c r="AT368" s="56">
        <f t="shared" si="232"/>
        <v>365</v>
      </c>
      <c r="AU368" s="57">
        <f t="shared" si="236"/>
        <v>0.16847060076370163</v>
      </c>
      <c r="AV368" s="58">
        <f t="shared" si="225"/>
        <v>4.8675505653430484E-3</v>
      </c>
      <c r="AW368" s="59">
        <f t="shared" si="226"/>
        <v>1.004867550565343</v>
      </c>
      <c r="AX368" s="60">
        <f>PRODUCT(AW$4:AW368)</f>
        <v>5.8846422895306221</v>
      </c>
    </row>
    <row r="369" spans="5:50">
      <c r="E369">
        <f t="shared" si="234"/>
        <v>366</v>
      </c>
      <c r="F369" s="9">
        <f t="shared" si="227"/>
        <v>99.416666666664938</v>
      </c>
      <c r="G369" s="132">
        <f t="shared" si="205"/>
        <v>0</v>
      </c>
      <c r="H369" s="133">
        <f t="shared" si="233"/>
        <v>1</v>
      </c>
      <c r="I369" s="31">
        <f t="shared" si="217"/>
        <v>121764.74146628886</v>
      </c>
      <c r="J369" s="31">
        <f t="shared" si="206"/>
        <v>592.6960361630845</v>
      </c>
      <c r="K369" s="163">
        <f t="shared" si="207"/>
        <v>-20</v>
      </c>
      <c r="L369" s="163">
        <f t="shared" si="218"/>
        <v>-101.47061788857405</v>
      </c>
      <c r="M369" s="163">
        <f t="shared" si="235"/>
        <v>0</v>
      </c>
      <c r="N369" s="163">
        <f t="shared" si="219"/>
        <v>-115.67650439297444</v>
      </c>
      <c r="O369" s="84">
        <f t="shared" si="208"/>
        <v>-6234.7220095610019</v>
      </c>
      <c r="P369" s="31">
        <f t="shared" si="209"/>
        <v>115885.5683706094</v>
      </c>
      <c r="Q369" s="5"/>
      <c r="R369">
        <f t="shared" ca="1" si="220"/>
        <v>486</v>
      </c>
      <c r="S369" s="133">
        <f t="shared" ca="1" si="221"/>
        <v>108.2</v>
      </c>
      <c r="T369" s="132">
        <f t="shared" ca="1" si="210"/>
        <v>0</v>
      </c>
      <c r="U369" s="133">
        <f t="shared" ca="1" si="228"/>
        <v>1.9008342029825436E-4</v>
      </c>
      <c r="V369" s="31">
        <f t="shared" ca="1" si="222"/>
        <v>0</v>
      </c>
      <c r="W369" s="31">
        <f t="shared" ca="1" si="211"/>
        <v>0</v>
      </c>
      <c r="X369" s="163">
        <f t="shared" ca="1" si="229"/>
        <v>0</v>
      </c>
      <c r="Y369" s="163">
        <f t="shared" ca="1" si="230"/>
        <v>0</v>
      </c>
      <c r="Z369" s="163">
        <f t="shared" ca="1" si="223"/>
        <v>0</v>
      </c>
      <c r="AA369" s="163">
        <f t="shared" ca="1" si="231"/>
        <v>0</v>
      </c>
      <c r="AB369" s="84">
        <f t="shared" ca="1" si="212"/>
        <v>0</v>
      </c>
      <c r="AC369" s="160">
        <f t="shared" si="213"/>
        <v>0</v>
      </c>
      <c r="AD369" s="31">
        <f t="shared" ca="1" si="214"/>
        <v>0</v>
      </c>
      <c r="AE369" s="5"/>
      <c r="AF369" s="151">
        <f t="shared" ca="1" si="215"/>
        <v>0</v>
      </c>
      <c r="AG369" s="151">
        <f t="shared" ca="1" si="216"/>
        <v>0</v>
      </c>
      <c r="AH369" s="5"/>
      <c r="AI369" s="5"/>
      <c r="AS369" s="55">
        <f t="shared" si="224"/>
        <v>31</v>
      </c>
      <c r="AT369" s="56">
        <f t="shared" si="232"/>
        <v>366</v>
      </c>
      <c r="AU369" s="57">
        <f t="shared" si="236"/>
        <v>0.1676505615957106</v>
      </c>
      <c r="AV369" s="58">
        <f t="shared" si="225"/>
        <v>4.8675505653430484E-3</v>
      </c>
      <c r="AW369" s="59">
        <f t="shared" si="226"/>
        <v>1.004867550565343</v>
      </c>
      <c r="AX369" s="60">
        <f>PRODUCT(AW$4:AW369)</f>
        <v>5.9132860834338681</v>
      </c>
    </row>
    <row r="370" spans="5:50">
      <c r="E370">
        <f t="shared" si="234"/>
        <v>367</v>
      </c>
      <c r="F370" s="9">
        <f t="shared" si="227"/>
        <v>99.499999999998266</v>
      </c>
      <c r="G370" s="132">
        <f t="shared" si="205"/>
        <v>0</v>
      </c>
      <c r="H370" s="133">
        <f t="shared" si="233"/>
        <v>1</v>
      </c>
      <c r="I370" s="31">
        <f t="shared" si="217"/>
        <v>115885.5683706094</v>
      </c>
      <c r="J370" s="31">
        <f t="shared" si="206"/>
        <v>564.07886383746029</v>
      </c>
      <c r="K370" s="163">
        <f t="shared" si="207"/>
        <v>-20</v>
      </c>
      <c r="L370" s="163">
        <f t="shared" si="218"/>
        <v>-96.571306975507838</v>
      </c>
      <c r="M370" s="163">
        <f t="shared" si="235"/>
        <v>0</v>
      </c>
      <c r="N370" s="163">
        <f t="shared" si="219"/>
        <v>-110.09128995207895</v>
      </c>
      <c r="O370" s="84">
        <f t="shared" si="208"/>
        <v>-6234.7220095610019</v>
      </c>
      <c r="P370" s="31">
        <f t="shared" si="209"/>
        <v>109988.26262795828</v>
      </c>
      <c r="Q370" s="5"/>
      <c r="R370">
        <f t="shared" ca="1" si="220"/>
        <v>487</v>
      </c>
      <c r="S370" s="133">
        <f t="shared" ca="1" si="221"/>
        <v>108.28</v>
      </c>
      <c r="T370" s="132">
        <f t="shared" ca="1" si="210"/>
        <v>0</v>
      </c>
      <c r="U370" s="133">
        <f t="shared" ca="1" si="228"/>
        <v>1.9008342029825436E-4</v>
      </c>
      <c r="V370" s="31">
        <f t="shared" ca="1" si="222"/>
        <v>0</v>
      </c>
      <c r="W370" s="31">
        <f t="shared" ca="1" si="211"/>
        <v>0</v>
      </c>
      <c r="X370" s="163">
        <f t="shared" ca="1" si="229"/>
        <v>0</v>
      </c>
      <c r="Y370" s="163">
        <f t="shared" ca="1" si="230"/>
        <v>0</v>
      </c>
      <c r="Z370" s="163">
        <f t="shared" ca="1" si="223"/>
        <v>0</v>
      </c>
      <c r="AA370" s="163">
        <f t="shared" ca="1" si="231"/>
        <v>0</v>
      </c>
      <c r="AB370" s="84">
        <f t="shared" ca="1" si="212"/>
        <v>0</v>
      </c>
      <c r="AC370" s="160">
        <f t="shared" si="213"/>
        <v>0</v>
      </c>
      <c r="AD370" s="31">
        <f t="shared" ca="1" si="214"/>
        <v>0</v>
      </c>
      <c r="AE370" s="5"/>
      <c r="AF370" s="151">
        <f t="shared" ca="1" si="215"/>
        <v>0</v>
      </c>
      <c r="AG370" s="151">
        <f t="shared" ca="1" si="216"/>
        <v>0</v>
      </c>
      <c r="AH370" s="5"/>
      <c r="AI370" s="5"/>
      <c r="AS370" s="55">
        <f t="shared" si="224"/>
        <v>31</v>
      </c>
      <c r="AT370" s="56">
        <f t="shared" si="232"/>
        <v>367</v>
      </c>
      <c r="AU370" s="57">
        <f t="shared" si="236"/>
        <v>0.16683451400983532</v>
      </c>
      <c r="AV370" s="58">
        <f t="shared" si="225"/>
        <v>4.8675505653430484E-3</v>
      </c>
      <c r="AW370" s="59">
        <f t="shared" si="226"/>
        <v>1.004867550565343</v>
      </c>
      <c r="AX370" s="60">
        <f>PRODUCT(AW$4:AW370)</f>
        <v>5.9420693024523219</v>
      </c>
    </row>
    <row r="371" spans="5:50">
      <c r="E371">
        <f t="shared" si="234"/>
        <v>368</v>
      </c>
      <c r="F371" s="9">
        <f t="shared" si="227"/>
        <v>99.583333333331595</v>
      </c>
      <c r="G371" s="132">
        <f t="shared" si="205"/>
        <v>0</v>
      </c>
      <c r="H371" s="133">
        <f t="shared" si="233"/>
        <v>1</v>
      </c>
      <c r="I371" s="31">
        <f t="shared" si="217"/>
        <v>109988.26262795828</v>
      </c>
      <c r="J371" s="31">
        <f t="shared" si="206"/>
        <v>535.37342993581797</v>
      </c>
      <c r="K371" s="163">
        <f t="shared" si="207"/>
        <v>-20</v>
      </c>
      <c r="L371" s="163">
        <f t="shared" si="218"/>
        <v>-91.65688552329857</v>
      </c>
      <c r="M371" s="163">
        <f t="shared" si="235"/>
        <v>0</v>
      </c>
      <c r="N371" s="163">
        <f t="shared" si="219"/>
        <v>-104.48884949656038</v>
      </c>
      <c r="O371" s="84">
        <f t="shared" si="208"/>
        <v>-6234.7220095610019</v>
      </c>
      <c r="P371" s="31">
        <f t="shared" si="209"/>
        <v>104072.76831331324</v>
      </c>
      <c r="Q371" s="5"/>
      <c r="R371">
        <f t="shared" ca="1" si="220"/>
        <v>488</v>
      </c>
      <c r="S371" s="133">
        <f t="shared" ca="1" si="221"/>
        <v>108.36</v>
      </c>
      <c r="T371" s="132">
        <f t="shared" ca="1" si="210"/>
        <v>0</v>
      </c>
      <c r="U371" s="133">
        <f t="shared" ca="1" si="228"/>
        <v>1.9008342029825436E-4</v>
      </c>
      <c r="V371" s="31">
        <f t="shared" ca="1" si="222"/>
        <v>0</v>
      </c>
      <c r="W371" s="31">
        <f t="shared" ca="1" si="211"/>
        <v>0</v>
      </c>
      <c r="X371" s="163">
        <f t="shared" ca="1" si="229"/>
        <v>0</v>
      </c>
      <c r="Y371" s="163">
        <f t="shared" ca="1" si="230"/>
        <v>0</v>
      </c>
      <c r="Z371" s="163">
        <f t="shared" ca="1" si="223"/>
        <v>0</v>
      </c>
      <c r="AA371" s="163">
        <f t="shared" ca="1" si="231"/>
        <v>0</v>
      </c>
      <c r="AB371" s="84">
        <f t="shared" ca="1" si="212"/>
        <v>0</v>
      </c>
      <c r="AC371" s="160">
        <f t="shared" si="213"/>
        <v>0</v>
      </c>
      <c r="AD371" s="31">
        <f t="shared" ca="1" si="214"/>
        <v>0</v>
      </c>
      <c r="AE371" s="5"/>
      <c r="AF371" s="151">
        <f t="shared" ca="1" si="215"/>
        <v>0</v>
      </c>
      <c r="AG371" s="151">
        <f t="shared" ca="1" si="216"/>
        <v>0</v>
      </c>
      <c r="AH371" s="5"/>
      <c r="AI371" s="5"/>
      <c r="AS371" s="55">
        <f t="shared" si="224"/>
        <v>31</v>
      </c>
      <c r="AT371" s="56">
        <f t="shared" si="232"/>
        <v>368</v>
      </c>
      <c r="AU371" s="57">
        <f t="shared" si="236"/>
        <v>0.16602243857684801</v>
      </c>
      <c r="AV371" s="58">
        <f t="shared" si="225"/>
        <v>4.8675505653430484E-3</v>
      </c>
      <c r="AW371" s="59">
        <f t="shared" si="226"/>
        <v>1.004867550565343</v>
      </c>
      <c r="AX371" s="60">
        <f>PRODUCT(AW$4:AW371)</f>
        <v>5.9709926252447811</v>
      </c>
    </row>
    <row r="372" spans="5:50">
      <c r="E372">
        <f t="shared" si="234"/>
        <v>369</v>
      </c>
      <c r="F372" s="9">
        <f t="shared" si="227"/>
        <v>99.666666666664923</v>
      </c>
      <c r="G372" s="132">
        <f t="shared" si="205"/>
        <v>0</v>
      </c>
      <c r="H372" s="133">
        <f t="shared" si="233"/>
        <v>1</v>
      </c>
      <c r="I372" s="31">
        <f t="shared" si="217"/>
        <v>104072.76831331324</v>
      </c>
      <c r="J372" s="31">
        <f t="shared" si="206"/>
        <v>506.57946224028393</v>
      </c>
      <c r="K372" s="163">
        <f t="shared" si="207"/>
        <v>-20</v>
      </c>
      <c r="L372" s="163">
        <f t="shared" si="218"/>
        <v>-86.727306927761035</v>
      </c>
      <c r="M372" s="163">
        <f t="shared" si="235"/>
        <v>0</v>
      </c>
      <c r="N372" s="163">
        <f t="shared" si="219"/>
        <v>-98.869129897647596</v>
      </c>
      <c r="O372" s="84">
        <f t="shared" si="208"/>
        <v>-6234.7220095610019</v>
      </c>
      <c r="P372" s="31">
        <f t="shared" si="209"/>
        <v>98139.029329167126</v>
      </c>
      <c r="Q372" s="5"/>
      <c r="R372">
        <f t="shared" ca="1" si="220"/>
        <v>489</v>
      </c>
      <c r="S372" s="133">
        <f t="shared" ca="1" si="221"/>
        <v>108.44</v>
      </c>
      <c r="T372" s="132">
        <f t="shared" ca="1" si="210"/>
        <v>0</v>
      </c>
      <c r="U372" s="133">
        <f t="shared" ca="1" si="228"/>
        <v>1.9008342029825436E-4</v>
      </c>
      <c r="V372" s="31">
        <f t="shared" ca="1" si="222"/>
        <v>0</v>
      </c>
      <c r="W372" s="31">
        <f t="shared" ca="1" si="211"/>
        <v>0</v>
      </c>
      <c r="X372" s="163">
        <f t="shared" ca="1" si="229"/>
        <v>0</v>
      </c>
      <c r="Y372" s="163">
        <f t="shared" ca="1" si="230"/>
        <v>0</v>
      </c>
      <c r="Z372" s="163">
        <f t="shared" ca="1" si="223"/>
        <v>0</v>
      </c>
      <c r="AA372" s="163">
        <f t="shared" ca="1" si="231"/>
        <v>0</v>
      </c>
      <c r="AB372" s="84">
        <f t="shared" ca="1" si="212"/>
        <v>0</v>
      </c>
      <c r="AC372" s="160">
        <f t="shared" si="213"/>
        <v>0</v>
      </c>
      <c r="AD372" s="31">
        <f t="shared" ca="1" si="214"/>
        <v>0</v>
      </c>
      <c r="AE372" s="5"/>
      <c r="AF372" s="151">
        <f t="shared" ca="1" si="215"/>
        <v>0</v>
      </c>
      <c r="AG372" s="151">
        <f t="shared" ca="1" si="216"/>
        <v>0</v>
      </c>
      <c r="AH372" s="5"/>
      <c r="AI372" s="5"/>
      <c r="AS372" s="55">
        <f t="shared" si="224"/>
        <v>31</v>
      </c>
      <c r="AT372" s="56">
        <f t="shared" si="232"/>
        <v>369</v>
      </c>
      <c r="AU372" s="57">
        <f t="shared" si="236"/>
        <v>0.16521431596209363</v>
      </c>
      <c r="AV372" s="58">
        <f t="shared" si="225"/>
        <v>4.8675505653430484E-3</v>
      </c>
      <c r="AW372" s="59">
        <f t="shared" si="226"/>
        <v>1.004867550565343</v>
      </c>
      <c r="AX372" s="60">
        <f>PRODUCT(AW$4:AW372)</f>
        <v>6.0000567337734507</v>
      </c>
    </row>
    <row r="373" spans="5:50">
      <c r="E373">
        <f t="shared" si="234"/>
        <v>370</v>
      </c>
      <c r="F373" s="9">
        <f t="shared" si="227"/>
        <v>99.749999999998252</v>
      </c>
      <c r="G373" s="132">
        <f t="shared" si="205"/>
        <v>0</v>
      </c>
      <c r="H373" s="133">
        <f t="shared" si="233"/>
        <v>1</v>
      </c>
      <c r="I373" s="31">
        <f t="shared" si="217"/>
        <v>98139.029329167126</v>
      </c>
      <c r="J373" s="31">
        <f t="shared" si="206"/>
        <v>477.69668769340547</v>
      </c>
      <c r="K373" s="163">
        <f t="shared" si="207"/>
        <v>-20</v>
      </c>
      <c r="L373" s="163">
        <f t="shared" si="218"/>
        <v>-81.782524440972608</v>
      </c>
      <c r="M373" s="163">
        <f t="shared" si="235"/>
        <v>0</v>
      </c>
      <c r="N373" s="163">
        <f t="shared" si="219"/>
        <v>-93.232077862708778</v>
      </c>
      <c r="O373" s="84">
        <f t="shared" si="208"/>
        <v>-6234.7220095610019</v>
      </c>
      <c r="P373" s="31">
        <f t="shared" si="209"/>
        <v>92186.989404995853</v>
      </c>
      <c r="Q373" s="5"/>
      <c r="R373">
        <f t="shared" ca="1" si="220"/>
        <v>490</v>
      </c>
      <c r="S373" s="133">
        <f t="shared" ca="1" si="221"/>
        <v>108.52</v>
      </c>
      <c r="T373" s="132">
        <f t="shared" ca="1" si="210"/>
        <v>0</v>
      </c>
      <c r="U373" s="133">
        <f t="shared" ca="1" si="228"/>
        <v>1.9008342029825436E-4</v>
      </c>
      <c r="V373" s="31">
        <f t="shared" ca="1" si="222"/>
        <v>0</v>
      </c>
      <c r="W373" s="31">
        <f t="shared" ca="1" si="211"/>
        <v>0</v>
      </c>
      <c r="X373" s="163">
        <f t="shared" ca="1" si="229"/>
        <v>0</v>
      </c>
      <c r="Y373" s="163">
        <f t="shared" ca="1" si="230"/>
        <v>0</v>
      </c>
      <c r="Z373" s="163">
        <f t="shared" ca="1" si="223"/>
        <v>0</v>
      </c>
      <c r="AA373" s="163">
        <f t="shared" ca="1" si="231"/>
        <v>0</v>
      </c>
      <c r="AB373" s="84">
        <f t="shared" ca="1" si="212"/>
        <v>0</v>
      </c>
      <c r="AC373" s="160">
        <f t="shared" si="213"/>
        <v>0</v>
      </c>
      <c r="AD373" s="31">
        <f t="shared" ca="1" si="214"/>
        <v>0</v>
      </c>
      <c r="AE373" s="5"/>
      <c r="AF373" s="151">
        <f t="shared" ca="1" si="215"/>
        <v>0</v>
      </c>
      <c r="AG373" s="151">
        <f t="shared" ca="1" si="216"/>
        <v>0</v>
      </c>
      <c r="AH373" s="5"/>
      <c r="AI373" s="5"/>
      <c r="AS373" s="55">
        <f t="shared" si="224"/>
        <v>31</v>
      </c>
      <c r="AT373" s="56">
        <f t="shared" si="232"/>
        <v>370</v>
      </c>
      <c r="AU373" s="57">
        <f t="shared" si="236"/>
        <v>0.16441012692502957</v>
      </c>
      <c r="AV373" s="58">
        <f t="shared" si="225"/>
        <v>4.8675505653430484E-3</v>
      </c>
      <c r="AW373" s="59">
        <f t="shared" si="226"/>
        <v>1.004867550565343</v>
      </c>
      <c r="AX373" s="60">
        <f>PRODUCT(AW$4:AW373)</f>
        <v>6.0292623133200198</v>
      </c>
    </row>
    <row r="374" spans="5:50">
      <c r="E374">
        <f t="shared" si="234"/>
        <v>371</v>
      </c>
      <c r="F374" s="9">
        <f t="shared" si="227"/>
        <v>99.833333333331581</v>
      </c>
      <c r="G374" s="132">
        <f t="shared" si="205"/>
        <v>0</v>
      </c>
      <c r="H374" s="133">
        <f t="shared" si="233"/>
        <v>1</v>
      </c>
      <c r="I374" s="31">
        <f t="shared" si="217"/>
        <v>92186.989404995853</v>
      </c>
      <c r="J374" s="31">
        <f t="shared" si="206"/>
        <v>448.72483239556118</v>
      </c>
      <c r="K374" s="163">
        <f t="shared" si="207"/>
        <v>-20</v>
      </c>
      <c r="L374" s="163">
        <f t="shared" si="218"/>
        <v>-76.822491170829878</v>
      </c>
      <c r="M374" s="163">
        <f t="shared" si="235"/>
        <v>0</v>
      </c>
      <c r="N374" s="163">
        <f t="shared" si="219"/>
        <v>-87.577639934746074</v>
      </c>
      <c r="O374" s="84">
        <f t="shared" si="208"/>
        <v>-6234.7220095610019</v>
      </c>
      <c r="P374" s="31">
        <f t="shared" si="209"/>
        <v>86216.592096724838</v>
      </c>
      <c r="Q374" s="5"/>
      <c r="R374">
        <f t="shared" ca="1" si="220"/>
        <v>491</v>
      </c>
      <c r="S374" s="133">
        <f t="shared" ca="1" si="221"/>
        <v>108.6</v>
      </c>
      <c r="T374" s="132">
        <f t="shared" ca="1" si="210"/>
        <v>0</v>
      </c>
      <c r="U374" s="133">
        <f t="shared" ca="1" si="228"/>
        <v>1.9008342029825436E-4</v>
      </c>
      <c r="V374" s="31">
        <f t="shared" ca="1" si="222"/>
        <v>0</v>
      </c>
      <c r="W374" s="31">
        <f t="shared" ca="1" si="211"/>
        <v>0</v>
      </c>
      <c r="X374" s="163">
        <f t="shared" ca="1" si="229"/>
        <v>0</v>
      </c>
      <c r="Y374" s="163">
        <f t="shared" ca="1" si="230"/>
        <v>0</v>
      </c>
      <c r="Z374" s="163">
        <f t="shared" ca="1" si="223"/>
        <v>0</v>
      </c>
      <c r="AA374" s="163">
        <f t="shared" ca="1" si="231"/>
        <v>0</v>
      </c>
      <c r="AB374" s="84">
        <f t="shared" ca="1" si="212"/>
        <v>0</v>
      </c>
      <c r="AC374" s="160">
        <f t="shared" si="213"/>
        <v>0</v>
      </c>
      <c r="AD374" s="31">
        <f t="shared" ca="1" si="214"/>
        <v>0</v>
      </c>
      <c r="AE374" s="5"/>
      <c r="AF374" s="151">
        <f t="shared" ca="1" si="215"/>
        <v>0</v>
      </c>
      <c r="AG374" s="151">
        <f t="shared" ca="1" si="216"/>
        <v>0</v>
      </c>
      <c r="AH374" s="5"/>
      <c r="AI374" s="5"/>
      <c r="AS374" s="55">
        <f t="shared" si="224"/>
        <v>31</v>
      </c>
      <c r="AT374" s="56">
        <f t="shared" si="232"/>
        <v>371</v>
      </c>
      <c r="AU374" s="57">
        <f t="shared" si="236"/>
        <v>0.16360985231876751</v>
      </c>
      <c r="AV374" s="58">
        <f t="shared" si="225"/>
        <v>4.8675505653430484E-3</v>
      </c>
      <c r="AW374" s="59">
        <f t="shared" si="226"/>
        <v>1.004867550565343</v>
      </c>
      <c r="AX374" s="60">
        <f>PRODUCT(AW$4:AW374)</f>
        <v>6.0586100525018223</v>
      </c>
    </row>
    <row r="375" spans="5:50">
      <c r="E375">
        <f t="shared" si="234"/>
        <v>372</v>
      </c>
      <c r="F375" s="9">
        <f t="shared" si="227"/>
        <v>99.916666666664909</v>
      </c>
      <c r="G375" s="132">
        <f t="shared" si="205"/>
        <v>0</v>
      </c>
      <c r="H375" s="133">
        <f t="shared" si="233"/>
        <v>1</v>
      </c>
      <c r="I375" s="31">
        <f t="shared" si="217"/>
        <v>86216.592096724838</v>
      </c>
      <c r="J375" s="31">
        <f t="shared" si="206"/>
        <v>419.663621602364</v>
      </c>
      <c r="K375" s="163">
        <f t="shared" si="207"/>
        <v>-20</v>
      </c>
      <c r="L375" s="163">
        <f t="shared" si="218"/>
        <v>-71.847160080604041</v>
      </c>
      <c r="M375" s="163">
        <f t="shared" si="235"/>
        <v>0</v>
      </c>
      <c r="N375" s="163">
        <f t="shared" si="219"/>
        <v>-81.905762491888609</v>
      </c>
      <c r="O375" s="84">
        <f t="shared" si="208"/>
        <v>-6234.7220095610019</v>
      </c>
      <c r="P375" s="31">
        <f t="shared" si="209"/>
        <v>80227.780786193704</v>
      </c>
      <c r="Q375" s="5"/>
      <c r="R375">
        <f t="shared" ca="1" si="220"/>
        <v>492</v>
      </c>
      <c r="S375" s="133">
        <f t="shared" ca="1" si="221"/>
        <v>108.68</v>
      </c>
      <c r="T375" s="132">
        <f t="shared" ca="1" si="210"/>
        <v>0</v>
      </c>
      <c r="U375" s="133">
        <f t="shared" ca="1" si="228"/>
        <v>1.9008342029825436E-4</v>
      </c>
      <c r="V375" s="31">
        <f t="shared" ca="1" si="222"/>
        <v>0</v>
      </c>
      <c r="W375" s="31">
        <f t="shared" ca="1" si="211"/>
        <v>0</v>
      </c>
      <c r="X375" s="163">
        <f t="shared" ca="1" si="229"/>
        <v>0</v>
      </c>
      <c r="Y375" s="163">
        <f t="shared" ca="1" si="230"/>
        <v>0</v>
      </c>
      <c r="Z375" s="163">
        <f t="shared" ca="1" si="223"/>
        <v>0</v>
      </c>
      <c r="AA375" s="163">
        <f t="shared" ca="1" si="231"/>
        <v>0</v>
      </c>
      <c r="AB375" s="84">
        <f t="shared" ca="1" si="212"/>
        <v>0</v>
      </c>
      <c r="AC375" s="160">
        <f t="shared" si="213"/>
        <v>0</v>
      </c>
      <c r="AD375" s="31">
        <f t="shared" ca="1" si="214"/>
        <v>0</v>
      </c>
      <c r="AE375" s="5"/>
      <c r="AF375" s="151">
        <f t="shared" ca="1" si="215"/>
        <v>0</v>
      </c>
      <c r="AG375" s="151">
        <f t="shared" ca="1" si="216"/>
        <v>0</v>
      </c>
      <c r="AH375" s="152">
        <f ca="1">(OFFSET($AD$4,MATCH(100,S4:S784,1),0)/OFFSET($U$4,MATCH(100,S4:S784,1),0))</f>
        <v>-9.6888237844401839E-10</v>
      </c>
      <c r="AI375" s="5"/>
      <c r="AS375" s="55">
        <f t="shared" si="224"/>
        <v>31</v>
      </c>
      <c r="AT375" s="56">
        <f t="shared" si="232"/>
        <v>372</v>
      </c>
      <c r="AU375" s="57">
        <f t="shared" si="236"/>
        <v>0.16281347308961761</v>
      </c>
      <c r="AV375" s="58">
        <f t="shared" si="225"/>
        <v>4.8675505653430484E-3</v>
      </c>
      <c r="AW375" s="59">
        <f t="shared" si="226"/>
        <v>1.004867550565343</v>
      </c>
      <c r="AX375" s="60">
        <f>PRODUCT(AW$4:AW375)</f>
        <v>6.0881006432880707</v>
      </c>
    </row>
    <row r="376" spans="5:50">
      <c r="E376">
        <f t="shared" si="234"/>
        <v>373</v>
      </c>
      <c r="F376" s="9">
        <f t="shared" si="227"/>
        <v>99.999999999998238</v>
      </c>
      <c r="G376" s="132">
        <f t="shared" si="205"/>
        <v>0</v>
      </c>
      <c r="H376" s="133">
        <f t="shared" si="233"/>
        <v>1</v>
      </c>
      <c r="I376" s="31">
        <f t="shared" si="217"/>
        <v>80227.780786193704</v>
      </c>
      <c r="J376" s="31">
        <f t="shared" si="206"/>
        <v>390.51277972205531</v>
      </c>
      <c r="K376" s="163">
        <f t="shared" si="207"/>
        <v>-20</v>
      </c>
      <c r="L376" s="163">
        <f t="shared" si="218"/>
        <v>-66.856483988494759</v>
      </c>
      <c r="M376" s="163">
        <f t="shared" si="235"/>
        <v>-601.70835589645276</v>
      </c>
      <c r="N376" s="163">
        <f t="shared" si="219"/>
        <v>-76.216391746884028</v>
      </c>
      <c r="O376" s="84">
        <f t="shared" si="208"/>
        <v>-6234.7220095610019</v>
      </c>
      <c r="P376" s="31">
        <f t="shared" si="209"/>
        <v>73618.790324722926</v>
      </c>
      <c r="Q376" s="5"/>
      <c r="R376">
        <f t="shared" ca="1" si="220"/>
        <v>493</v>
      </c>
      <c r="S376" s="133">
        <f t="shared" ca="1" si="221"/>
        <v>108.76</v>
      </c>
      <c r="T376" s="132">
        <f t="shared" ca="1" si="210"/>
        <v>0</v>
      </c>
      <c r="U376" s="133">
        <f t="shared" ca="1" si="228"/>
        <v>1.9008342029825436E-4</v>
      </c>
      <c r="V376" s="31">
        <f t="shared" ca="1" si="222"/>
        <v>0</v>
      </c>
      <c r="W376" s="31">
        <f t="shared" ca="1" si="211"/>
        <v>0</v>
      </c>
      <c r="X376" s="163">
        <f t="shared" ca="1" si="229"/>
        <v>0</v>
      </c>
      <c r="Y376" s="163">
        <f t="shared" ca="1" si="230"/>
        <v>0</v>
      </c>
      <c r="Z376" s="163">
        <f t="shared" ca="1" si="223"/>
        <v>0</v>
      </c>
      <c r="AA376" s="163">
        <f t="shared" ca="1" si="231"/>
        <v>0</v>
      </c>
      <c r="AB376" s="84">
        <f t="shared" ca="1" si="212"/>
        <v>0</v>
      </c>
      <c r="AC376" s="160">
        <f t="shared" si="213"/>
        <v>0</v>
      </c>
      <c r="AD376" s="31">
        <f t="shared" ca="1" si="214"/>
        <v>0</v>
      </c>
      <c r="AE376" s="5"/>
      <c r="AF376" s="151">
        <f t="shared" ca="1" si="215"/>
        <v>0</v>
      </c>
      <c r="AG376" s="151">
        <f t="shared" ca="1" si="216"/>
        <v>0</v>
      </c>
      <c r="AH376" s="151"/>
      <c r="AI376" s="5"/>
      <c r="AS376" s="55">
        <f t="shared" si="224"/>
        <v>32</v>
      </c>
      <c r="AT376" s="56">
        <f t="shared" si="232"/>
        <v>373</v>
      </c>
      <c r="AU376" s="57">
        <f t="shared" si="236"/>
        <v>0.16202097027663478</v>
      </c>
      <c r="AV376" s="58">
        <f t="shared" si="225"/>
        <v>4.8675505653430484E-3</v>
      </c>
      <c r="AW376" s="59">
        <f t="shared" si="226"/>
        <v>1.004867550565343</v>
      </c>
      <c r="AX376" s="60">
        <f>PRODUCT(AW$4:AW376)</f>
        <v>6.1177347810161731</v>
      </c>
    </row>
    <row r="377" spans="5:50">
      <c r="E377">
        <f t="shared" si="234"/>
        <v>374</v>
      </c>
      <c r="F377" s="9">
        <f t="shared" si="227"/>
        <v>100.08333333333157</v>
      </c>
      <c r="G377" s="132">
        <f t="shared" si="205"/>
        <v>0</v>
      </c>
      <c r="H377" s="133">
        <f t="shared" si="233"/>
        <v>1</v>
      </c>
      <c r="I377" s="31">
        <f t="shared" si="217"/>
        <v>73618.790324722926</v>
      </c>
      <c r="J377" s="31">
        <f t="shared" si="206"/>
        <v>358.34318446497645</v>
      </c>
      <c r="K377" s="163">
        <f t="shared" si="207"/>
        <v>-20</v>
      </c>
      <c r="L377" s="163">
        <f t="shared" si="218"/>
        <v>-61.348991937269112</v>
      </c>
      <c r="M377" s="163">
        <f t="shared" si="235"/>
        <v>0</v>
      </c>
      <c r="N377" s="163">
        <f t="shared" si="219"/>
        <v>-69.9378508084868</v>
      </c>
      <c r="O377" s="84">
        <f t="shared" si="208"/>
        <v>-6234.7220095610019</v>
      </c>
      <c r="P377" s="31">
        <f t="shared" si="209"/>
        <v>67591.124656881148</v>
      </c>
      <c r="Q377" s="5"/>
      <c r="R377">
        <f t="shared" ca="1" si="220"/>
        <v>494</v>
      </c>
      <c r="S377" s="133">
        <f t="shared" ca="1" si="221"/>
        <v>108.84</v>
      </c>
      <c r="T377" s="132">
        <f t="shared" ca="1" si="210"/>
        <v>0</v>
      </c>
      <c r="U377" s="133">
        <f t="shared" ca="1" si="228"/>
        <v>1.9008342029825436E-4</v>
      </c>
      <c r="V377" s="31">
        <f t="shared" ca="1" si="222"/>
        <v>0</v>
      </c>
      <c r="W377" s="31">
        <f t="shared" ca="1" si="211"/>
        <v>0</v>
      </c>
      <c r="X377" s="163">
        <f t="shared" ca="1" si="229"/>
        <v>0</v>
      </c>
      <c r="Y377" s="163">
        <f t="shared" ca="1" si="230"/>
        <v>0</v>
      </c>
      <c r="Z377" s="163">
        <f t="shared" ca="1" si="223"/>
        <v>0</v>
      </c>
      <c r="AA377" s="163">
        <f t="shared" ca="1" si="231"/>
        <v>0</v>
      </c>
      <c r="AB377" s="84">
        <f t="shared" ca="1" si="212"/>
        <v>0</v>
      </c>
      <c r="AC377" s="160">
        <f t="shared" si="213"/>
        <v>0</v>
      </c>
      <c r="AD377" s="31">
        <f t="shared" ca="1" si="214"/>
        <v>0</v>
      </c>
      <c r="AE377" s="5"/>
      <c r="AF377" s="151">
        <f t="shared" ca="1" si="215"/>
        <v>0</v>
      </c>
      <c r="AG377" s="151">
        <f t="shared" ca="1" si="216"/>
        <v>0</v>
      </c>
      <c r="AH377" s="151"/>
      <c r="AI377" s="5"/>
      <c r="AS377" s="55">
        <f t="shared" si="224"/>
        <v>32</v>
      </c>
      <c r="AT377" s="56">
        <f t="shared" si="232"/>
        <v>374</v>
      </c>
      <c r="AU377" s="57">
        <f t="shared" si="236"/>
        <v>0.16123232501116733</v>
      </c>
      <c r="AV377" s="58">
        <f t="shared" si="225"/>
        <v>4.8675505653430484E-3</v>
      </c>
      <c r="AW377" s="59">
        <f t="shared" si="226"/>
        <v>1.004867550565343</v>
      </c>
      <c r="AX377" s="60">
        <f>PRODUCT(AW$4:AW377)</f>
        <v>6.1475131644081271</v>
      </c>
    </row>
    <row r="378" spans="5:50">
      <c r="E378">
        <f t="shared" si="234"/>
        <v>375</v>
      </c>
      <c r="F378" s="9">
        <f t="shared" si="227"/>
        <v>100.1666666666649</v>
      </c>
      <c r="G378" s="132">
        <f t="shared" si="205"/>
        <v>0</v>
      </c>
      <c r="H378" s="133">
        <f t="shared" si="233"/>
        <v>1</v>
      </c>
      <c r="I378" s="31">
        <f t="shared" si="217"/>
        <v>67591.124656881148</v>
      </c>
      <c r="J378" s="31">
        <f t="shared" si="206"/>
        <v>329.0032170357743</v>
      </c>
      <c r="K378" s="163">
        <f t="shared" si="207"/>
        <v>-20</v>
      </c>
      <c r="L378" s="163">
        <f t="shared" si="218"/>
        <v>-56.325937214067629</v>
      </c>
      <c r="M378" s="163">
        <f t="shared" si="235"/>
        <v>0</v>
      </c>
      <c r="N378" s="163">
        <f t="shared" si="219"/>
        <v>-64.211568424037111</v>
      </c>
      <c r="O378" s="84">
        <f t="shared" si="208"/>
        <v>-6234.7220095610019</v>
      </c>
      <c r="P378" s="31">
        <f t="shared" si="209"/>
        <v>61544.868358717802</v>
      </c>
      <c r="Q378" s="5"/>
      <c r="R378">
        <f t="shared" ca="1" si="220"/>
        <v>495</v>
      </c>
      <c r="S378" s="133">
        <f t="shared" ca="1" si="221"/>
        <v>108.92</v>
      </c>
      <c r="T378" s="132">
        <f t="shared" ca="1" si="210"/>
        <v>0</v>
      </c>
      <c r="U378" s="133">
        <f t="shared" ca="1" si="228"/>
        <v>1.9008342029825436E-4</v>
      </c>
      <c r="V378" s="31">
        <f t="shared" ca="1" si="222"/>
        <v>0</v>
      </c>
      <c r="W378" s="31">
        <f t="shared" ca="1" si="211"/>
        <v>0</v>
      </c>
      <c r="X378" s="163">
        <f t="shared" ca="1" si="229"/>
        <v>0</v>
      </c>
      <c r="Y378" s="163">
        <f t="shared" ca="1" si="230"/>
        <v>0</v>
      </c>
      <c r="Z378" s="163">
        <f t="shared" ca="1" si="223"/>
        <v>0</v>
      </c>
      <c r="AA378" s="163">
        <f t="shared" ca="1" si="231"/>
        <v>0</v>
      </c>
      <c r="AB378" s="84">
        <f t="shared" ca="1" si="212"/>
        <v>0</v>
      </c>
      <c r="AC378" s="160">
        <f t="shared" si="213"/>
        <v>0</v>
      </c>
      <c r="AD378" s="31">
        <f t="shared" ca="1" si="214"/>
        <v>0</v>
      </c>
      <c r="AE378" s="5"/>
      <c r="AF378" s="151">
        <f t="shared" ca="1" si="215"/>
        <v>0</v>
      </c>
      <c r="AG378" s="151">
        <f t="shared" ca="1" si="216"/>
        <v>0</v>
      </c>
      <c r="AH378" s="151">
        <f ca="1">AG378*10000</f>
        <v>0</v>
      </c>
      <c r="AI378" s="5"/>
      <c r="AS378" s="55">
        <f t="shared" si="224"/>
        <v>32</v>
      </c>
      <c r="AT378" s="56">
        <f t="shared" si="232"/>
        <v>375</v>
      </c>
      <c r="AU378" s="57">
        <f t="shared" si="236"/>
        <v>0.16044751851640765</v>
      </c>
      <c r="AV378" s="58">
        <f t="shared" si="225"/>
        <v>4.8675505653430484E-3</v>
      </c>
      <c r="AW378" s="59">
        <f t="shared" si="226"/>
        <v>1.004867550565343</v>
      </c>
      <c r="AX378" s="60">
        <f>PRODUCT(AW$4:AW378)</f>
        <v>6.1774364955869956</v>
      </c>
    </row>
    <row r="379" spans="5:50">
      <c r="E379">
        <f t="shared" si="234"/>
        <v>376</v>
      </c>
      <c r="F379" s="9">
        <f t="shared" si="227"/>
        <v>100.24999999999822</v>
      </c>
      <c r="G379" s="132">
        <f t="shared" si="205"/>
        <v>0</v>
      </c>
      <c r="H379" s="133">
        <f t="shared" si="233"/>
        <v>1</v>
      </c>
      <c r="I379" s="31">
        <f t="shared" si="217"/>
        <v>61544.868358717802</v>
      </c>
      <c r="J379" s="31">
        <f t="shared" si="206"/>
        <v>299.57275877344034</v>
      </c>
      <c r="K379" s="163">
        <f t="shared" si="207"/>
        <v>-20</v>
      </c>
      <c r="L379" s="163">
        <f t="shared" si="218"/>
        <v>-51.287390298931506</v>
      </c>
      <c r="M379" s="163">
        <f t="shared" si="235"/>
        <v>0</v>
      </c>
      <c r="N379" s="163">
        <f t="shared" si="219"/>
        <v>-58.467624940781924</v>
      </c>
      <c r="O379" s="84">
        <f t="shared" si="208"/>
        <v>-6234.7220095610019</v>
      </c>
      <c r="P379" s="31">
        <f t="shared" si="209"/>
        <v>55479.964092690534</v>
      </c>
      <c r="Q379" s="5"/>
      <c r="R379">
        <f t="shared" ca="1" si="220"/>
        <v>496</v>
      </c>
      <c r="S379" s="133">
        <f t="shared" ca="1" si="221"/>
        <v>109</v>
      </c>
      <c r="T379" s="132">
        <f t="shared" ca="1" si="210"/>
        <v>0</v>
      </c>
      <c r="U379" s="133">
        <f t="shared" ca="1" si="228"/>
        <v>1.9008342029825436E-4</v>
      </c>
      <c r="V379" s="31">
        <f t="shared" ca="1" si="222"/>
        <v>0</v>
      </c>
      <c r="W379" s="31">
        <f t="shared" ca="1" si="211"/>
        <v>0</v>
      </c>
      <c r="X379" s="163">
        <f t="shared" ca="1" si="229"/>
        <v>0</v>
      </c>
      <c r="Y379" s="163">
        <f t="shared" ca="1" si="230"/>
        <v>0</v>
      </c>
      <c r="Z379" s="163">
        <f t="shared" ca="1" si="223"/>
        <v>0</v>
      </c>
      <c r="AA379" s="163">
        <f t="shared" ca="1" si="231"/>
        <v>0</v>
      </c>
      <c r="AB379" s="84">
        <f t="shared" ca="1" si="212"/>
        <v>0</v>
      </c>
      <c r="AC379" s="160">
        <f t="shared" si="213"/>
        <v>0</v>
      </c>
      <c r="AD379" s="31">
        <f t="shared" ca="1" si="214"/>
        <v>0</v>
      </c>
      <c r="AF379" s="151">
        <f t="shared" ca="1" si="215"/>
        <v>0</v>
      </c>
      <c r="AG379" s="151">
        <f t="shared" ca="1" si="216"/>
        <v>0</v>
      </c>
      <c r="AH379" s="151">
        <f ca="1">AG379*10000</f>
        <v>0</v>
      </c>
      <c r="AI379" s="5"/>
      <c r="AS379" s="55">
        <f t="shared" si="224"/>
        <v>32</v>
      </c>
      <c r="AT379" s="56">
        <f t="shared" si="232"/>
        <v>376</v>
      </c>
      <c r="AU379" s="57">
        <f t="shared" si="236"/>
        <v>0.15966653210694523</v>
      </c>
      <c r="AV379" s="58">
        <f t="shared" si="225"/>
        <v>4.8675505653430484E-3</v>
      </c>
      <c r="AW379" s="59">
        <f t="shared" si="226"/>
        <v>1.004867550565343</v>
      </c>
      <c r="AX379" s="60">
        <f>PRODUCT(AW$4:AW379)</f>
        <v>6.2075054800934613</v>
      </c>
    </row>
    <row r="380" spans="5:50">
      <c r="E380">
        <f t="shared" si="234"/>
        <v>377</v>
      </c>
      <c r="F380" s="9">
        <f t="shared" si="227"/>
        <v>100.33333333333155</v>
      </c>
      <c r="G380" s="132">
        <f t="shared" si="205"/>
        <v>0</v>
      </c>
      <c r="H380" s="133">
        <f t="shared" si="233"/>
        <v>1</v>
      </c>
      <c r="I380" s="31">
        <f t="shared" si="217"/>
        <v>55479.964092690534</v>
      </c>
      <c r="J380" s="31">
        <f t="shared" si="206"/>
        <v>270.05153058458785</v>
      </c>
      <c r="K380" s="163">
        <f t="shared" si="207"/>
        <v>-20</v>
      </c>
      <c r="L380" s="163">
        <f t="shared" si="218"/>
        <v>-46.233303410575445</v>
      </c>
      <c r="M380" s="163">
        <f t="shared" si="235"/>
        <v>0</v>
      </c>
      <c r="N380" s="163">
        <f t="shared" si="219"/>
        <v>-52.705965888056021</v>
      </c>
      <c r="O380" s="84">
        <f t="shared" si="208"/>
        <v>-6234.7220095610019</v>
      </c>
      <c r="P380" s="31">
        <f t="shared" si="209"/>
        <v>49396.354344415493</v>
      </c>
      <c r="Q380" s="5"/>
      <c r="R380">
        <f t="shared" ca="1" si="220"/>
        <v>497</v>
      </c>
      <c r="S380" s="133">
        <f t="shared" ca="1" si="221"/>
        <v>109.08</v>
      </c>
      <c r="T380" s="132">
        <f t="shared" ca="1" si="210"/>
        <v>0</v>
      </c>
      <c r="U380" s="133">
        <f t="shared" ca="1" si="228"/>
        <v>1.9008342029825436E-4</v>
      </c>
      <c r="V380" s="31">
        <f t="shared" ca="1" si="222"/>
        <v>0</v>
      </c>
      <c r="W380" s="31">
        <f t="shared" ca="1" si="211"/>
        <v>0</v>
      </c>
      <c r="X380" s="163">
        <f t="shared" ca="1" si="229"/>
        <v>0</v>
      </c>
      <c r="Y380" s="163">
        <f t="shared" ca="1" si="230"/>
        <v>0</v>
      </c>
      <c r="Z380" s="163">
        <f t="shared" ca="1" si="223"/>
        <v>0</v>
      </c>
      <c r="AA380" s="163">
        <f t="shared" ca="1" si="231"/>
        <v>0</v>
      </c>
      <c r="AB380" s="84">
        <f t="shared" ca="1" si="212"/>
        <v>0</v>
      </c>
      <c r="AC380" s="160">
        <f t="shared" si="213"/>
        <v>0</v>
      </c>
      <c r="AD380" s="31">
        <f t="shared" ca="1" si="214"/>
        <v>0</v>
      </c>
      <c r="AE380" s="5"/>
      <c r="AF380" s="151">
        <f t="shared" ca="1" si="215"/>
        <v>0</v>
      </c>
      <c r="AG380" s="151">
        <f t="shared" ca="1" si="216"/>
        <v>0</v>
      </c>
      <c r="AH380" s="151">
        <f ca="1">AG380*10000</f>
        <v>0</v>
      </c>
      <c r="AI380" s="5"/>
      <c r="AS380" s="55">
        <f t="shared" si="224"/>
        <v>32</v>
      </c>
      <c r="AT380" s="56">
        <f t="shared" si="232"/>
        <v>377</v>
      </c>
      <c r="AU380" s="57">
        <f t="shared" si="236"/>
        <v>0.15888934718832171</v>
      </c>
      <c r="AV380" s="58">
        <f t="shared" si="225"/>
        <v>4.8675505653430484E-3</v>
      </c>
      <c r="AW380" s="59">
        <f t="shared" si="226"/>
        <v>1.004867550565343</v>
      </c>
      <c r="AX380" s="60">
        <f>PRODUCT(AW$4:AW380)</f>
        <v>6.2377208269024607</v>
      </c>
    </row>
    <row r="381" spans="5:50">
      <c r="E381">
        <f t="shared" si="234"/>
        <v>378</v>
      </c>
      <c r="F381" s="9">
        <f t="shared" si="227"/>
        <v>100.41666666666488</v>
      </c>
      <c r="G381" s="132">
        <f t="shared" si="205"/>
        <v>0</v>
      </c>
      <c r="H381" s="133">
        <f t="shared" si="233"/>
        <v>1</v>
      </c>
      <c r="I381" s="31">
        <f t="shared" si="217"/>
        <v>49396.354344415493</v>
      </c>
      <c r="J381" s="31">
        <f t="shared" si="206"/>
        <v>240.43925251504518</v>
      </c>
      <c r="K381" s="163">
        <f t="shared" si="207"/>
        <v>-20</v>
      </c>
      <c r="L381" s="163">
        <f t="shared" si="218"/>
        <v>-41.163628620346245</v>
      </c>
      <c r="M381" s="163">
        <f t="shared" si="235"/>
        <v>0</v>
      </c>
      <c r="N381" s="163">
        <f t="shared" si="219"/>
        <v>-46.926536627194729</v>
      </c>
      <c r="O381" s="84">
        <f t="shared" si="208"/>
        <v>-6234.7220095610019</v>
      </c>
      <c r="P381" s="31">
        <f t="shared" si="209"/>
        <v>43293.981422122</v>
      </c>
      <c r="Q381" s="5"/>
      <c r="R381">
        <f t="shared" ca="1" si="220"/>
        <v>498</v>
      </c>
      <c r="S381" s="133">
        <f t="shared" ca="1" si="221"/>
        <v>109.16</v>
      </c>
      <c r="T381" s="132">
        <f t="shared" ca="1" si="210"/>
        <v>0</v>
      </c>
      <c r="U381" s="133">
        <f t="shared" ca="1" si="228"/>
        <v>1.9008342029825436E-4</v>
      </c>
      <c r="V381" s="31">
        <f t="shared" ca="1" si="222"/>
        <v>0</v>
      </c>
      <c r="W381" s="31">
        <f t="shared" ca="1" si="211"/>
        <v>0</v>
      </c>
      <c r="X381" s="163">
        <f t="shared" ca="1" si="229"/>
        <v>0</v>
      </c>
      <c r="Y381" s="163">
        <f t="shared" ca="1" si="230"/>
        <v>0</v>
      </c>
      <c r="Z381" s="163">
        <f t="shared" ca="1" si="223"/>
        <v>0</v>
      </c>
      <c r="AA381" s="163">
        <f t="shared" ca="1" si="231"/>
        <v>0</v>
      </c>
      <c r="AB381" s="84">
        <f t="shared" ca="1" si="212"/>
        <v>0</v>
      </c>
      <c r="AC381" s="160">
        <f t="shared" si="213"/>
        <v>0</v>
      </c>
      <c r="AD381" s="31">
        <f t="shared" ca="1" si="214"/>
        <v>0</v>
      </c>
      <c r="AE381" s="5"/>
      <c r="AF381" s="151">
        <f t="shared" ca="1" si="215"/>
        <v>0</v>
      </c>
      <c r="AG381" s="151">
        <f t="shared" ca="1" si="216"/>
        <v>0</v>
      </c>
      <c r="AH381" s="151">
        <f ca="1">AG381*10000</f>
        <v>0</v>
      </c>
      <c r="AI381" s="5"/>
      <c r="AS381" s="55">
        <f t="shared" si="224"/>
        <v>32</v>
      </c>
      <c r="AT381" s="56">
        <f t="shared" si="232"/>
        <v>378</v>
      </c>
      <c r="AU381" s="57">
        <f t="shared" si="236"/>
        <v>0.1581159452565882</v>
      </c>
      <c r="AV381" s="58">
        <f t="shared" si="225"/>
        <v>4.8675505653430484E-3</v>
      </c>
      <c r="AW381" s="59">
        <f t="shared" si="226"/>
        <v>1.004867550565343</v>
      </c>
      <c r="AX381" s="60">
        <f>PRODUCT(AW$4:AW381)</f>
        <v>6.2680832484399023</v>
      </c>
    </row>
    <row r="382" spans="5:50">
      <c r="E382">
        <f t="shared" si="234"/>
        <v>379</v>
      </c>
      <c r="F382" s="9">
        <f t="shared" si="227"/>
        <v>100.49999999999821</v>
      </c>
      <c r="G382" s="132">
        <f t="shared" si="205"/>
        <v>0</v>
      </c>
      <c r="H382" s="133">
        <f t="shared" si="233"/>
        <v>1</v>
      </c>
      <c r="I382" s="31">
        <f t="shared" si="217"/>
        <v>43293.981422122</v>
      </c>
      <c r="J382" s="31">
        <f t="shared" si="206"/>
        <v>210.73564374720138</v>
      </c>
      <c r="K382" s="163">
        <f t="shared" si="207"/>
        <v>-20</v>
      </c>
      <c r="L382" s="163">
        <f t="shared" si="218"/>
        <v>-36.078317851768333</v>
      </c>
      <c r="M382" s="163">
        <f t="shared" si="235"/>
        <v>0</v>
      </c>
      <c r="N382" s="163">
        <f t="shared" si="219"/>
        <v>-41.12928235101591</v>
      </c>
      <c r="O382" s="84">
        <f t="shared" si="208"/>
        <v>-6234.7220095610019</v>
      </c>
      <c r="P382" s="31">
        <f t="shared" si="209"/>
        <v>37172.78745610542</v>
      </c>
      <c r="Q382" s="5"/>
      <c r="R382">
        <f t="shared" ca="1" si="220"/>
        <v>499</v>
      </c>
      <c r="S382" s="133">
        <f t="shared" ca="1" si="221"/>
        <v>109.24</v>
      </c>
      <c r="T382" s="132">
        <f t="shared" ca="1" si="210"/>
        <v>0</v>
      </c>
      <c r="U382" s="133">
        <f t="shared" ca="1" si="228"/>
        <v>1.9008342029825436E-4</v>
      </c>
      <c r="V382" s="31">
        <f t="shared" ca="1" si="222"/>
        <v>0</v>
      </c>
      <c r="W382" s="31">
        <f t="shared" ca="1" si="211"/>
        <v>0</v>
      </c>
      <c r="X382" s="163">
        <f t="shared" ca="1" si="229"/>
        <v>0</v>
      </c>
      <c r="Y382" s="163">
        <f t="shared" ca="1" si="230"/>
        <v>0</v>
      </c>
      <c r="Z382" s="163">
        <f t="shared" ca="1" si="223"/>
        <v>0</v>
      </c>
      <c r="AA382" s="163">
        <f t="shared" ca="1" si="231"/>
        <v>0</v>
      </c>
      <c r="AB382" s="84">
        <f t="shared" ca="1" si="212"/>
        <v>0</v>
      </c>
      <c r="AC382" s="160">
        <f t="shared" si="213"/>
        <v>0</v>
      </c>
      <c r="AD382" s="31">
        <f t="shared" ca="1" si="214"/>
        <v>0</v>
      </c>
      <c r="AE382" s="5"/>
      <c r="AF382" s="151">
        <f t="shared" ca="1" si="215"/>
        <v>0</v>
      </c>
      <c r="AG382" s="151">
        <f t="shared" ca="1" si="216"/>
        <v>0</v>
      </c>
      <c r="AH382" s="5"/>
      <c r="AI382" s="5"/>
      <c r="AS382" s="55">
        <f t="shared" si="224"/>
        <v>32</v>
      </c>
      <c r="AT382" s="56">
        <f t="shared" si="232"/>
        <v>379</v>
      </c>
      <c r="AU382" s="57">
        <f t="shared" si="236"/>
        <v>0.15734630789786475</v>
      </c>
      <c r="AV382" s="58">
        <f t="shared" si="225"/>
        <v>4.8675505653430484E-3</v>
      </c>
      <c r="AW382" s="59">
        <f t="shared" si="226"/>
        <v>1.004867550565343</v>
      </c>
      <c r="AX382" s="60">
        <f>PRODUCT(AW$4:AW382)</f>
        <v>6.2985934605994629</v>
      </c>
    </row>
    <row r="383" spans="5:50">
      <c r="E383">
        <f t="shared" si="234"/>
        <v>380</v>
      </c>
      <c r="F383" s="9">
        <f t="shared" si="227"/>
        <v>100.58333333333154</v>
      </c>
      <c r="G383" s="132">
        <f t="shared" si="205"/>
        <v>0</v>
      </c>
      <c r="H383" s="133">
        <f t="shared" si="233"/>
        <v>1</v>
      </c>
      <c r="I383" s="31">
        <f t="shared" si="217"/>
        <v>37172.78745610542</v>
      </c>
      <c r="J383" s="31">
        <f t="shared" si="206"/>
        <v>180.94042259734292</v>
      </c>
      <c r="K383" s="163">
        <f t="shared" si="207"/>
        <v>-20</v>
      </c>
      <c r="L383" s="163">
        <f t="shared" si="218"/>
        <v>-30.977322880087851</v>
      </c>
      <c r="M383" s="163">
        <f t="shared" si="235"/>
        <v>0</v>
      </c>
      <c r="N383" s="163">
        <f t="shared" si="219"/>
        <v>-35.314148083300154</v>
      </c>
      <c r="O383" s="84">
        <f t="shared" si="208"/>
        <v>-6234.7220095610019</v>
      </c>
      <c r="P383" s="31">
        <f t="shared" si="209"/>
        <v>31032.714398178367</v>
      </c>
      <c r="Q383" s="5"/>
      <c r="R383">
        <f t="shared" ca="1" si="220"/>
        <v>500</v>
      </c>
      <c r="S383" s="133">
        <f t="shared" ca="1" si="221"/>
        <v>109.32</v>
      </c>
      <c r="T383" s="132">
        <f t="shared" ca="1" si="210"/>
        <v>0</v>
      </c>
      <c r="U383" s="133">
        <f t="shared" ca="1" si="228"/>
        <v>1.9008342029825436E-4</v>
      </c>
      <c r="V383" s="31">
        <f t="shared" ca="1" si="222"/>
        <v>0</v>
      </c>
      <c r="W383" s="31">
        <f t="shared" ca="1" si="211"/>
        <v>0</v>
      </c>
      <c r="X383" s="163">
        <f t="shared" ca="1" si="229"/>
        <v>0</v>
      </c>
      <c r="Y383" s="163">
        <f t="shared" ca="1" si="230"/>
        <v>0</v>
      </c>
      <c r="Z383" s="163">
        <f t="shared" ca="1" si="223"/>
        <v>0</v>
      </c>
      <c r="AA383" s="163">
        <f t="shared" ca="1" si="231"/>
        <v>0</v>
      </c>
      <c r="AB383" s="84">
        <f t="shared" ca="1" si="212"/>
        <v>0</v>
      </c>
      <c r="AC383" s="160">
        <f t="shared" si="213"/>
        <v>0</v>
      </c>
      <c r="AD383" s="31">
        <f t="shared" ca="1" si="214"/>
        <v>0</v>
      </c>
      <c r="AE383" s="5"/>
      <c r="AF383" s="151">
        <f t="shared" ca="1" si="215"/>
        <v>0</v>
      </c>
      <c r="AG383" s="151">
        <f t="shared" ca="1" si="216"/>
        <v>0</v>
      </c>
      <c r="AH383" s="5"/>
      <c r="AI383" s="5"/>
      <c r="AS383" s="55">
        <f t="shared" si="224"/>
        <v>32</v>
      </c>
      <c r="AT383" s="56">
        <f t="shared" si="232"/>
        <v>380</v>
      </c>
      <c r="AU383" s="57">
        <f t="shared" si="236"/>
        <v>0.15658041678790185</v>
      </c>
      <c r="AV383" s="58">
        <f t="shared" si="225"/>
        <v>4.8675505653430484E-3</v>
      </c>
      <c r="AW383" s="59">
        <f t="shared" si="226"/>
        <v>1.004867550565343</v>
      </c>
      <c r="AX383" s="60">
        <f>PRODUCT(AW$4:AW383)</f>
        <v>6.3292521827594701</v>
      </c>
    </row>
    <row r="384" spans="5:50">
      <c r="E384">
        <f t="shared" si="234"/>
        <v>381</v>
      </c>
      <c r="F384" s="9">
        <f t="shared" si="227"/>
        <v>100.66666666666487</v>
      </c>
      <c r="G384" s="132">
        <f t="shared" si="205"/>
        <v>0</v>
      </c>
      <c r="H384" s="133">
        <f t="shared" si="233"/>
        <v>1</v>
      </c>
      <c r="I384" s="31">
        <f t="shared" si="217"/>
        <v>31032.714398178367</v>
      </c>
      <c r="J384" s="31">
        <f t="shared" si="206"/>
        <v>151.05330651298246</v>
      </c>
      <c r="K384" s="163">
        <f t="shared" si="207"/>
        <v>-20</v>
      </c>
      <c r="L384" s="163">
        <f t="shared" si="218"/>
        <v>-25.860595331815308</v>
      </c>
      <c r="M384" s="163">
        <f t="shared" si="235"/>
        <v>0</v>
      </c>
      <c r="N384" s="163">
        <f t="shared" si="219"/>
        <v>-29.481078678269455</v>
      </c>
      <c r="O384" s="84">
        <f t="shared" si="208"/>
        <v>-6234.7220095610019</v>
      </c>
      <c r="P384" s="31">
        <f t="shared" si="209"/>
        <v>24873.704021120262</v>
      </c>
      <c r="Q384" s="5"/>
      <c r="R384">
        <f t="shared" ca="1" si="220"/>
        <v>501</v>
      </c>
      <c r="S384" s="133">
        <f t="shared" ca="1" si="221"/>
        <v>109.4</v>
      </c>
      <c r="T384" s="132">
        <f t="shared" ca="1" si="210"/>
        <v>0</v>
      </c>
      <c r="U384" s="133">
        <f t="shared" ca="1" si="228"/>
        <v>1.9008342029825436E-4</v>
      </c>
      <c r="V384" s="31">
        <f t="shared" ca="1" si="222"/>
        <v>0</v>
      </c>
      <c r="W384" s="31">
        <f t="shared" ca="1" si="211"/>
        <v>0</v>
      </c>
      <c r="X384" s="163">
        <f t="shared" ca="1" si="229"/>
        <v>0</v>
      </c>
      <c r="Y384" s="163">
        <f t="shared" ca="1" si="230"/>
        <v>0</v>
      </c>
      <c r="Z384" s="163">
        <f t="shared" ca="1" si="223"/>
        <v>0</v>
      </c>
      <c r="AA384" s="163">
        <f t="shared" ca="1" si="231"/>
        <v>0</v>
      </c>
      <c r="AB384" s="84">
        <f t="shared" ca="1" si="212"/>
        <v>0</v>
      </c>
      <c r="AC384" s="160">
        <f t="shared" si="213"/>
        <v>0</v>
      </c>
      <c r="AD384" s="31">
        <f t="shared" ca="1" si="214"/>
        <v>0</v>
      </c>
      <c r="AE384" s="5"/>
      <c r="AF384" s="151">
        <f t="shared" ca="1" si="215"/>
        <v>0</v>
      </c>
      <c r="AG384" s="151">
        <f t="shared" ca="1" si="216"/>
        <v>0</v>
      </c>
      <c r="AH384" s="5"/>
      <c r="AI384" s="5"/>
      <c r="AS384" s="55">
        <f t="shared" si="224"/>
        <v>32</v>
      </c>
      <c r="AT384" s="56">
        <f t="shared" si="232"/>
        <v>381</v>
      </c>
      <c r="AU384" s="57">
        <f t="shared" si="236"/>
        <v>0.15581825369164426</v>
      </c>
      <c r="AV384" s="58">
        <f t="shared" si="225"/>
        <v>4.8675505653430484E-3</v>
      </c>
      <c r="AW384" s="59">
        <f t="shared" si="226"/>
        <v>1.004867550565343</v>
      </c>
      <c r="AX384" s="60">
        <f>PRODUCT(AW$4:AW384)</f>
        <v>6.3600601377998593</v>
      </c>
    </row>
    <row r="385" spans="5:50">
      <c r="E385">
        <f t="shared" si="234"/>
        <v>382</v>
      </c>
      <c r="F385" s="9">
        <f t="shared" si="227"/>
        <v>100.7499999999982</v>
      </c>
      <c r="G385" s="132">
        <f t="shared" si="205"/>
        <v>0</v>
      </c>
      <c r="H385" s="133">
        <f t="shared" si="233"/>
        <v>1</v>
      </c>
      <c r="I385" s="31">
        <f t="shared" si="217"/>
        <v>24873.704021120262</v>
      </c>
      <c r="J385" s="31">
        <f t="shared" si="206"/>
        <v>121.07401207017959</v>
      </c>
      <c r="K385" s="163">
        <f t="shared" si="207"/>
        <v>-20</v>
      </c>
      <c r="L385" s="163">
        <f t="shared" si="218"/>
        <v>-20.728086684266888</v>
      </c>
      <c r="M385" s="163">
        <f t="shared" si="235"/>
        <v>0</v>
      </c>
      <c r="N385" s="163">
        <f t="shared" si="219"/>
        <v>-23.630018820064254</v>
      </c>
      <c r="O385" s="84">
        <f t="shared" si="208"/>
        <v>-6234.7220095610019</v>
      </c>
      <c r="P385" s="31">
        <f t="shared" si="209"/>
        <v>18695.697918125108</v>
      </c>
      <c r="Q385" s="5"/>
      <c r="R385">
        <f t="shared" ca="1" si="220"/>
        <v>502</v>
      </c>
      <c r="S385" s="133">
        <f t="shared" ca="1" si="221"/>
        <v>109.48</v>
      </c>
      <c r="T385" s="132">
        <f t="shared" ca="1" si="210"/>
        <v>0</v>
      </c>
      <c r="U385" s="133">
        <f t="shared" ca="1" si="228"/>
        <v>1.9008342029825436E-4</v>
      </c>
      <c r="V385" s="31">
        <f t="shared" ca="1" si="222"/>
        <v>0</v>
      </c>
      <c r="W385" s="31">
        <f t="shared" ca="1" si="211"/>
        <v>0</v>
      </c>
      <c r="X385" s="163">
        <f t="shared" ca="1" si="229"/>
        <v>0</v>
      </c>
      <c r="Y385" s="163">
        <f t="shared" ca="1" si="230"/>
        <v>0</v>
      </c>
      <c r="Z385" s="163">
        <f t="shared" ca="1" si="223"/>
        <v>0</v>
      </c>
      <c r="AA385" s="163">
        <f t="shared" ca="1" si="231"/>
        <v>0</v>
      </c>
      <c r="AB385" s="84">
        <f t="shared" ca="1" si="212"/>
        <v>0</v>
      </c>
      <c r="AC385" s="160">
        <f t="shared" si="213"/>
        <v>0</v>
      </c>
      <c r="AD385" s="31">
        <f t="shared" ca="1" si="214"/>
        <v>0</v>
      </c>
      <c r="AE385" s="5"/>
      <c r="AF385" s="151">
        <f t="shared" ca="1" si="215"/>
        <v>0</v>
      </c>
      <c r="AG385" s="151">
        <f t="shared" ca="1" si="216"/>
        <v>0</v>
      </c>
      <c r="AH385" s="5"/>
      <c r="AI385" s="5"/>
      <c r="AS385" s="55">
        <f t="shared" si="224"/>
        <v>32</v>
      </c>
      <c r="AT385" s="56">
        <f t="shared" si="232"/>
        <v>382</v>
      </c>
      <c r="AU385" s="57">
        <f t="shared" si="236"/>
        <v>0.15505980046279674</v>
      </c>
      <c r="AV385" s="58">
        <f t="shared" si="225"/>
        <v>4.8675505653430484E-3</v>
      </c>
      <c r="AW385" s="59">
        <f t="shared" si="226"/>
        <v>1.004867550565343</v>
      </c>
      <c r="AX385" s="60">
        <f>PRODUCT(AW$4:AW385)</f>
        <v>6.3910180521192226</v>
      </c>
    </row>
    <row r="386" spans="5:50">
      <c r="E386">
        <f t="shared" si="234"/>
        <v>383</v>
      </c>
      <c r="F386" s="9">
        <f t="shared" si="227"/>
        <v>100.83333333333152</v>
      </c>
      <c r="G386" s="132">
        <f t="shared" si="205"/>
        <v>0</v>
      </c>
      <c r="H386" s="133">
        <f t="shared" si="233"/>
        <v>1</v>
      </c>
      <c r="I386" s="31">
        <f t="shared" si="217"/>
        <v>18695.697918125108</v>
      </c>
      <c r="J386" s="31">
        <f t="shared" si="206"/>
        <v>91.002254970852718</v>
      </c>
      <c r="K386" s="163">
        <f t="shared" si="207"/>
        <v>-20</v>
      </c>
      <c r="L386" s="163">
        <f t="shared" si="218"/>
        <v>-15.579748265104257</v>
      </c>
      <c r="M386" s="163">
        <f t="shared" si="235"/>
        <v>0</v>
      </c>
      <c r="N386" s="163">
        <f t="shared" si="219"/>
        <v>-17.760913022218855</v>
      </c>
      <c r="O386" s="84">
        <f t="shared" si="208"/>
        <v>-6234.7220095610019</v>
      </c>
      <c r="P386" s="31">
        <f t="shared" si="209"/>
        <v>12498.637502247635</v>
      </c>
      <c r="Q386" s="5"/>
      <c r="R386">
        <f t="shared" ca="1" si="220"/>
        <v>503</v>
      </c>
      <c r="S386" s="133">
        <f t="shared" ca="1" si="221"/>
        <v>109.56</v>
      </c>
      <c r="T386" s="132">
        <f t="shared" ca="1" si="210"/>
        <v>0</v>
      </c>
      <c r="U386" s="133">
        <f t="shared" ca="1" si="228"/>
        <v>1.9008342029825436E-4</v>
      </c>
      <c r="V386" s="31">
        <f t="shared" ca="1" si="222"/>
        <v>0</v>
      </c>
      <c r="W386" s="31">
        <f t="shared" ca="1" si="211"/>
        <v>0</v>
      </c>
      <c r="X386" s="163">
        <f t="shared" ca="1" si="229"/>
        <v>0</v>
      </c>
      <c r="Y386" s="163">
        <f t="shared" ca="1" si="230"/>
        <v>0</v>
      </c>
      <c r="Z386" s="163">
        <f t="shared" ca="1" si="223"/>
        <v>0</v>
      </c>
      <c r="AA386" s="163">
        <f t="shared" ca="1" si="231"/>
        <v>0</v>
      </c>
      <c r="AB386" s="84">
        <f t="shared" ca="1" si="212"/>
        <v>0</v>
      </c>
      <c r="AC386" s="160">
        <f t="shared" si="213"/>
        <v>0</v>
      </c>
      <c r="AD386" s="31">
        <f t="shared" ca="1" si="214"/>
        <v>0</v>
      </c>
      <c r="AE386" s="5"/>
      <c r="AF386" s="151">
        <f t="shared" ca="1" si="215"/>
        <v>0</v>
      </c>
      <c r="AG386" s="151">
        <f t="shared" ca="1" si="216"/>
        <v>0</v>
      </c>
      <c r="AH386" s="5"/>
      <c r="AI386" s="5"/>
      <c r="AS386" s="55">
        <f t="shared" si="224"/>
        <v>32</v>
      </c>
      <c r="AT386" s="56">
        <f t="shared" si="232"/>
        <v>383</v>
      </c>
      <c r="AU386" s="57">
        <f t="shared" si="236"/>
        <v>0.15430503904339207</v>
      </c>
      <c r="AV386" s="58">
        <f t="shared" si="225"/>
        <v>4.8675505653430484E-3</v>
      </c>
      <c r="AW386" s="59">
        <f t="shared" si="226"/>
        <v>1.004867550565343</v>
      </c>
      <c r="AX386" s="60">
        <f>PRODUCT(AW$4:AW386)</f>
        <v>6.4221266556519332</v>
      </c>
    </row>
    <row r="387" spans="5:50">
      <c r="E387">
        <f t="shared" si="234"/>
        <v>384</v>
      </c>
      <c r="F387" s="9">
        <f t="shared" si="227"/>
        <v>100.91666666666485</v>
      </c>
      <c r="G387" s="132">
        <f t="shared" si="205"/>
        <v>0</v>
      </c>
      <c r="H387" s="133">
        <f t="shared" si="233"/>
        <v>1</v>
      </c>
      <c r="I387" s="31">
        <f t="shared" si="217"/>
        <v>12498.637502247635</v>
      </c>
      <c r="J387" s="31">
        <f t="shared" si="206"/>
        <v>60.8377500400833</v>
      </c>
      <c r="K387" s="163">
        <f t="shared" si="207"/>
        <v>-20</v>
      </c>
      <c r="L387" s="163">
        <f t="shared" si="218"/>
        <v>-10.415531251873031</v>
      </c>
      <c r="M387" s="163">
        <f t="shared" si="235"/>
        <v>0</v>
      </c>
      <c r="N387" s="163">
        <f t="shared" si="219"/>
        <v>-11.873705627135257</v>
      </c>
      <c r="O387" s="84">
        <f t="shared" si="208"/>
        <v>-6234.7220095610019</v>
      </c>
      <c r="P387" s="31">
        <f t="shared" si="209"/>
        <v>6282.4640058477098</v>
      </c>
      <c r="Q387" s="5"/>
      <c r="R387">
        <f t="shared" ca="1" si="220"/>
        <v>504</v>
      </c>
      <c r="S387" s="133">
        <f t="shared" ca="1" si="221"/>
        <v>109.64</v>
      </c>
      <c r="T387" s="132">
        <f t="shared" ca="1" si="210"/>
        <v>0</v>
      </c>
      <c r="U387" s="133">
        <f t="shared" ca="1" si="228"/>
        <v>1.9008342029825436E-4</v>
      </c>
      <c r="V387" s="31">
        <f t="shared" ca="1" si="222"/>
        <v>0</v>
      </c>
      <c r="W387" s="31">
        <f t="shared" ca="1" si="211"/>
        <v>0</v>
      </c>
      <c r="X387" s="163">
        <f t="shared" ca="1" si="229"/>
        <v>0</v>
      </c>
      <c r="Y387" s="163">
        <f t="shared" ca="1" si="230"/>
        <v>0</v>
      </c>
      <c r="Z387" s="163">
        <f t="shared" ca="1" si="223"/>
        <v>0</v>
      </c>
      <c r="AA387" s="163">
        <f t="shared" ca="1" si="231"/>
        <v>0</v>
      </c>
      <c r="AB387" s="84">
        <f t="shared" ca="1" si="212"/>
        <v>0</v>
      </c>
      <c r="AC387" s="160">
        <f t="shared" si="213"/>
        <v>0</v>
      </c>
      <c r="AD387" s="31">
        <f t="shared" ca="1" si="214"/>
        <v>0</v>
      </c>
      <c r="AE387" s="5"/>
      <c r="AF387" s="151">
        <f t="shared" ca="1" si="215"/>
        <v>0</v>
      </c>
      <c r="AG387" s="151">
        <f t="shared" ca="1" si="216"/>
        <v>0</v>
      </c>
      <c r="AH387" s="5"/>
      <c r="AI387" s="5"/>
      <c r="AS387" s="55">
        <f t="shared" si="224"/>
        <v>32</v>
      </c>
      <c r="AT387" s="56">
        <f t="shared" si="232"/>
        <v>384</v>
      </c>
      <c r="AU387" s="57">
        <f t="shared" si="236"/>
        <v>0.15355395146336112</v>
      </c>
      <c r="AV387" s="58">
        <f t="shared" si="225"/>
        <v>4.8675505653430484E-3</v>
      </c>
      <c r="AW387" s="59">
        <f t="shared" si="226"/>
        <v>1.004867550565343</v>
      </c>
      <c r="AX387" s="60">
        <f>PRODUCT(AW$4:AW387)</f>
        <v>6.4533866818853562</v>
      </c>
    </row>
    <row r="388" spans="5:50">
      <c r="E388">
        <f t="shared" si="234"/>
        <v>385</v>
      </c>
      <c r="F388" s="9">
        <f t="shared" si="227"/>
        <v>100.99999999999818</v>
      </c>
      <c r="G388" s="132">
        <f t="shared" ref="G388:G451" si="237">(1-(1-IF(F388&gt;$AK$90,0,VLOOKUP(ROUND(F388,0),$AK$4:$AL$90,2,FALSE)))^(1/12))*0</f>
        <v>0</v>
      </c>
      <c r="H388" s="133">
        <f t="shared" si="233"/>
        <v>1</v>
      </c>
      <c r="I388" s="31">
        <f t="shared" si="217"/>
        <v>6282.4640058477098</v>
      </c>
      <c r="J388" s="31">
        <f t="shared" ref="J388:J451" si="238">(I388)*$AV388</f>
        <v>30.580211223411371</v>
      </c>
      <c r="K388" s="163">
        <f t="shared" ref="K388:K451" si="239">IF(I388=0,0,-$C$19)*H388</f>
        <v>-20</v>
      </c>
      <c r="L388" s="163">
        <f t="shared" si="218"/>
        <v>-5.2353866715397581</v>
      </c>
      <c r="M388" s="163">
        <f t="shared" si="235"/>
        <v>-47.118480043857822</v>
      </c>
      <c r="N388" s="163">
        <f t="shared" si="219"/>
        <v>-5.9683408055553251</v>
      </c>
      <c r="O388" s="84">
        <f t="shared" ref="O388:O451" si="240">-MIN(
IF(MOD(E388-1,IF($C$7="Annual",12,1))=0,1,0)
*IF(F388&lt;=$C$6,H388*$C$5*$C$4/IF($C$7="Monthly",12,1),$C$12),I388)</f>
        <v>-6234.7220095610019</v>
      </c>
      <c r="P388" s="31">
        <f t="shared" ref="P388:P451" si="241">SUM(I388:O388)</f>
        <v>-1.0832991392817348E-8</v>
      </c>
      <c r="Q388" s="5"/>
      <c r="R388">
        <f t="shared" ca="1" si="220"/>
        <v>505</v>
      </c>
      <c r="S388" s="133">
        <f t="shared" ca="1" si="221"/>
        <v>109.72</v>
      </c>
      <c r="T388" s="132">
        <f t="shared" ref="T388:T451" ca="1" si="242">(1-(1-IF(S388&gt;$AK$90,0,VLOOKUP(ROUND(S388,0),$AK$4:$AL$90,2,FALSE)))^(1/12))</f>
        <v>0</v>
      </c>
      <c r="U388" s="133">
        <f t="shared" ca="1" si="228"/>
        <v>1.9008342029825436E-4</v>
      </c>
      <c r="V388" s="31">
        <f t="shared" ca="1" si="222"/>
        <v>0</v>
      </c>
      <c r="W388" s="31">
        <f t="shared" ref="W388:W451" ca="1" si="243">(V388)*$AV388</f>
        <v>0</v>
      </c>
      <c r="X388" s="163">
        <f t="shared" ca="1" si="229"/>
        <v>0</v>
      </c>
      <c r="Y388" s="163">
        <f t="shared" ca="1" si="230"/>
        <v>0</v>
      </c>
      <c r="Z388" s="163">
        <f t="shared" ca="1" si="223"/>
        <v>0</v>
      </c>
      <c r="AA388" s="163">
        <f t="shared" ca="1" si="231"/>
        <v>0</v>
      </c>
      <c r="AB388" s="84">
        <f t="shared" ref="AB388:AB451" ca="1" si="244">-MIN(IF(MOD(R388,IF($C$7="Annual",12,1))=0,1,0)*$C$39*U388/IF($C$7="Monthly",12,1),V388)</f>
        <v>0</v>
      </c>
      <c r="AC388" s="160">
        <f t="shared" ref="AC388:AC451" si="245">IF($C$8="Yes",-V388*T388,0)</f>
        <v>0</v>
      </c>
      <c r="AD388" s="31">
        <f t="shared" ref="AD388:AD451" ca="1" si="246">SUM(V388:AC388)</f>
        <v>0</v>
      </c>
      <c r="AE388" s="5"/>
      <c r="AF388" s="151">
        <f t="shared" ref="AF388:AF451" ca="1" si="247">AB388/U388</f>
        <v>0</v>
      </c>
      <c r="AG388" s="151">
        <f t="shared" ref="AG388:AG451" ca="1" si="248">AD388/U388</f>
        <v>0</v>
      </c>
      <c r="AH388" s="5"/>
      <c r="AI388" s="5"/>
      <c r="AS388" s="55">
        <f t="shared" si="224"/>
        <v>33</v>
      </c>
      <c r="AT388" s="56">
        <f t="shared" si="232"/>
        <v>385</v>
      </c>
      <c r="AU388" s="57">
        <f t="shared" si="236"/>
        <v>0.15280651984010499</v>
      </c>
      <c r="AV388" s="58">
        <f t="shared" si="225"/>
        <v>4.8675505653430484E-3</v>
      </c>
      <c r="AW388" s="59">
        <f t="shared" si="226"/>
        <v>1.004867550565343</v>
      </c>
      <c r="AX388" s="60">
        <f>PRODUCT(AW$4:AW388)</f>
        <v>6.4847988678771449</v>
      </c>
    </row>
    <row r="389" spans="5:50">
      <c r="E389">
        <f t="shared" si="234"/>
        <v>386</v>
      </c>
      <c r="F389" s="9">
        <f t="shared" si="227"/>
        <v>101.08333333333151</v>
      </c>
      <c r="G389" s="132">
        <f t="shared" si="237"/>
        <v>0</v>
      </c>
      <c r="H389" s="133">
        <f t="shared" si="233"/>
        <v>1</v>
      </c>
      <c r="I389" s="31">
        <f t="shared" ref="I389:I452" si="249">MAX(P388,0)*(1-G389)</f>
        <v>0</v>
      </c>
      <c r="J389" s="31">
        <f t="shared" si="238"/>
        <v>0</v>
      </c>
      <c r="K389" s="163">
        <f t="shared" si="239"/>
        <v>0</v>
      </c>
      <c r="L389" s="163">
        <f t="shared" ref="L389:L452" si="250">IF(OR(I388+O388=0,K388=0),0,-I389*($C$16/12))</f>
        <v>0</v>
      </c>
      <c r="M389" s="163">
        <f t="shared" si="235"/>
        <v>0</v>
      </c>
      <c r="N389" s="163">
        <f t="shared" ref="N389:N452" si="251">IF(OR(I388+O388=0,K388=0),0,-I389*($C$18*(1+$C$20))/12)</f>
        <v>0</v>
      </c>
      <c r="O389" s="84">
        <f t="shared" si="240"/>
        <v>0</v>
      </c>
      <c r="P389" s="31">
        <f t="shared" si="241"/>
        <v>0</v>
      </c>
      <c r="Q389" s="5"/>
      <c r="R389">
        <f t="shared" ref="R389:R452" ca="1" si="252">R388+1</f>
        <v>506</v>
      </c>
      <c r="S389" s="133">
        <f t="shared" ref="S389:S452" ca="1" si="253">ROUND((R389-R388)/12+S388,2)</f>
        <v>109.8</v>
      </c>
      <c r="T389" s="132">
        <f t="shared" ca="1" si="242"/>
        <v>0</v>
      </c>
      <c r="U389" s="133">
        <f t="shared" ca="1" si="228"/>
        <v>1.9008342029825436E-4</v>
      </c>
      <c r="V389" s="31">
        <f t="shared" ref="V389:V452" ca="1" si="254">MAX(AD388,0)*(1-T389)</f>
        <v>0</v>
      </c>
      <c r="W389" s="31">
        <f t="shared" ca="1" si="243"/>
        <v>0</v>
      </c>
      <c r="X389" s="163">
        <f t="shared" ca="1" si="229"/>
        <v>0</v>
      </c>
      <c r="Y389" s="163">
        <f t="shared" ca="1" si="230"/>
        <v>0</v>
      </c>
      <c r="Z389" s="163">
        <f t="shared" ref="Z389:Z452" ca="1" si="255">IF(OR(V388+AB388=0,X388=0),0,-IF(MOD(E389,12)=0,1,0)*V389*($C$17))</f>
        <v>0</v>
      </c>
      <c r="AA389" s="163">
        <f t="shared" ca="1" si="231"/>
        <v>0</v>
      </c>
      <c r="AB389" s="84">
        <f t="shared" ca="1" si="244"/>
        <v>0</v>
      </c>
      <c r="AC389" s="160">
        <f t="shared" si="245"/>
        <v>0</v>
      </c>
      <c r="AD389" s="31">
        <f t="shared" ca="1" si="246"/>
        <v>0</v>
      </c>
      <c r="AE389" s="5"/>
      <c r="AF389" s="151">
        <f t="shared" ca="1" si="247"/>
        <v>0</v>
      </c>
      <c r="AG389" s="151">
        <f t="shared" ca="1" si="248"/>
        <v>0</v>
      </c>
      <c r="AH389" s="5"/>
      <c r="AI389" s="5"/>
      <c r="AS389" s="55">
        <f t="shared" ref="AS389:AS452" si="256">ROUNDDOWN((AT389-1)/12,0)+1</f>
        <v>33</v>
      </c>
      <c r="AT389" s="56">
        <f t="shared" si="232"/>
        <v>386</v>
      </c>
      <c r="AU389" s="57">
        <f t="shared" si="236"/>
        <v>0.15206272637806917</v>
      </c>
      <c r="AV389" s="58">
        <f t="shared" ref="AV389:AV452" si="257">((1+$AV$1)^(1/12))-1</f>
        <v>4.8675505653430484E-3</v>
      </c>
      <c r="AW389" s="59">
        <f t="shared" ref="AW389:AW452" si="258">(1+AV389)</f>
        <v>1.004867550565343</v>
      </c>
      <c r="AX389" s="60">
        <f>PRODUCT(AW$4:AW389)</f>
        <v>6.5163639542726166</v>
      </c>
    </row>
    <row r="390" spans="5:50">
      <c r="E390">
        <f t="shared" si="234"/>
        <v>387</v>
      </c>
      <c r="F390" s="9">
        <f t="shared" ref="F390:F453" si="259">1/12+F389</f>
        <v>101.16666666666484</v>
      </c>
      <c r="G390" s="132">
        <f t="shared" si="237"/>
        <v>0</v>
      </c>
      <c r="H390" s="133">
        <f t="shared" si="233"/>
        <v>1</v>
      </c>
      <c r="I390" s="31">
        <f t="shared" si="249"/>
        <v>0</v>
      </c>
      <c r="J390" s="31">
        <f t="shared" si="238"/>
        <v>0</v>
      </c>
      <c r="K390" s="163">
        <f t="shared" si="239"/>
        <v>0</v>
      </c>
      <c r="L390" s="163">
        <f t="shared" si="250"/>
        <v>0</v>
      </c>
      <c r="M390" s="163">
        <f t="shared" si="235"/>
        <v>0</v>
      </c>
      <c r="N390" s="163">
        <f t="shared" si="251"/>
        <v>0</v>
      </c>
      <c r="O390" s="84">
        <f t="shared" si="240"/>
        <v>0</v>
      </c>
      <c r="P390" s="31">
        <f t="shared" si="241"/>
        <v>0</v>
      </c>
      <c r="Q390" s="5"/>
      <c r="R390">
        <f t="shared" ca="1" si="252"/>
        <v>507</v>
      </c>
      <c r="S390" s="133">
        <f t="shared" ca="1" si="253"/>
        <v>109.88</v>
      </c>
      <c r="T390" s="132">
        <f t="shared" ca="1" si="242"/>
        <v>0</v>
      </c>
      <c r="U390" s="133">
        <f t="shared" ref="U390:U453" ca="1" si="260">U389*(1-T390)</f>
        <v>1.9008342029825436E-4</v>
      </c>
      <c r="V390" s="31">
        <f t="shared" ca="1" si="254"/>
        <v>0</v>
      </c>
      <c r="W390" s="31">
        <f t="shared" ca="1" si="243"/>
        <v>0</v>
      </c>
      <c r="X390" s="163">
        <f t="shared" ref="X390:X453" ca="1" si="261">IF(V390=0,0,-$C$19)*U390</f>
        <v>0</v>
      </c>
      <c r="Y390" s="163">
        <f t="shared" ref="Y390:Y453" ca="1" si="262">IF(OR(V389+AB389=0,X389=0),0,-V390*($C$16/12))</f>
        <v>0</v>
      </c>
      <c r="Z390" s="163">
        <f t="shared" ca="1" si="255"/>
        <v>0</v>
      </c>
      <c r="AA390" s="163">
        <f t="shared" ref="AA390:AA453" ca="1" si="263">IF(OR(V389+AB389=0,X389=0),0,-V390*($C$18*(1+$C$20))/12)</f>
        <v>0</v>
      </c>
      <c r="AB390" s="84">
        <f t="shared" ca="1" si="244"/>
        <v>0</v>
      </c>
      <c r="AC390" s="160">
        <f t="shared" si="245"/>
        <v>0</v>
      </c>
      <c r="AD390" s="31">
        <f t="shared" ca="1" si="246"/>
        <v>0</v>
      </c>
      <c r="AE390" s="5"/>
      <c r="AF390" s="151">
        <f t="shared" ca="1" si="247"/>
        <v>0</v>
      </c>
      <c r="AG390" s="151">
        <f t="shared" ca="1" si="248"/>
        <v>0</v>
      </c>
      <c r="AH390" s="5"/>
      <c r="AI390" s="5"/>
      <c r="AS390" s="55">
        <f t="shared" si="256"/>
        <v>33</v>
      </c>
      <c r="AT390" s="56">
        <f t="shared" ref="AT390:AT453" si="264">AT389+1</f>
        <v>387</v>
      </c>
      <c r="AU390" s="57">
        <f t="shared" si="236"/>
        <v>0.15132255336831998</v>
      </c>
      <c r="AV390" s="58">
        <f t="shared" si="257"/>
        <v>4.8675505653430484E-3</v>
      </c>
      <c r="AW390" s="59">
        <f t="shared" si="258"/>
        <v>1.004867550565343</v>
      </c>
      <c r="AX390" s="60">
        <f>PRODUCT(AW$4:AW390)</f>
        <v>6.5480826853222176</v>
      </c>
    </row>
    <row r="391" spans="5:50">
      <c r="E391">
        <f t="shared" si="234"/>
        <v>388</v>
      </c>
      <c r="F391" s="9">
        <f t="shared" si="259"/>
        <v>101.24999999999817</v>
      </c>
      <c r="G391" s="132">
        <f t="shared" si="237"/>
        <v>0</v>
      </c>
      <c r="H391" s="133">
        <f t="shared" ref="H391:H454" si="265">H390*(1-G391)</f>
        <v>1</v>
      </c>
      <c r="I391" s="31">
        <f t="shared" si="249"/>
        <v>0</v>
      </c>
      <c r="J391" s="31">
        <f t="shared" si="238"/>
        <v>0</v>
      </c>
      <c r="K391" s="163">
        <f t="shared" si="239"/>
        <v>0</v>
      </c>
      <c r="L391" s="163">
        <f t="shared" si="250"/>
        <v>0</v>
      </c>
      <c r="M391" s="163">
        <f t="shared" si="235"/>
        <v>0</v>
      </c>
      <c r="N391" s="163">
        <f t="shared" si="251"/>
        <v>0</v>
      </c>
      <c r="O391" s="84">
        <f t="shared" si="240"/>
        <v>0</v>
      </c>
      <c r="P391" s="31">
        <f t="shared" si="241"/>
        <v>0</v>
      </c>
      <c r="Q391" s="5"/>
      <c r="R391">
        <f t="shared" ca="1" si="252"/>
        <v>508</v>
      </c>
      <c r="S391" s="133">
        <f t="shared" ca="1" si="253"/>
        <v>109.96</v>
      </c>
      <c r="T391" s="132">
        <f t="shared" ca="1" si="242"/>
        <v>0</v>
      </c>
      <c r="U391" s="133">
        <f t="shared" ca="1" si="260"/>
        <v>1.9008342029825436E-4</v>
      </c>
      <c r="V391" s="31">
        <f t="shared" ca="1" si="254"/>
        <v>0</v>
      </c>
      <c r="W391" s="31">
        <f t="shared" ca="1" si="243"/>
        <v>0</v>
      </c>
      <c r="X391" s="163">
        <f t="shared" ca="1" si="261"/>
        <v>0</v>
      </c>
      <c r="Y391" s="163">
        <f t="shared" ca="1" si="262"/>
        <v>0</v>
      </c>
      <c r="Z391" s="163">
        <f t="shared" ca="1" si="255"/>
        <v>0</v>
      </c>
      <c r="AA391" s="163">
        <f t="shared" ca="1" si="263"/>
        <v>0</v>
      </c>
      <c r="AB391" s="84">
        <f t="shared" ca="1" si="244"/>
        <v>0</v>
      </c>
      <c r="AC391" s="160">
        <f t="shared" si="245"/>
        <v>0</v>
      </c>
      <c r="AD391" s="31">
        <f t="shared" ca="1" si="246"/>
        <v>0</v>
      </c>
      <c r="AE391" s="5"/>
      <c r="AF391" s="151">
        <f t="shared" ca="1" si="247"/>
        <v>0</v>
      </c>
      <c r="AG391" s="151">
        <f t="shared" ca="1" si="248"/>
        <v>0</v>
      </c>
      <c r="AH391" s="5"/>
      <c r="AI391" s="5"/>
      <c r="AS391" s="55">
        <f t="shared" si="256"/>
        <v>33</v>
      </c>
      <c r="AT391" s="56">
        <f t="shared" si="264"/>
        <v>388</v>
      </c>
      <c r="AU391" s="57">
        <f t="shared" si="236"/>
        <v>0.15058598318812286</v>
      </c>
      <c r="AV391" s="58">
        <f t="shared" si="257"/>
        <v>4.8675505653430484E-3</v>
      </c>
      <c r="AW391" s="59">
        <f t="shared" si="258"/>
        <v>1.004867550565343</v>
      </c>
      <c r="AX391" s="60">
        <f>PRODUCT(AW$4:AW391)</f>
        <v>6.5799558088990704</v>
      </c>
    </row>
    <row r="392" spans="5:50">
      <c r="E392">
        <f t="shared" si="234"/>
        <v>389</v>
      </c>
      <c r="F392" s="9">
        <f t="shared" si="259"/>
        <v>101.3333333333315</v>
      </c>
      <c r="G392" s="132">
        <f t="shared" si="237"/>
        <v>0</v>
      </c>
      <c r="H392" s="133">
        <f t="shared" si="265"/>
        <v>1</v>
      </c>
      <c r="I392" s="31">
        <f t="shared" si="249"/>
        <v>0</v>
      </c>
      <c r="J392" s="31">
        <f t="shared" si="238"/>
        <v>0</v>
      </c>
      <c r="K392" s="163">
        <f t="shared" si="239"/>
        <v>0</v>
      </c>
      <c r="L392" s="163">
        <f t="shared" si="250"/>
        <v>0</v>
      </c>
      <c r="M392" s="163">
        <f t="shared" si="235"/>
        <v>0</v>
      </c>
      <c r="N392" s="163">
        <f t="shared" si="251"/>
        <v>0</v>
      </c>
      <c r="O392" s="84">
        <f t="shared" si="240"/>
        <v>0</v>
      </c>
      <c r="P392" s="31">
        <f t="shared" si="241"/>
        <v>0</v>
      </c>
      <c r="Q392" s="5"/>
      <c r="R392">
        <f t="shared" ca="1" si="252"/>
        <v>509</v>
      </c>
      <c r="S392" s="133">
        <f t="shared" ca="1" si="253"/>
        <v>110.04</v>
      </c>
      <c r="T392" s="132">
        <f t="shared" ca="1" si="242"/>
        <v>0</v>
      </c>
      <c r="U392" s="133">
        <f t="shared" ca="1" si="260"/>
        <v>1.9008342029825436E-4</v>
      </c>
      <c r="V392" s="31">
        <f t="shared" ca="1" si="254"/>
        <v>0</v>
      </c>
      <c r="W392" s="31">
        <f t="shared" ca="1" si="243"/>
        <v>0</v>
      </c>
      <c r="X392" s="163">
        <f t="shared" ca="1" si="261"/>
        <v>0</v>
      </c>
      <c r="Y392" s="163">
        <f t="shared" ca="1" si="262"/>
        <v>0</v>
      </c>
      <c r="Z392" s="163">
        <f t="shared" ca="1" si="255"/>
        <v>0</v>
      </c>
      <c r="AA392" s="163">
        <f t="shared" ca="1" si="263"/>
        <v>0</v>
      </c>
      <c r="AB392" s="84">
        <f t="shared" ca="1" si="244"/>
        <v>0</v>
      </c>
      <c r="AC392" s="160">
        <f t="shared" si="245"/>
        <v>0</v>
      </c>
      <c r="AD392" s="31">
        <f t="shared" ca="1" si="246"/>
        <v>0</v>
      </c>
      <c r="AE392" s="5"/>
      <c r="AF392" s="151">
        <f t="shared" ca="1" si="247"/>
        <v>0</v>
      </c>
      <c r="AG392" s="151">
        <f t="shared" ca="1" si="248"/>
        <v>0</v>
      </c>
      <c r="AH392" s="5"/>
      <c r="AI392" s="5"/>
      <c r="AS392" s="55">
        <f t="shared" si="256"/>
        <v>33</v>
      </c>
      <c r="AT392" s="56">
        <f t="shared" si="264"/>
        <v>389</v>
      </c>
      <c r="AU392" s="57">
        <f t="shared" si="236"/>
        <v>0.14985299830052276</v>
      </c>
      <c r="AV392" s="58">
        <f t="shared" si="257"/>
        <v>4.8675505653430484E-3</v>
      </c>
      <c r="AW392" s="59">
        <f t="shared" si="258"/>
        <v>1.004867550565343</v>
      </c>
      <c r="AX392" s="60">
        <f>PRODUCT(AW$4:AW392)</f>
        <v>6.6119840765166096</v>
      </c>
    </row>
    <row r="393" spans="5:50">
      <c r="E393">
        <f t="shared" si="234"/>
        <v>390</v>
      </c>
      <c r="F393" s="9">
        <f t="shared" si="259"/>
        <v>101.41666666666482</v>
      </c>
      <c r="G393" s="132">
        <f t="shared" si="237"/>
        <v>0</v>
      </c>
      <c r="H393" s="133">
        <f t="shared" si="265"/>
        <v>1</v>
      </c>
      <c r="I393" s="31">
        <f t="shared" si="249"/>
        <v>0</v>
      </c>
      <c r="J393" s="31">
        <f t="shared" si="238"/>
        <v>0</v>
      </c>
      <c r="K393" s="163">
        <f t="shared" si="239"/>
        <v>0</v>
      </c>
      <c r="L393" s="163">
        <f t="shared" si="250"/>
        <v>0</v>
      </c>
      <c r="M393" s="163">
        <f t="shared" si="235"/>
        <v>0</v>
      </c>
      <c r="N393" s="163">
        <f t="shared" si="251"/>
        <v>0</v>
      </c>
      <c r="O393" s="84">
        <f t="shared" si="240"/>
        <v>0</v>
      </c>
      <c r="P393" s="31">
        <f t="shared" si="241"/>
        <v>0</v>
      </c>
      <c r="Q393" s="5"/>
      <c r="R393">
        <f t="shared" ca="1" si="252"/>
        <v>510</v>
      </c>
      <c r="S393" s="133">
        <f t="shared" ca="1" si="253"/>
        <v>110.12</v>
      </c>
      <c r="T393" s="132">
        <f t="shared" ca="1" si="242"/>
        <v>0</v>
      </c>
      <c r="U393" s="133">
        <f t="shared" ca="1" si="260"/>
        <v>1.9008342029825436E-4</v>
      </c>
      <c r="V393" s="31">
        <f t="shared" ca="1" si="254"/>
        <v>0</v>
      </c>
      <c r="W393" s="31">
        <f t="shared" ca="1" si="243"/>
        <v>0</v>
      </c>
      <c r="X393" s="163">
        <f t="shared" ca="1" si="261"/>
        <v>0</v>
      </c>
      <c r="Y393" s="163">
        <f t="shared" ca="1" si="262"/>
        <v>0</v>
      </c>
      <c r="Z393" s="163">
        <f t="shared" ca="1" si="255"/>
        <v>0</v>
      </c>
      <c r="AA393" s="163">
        <f t="shared" ca="1" si="263"/>
        <v>0</v>
      </c>
      <c r="AB393" s="84">
        <f t="shared" ca="1" si="244"/>
        <v>0</v>
      </c>
      <c r="AC393" s="160">
        <f t="shared" si="245"/>
        <v>0</v>
      </c>
      <c r="AD393" s="31">
        <f t="shared" ca="1" si="246"/>
        <v>0</v>
      </c>
      <c r="AE393" s="5"/>
      <c r="AF393" s="151">
        <f t="shared" ca="1" si="247"/>
        <v>0</v>
      </c>
      <c r="AG393" s="151">
        <f t="shared" ca="1" si="248"/>
        <v>0</v>
      </c>
      <c r="AH393" s="5"/>
      <c r="AI393" s="5"/>
      <c r="AS393" s="55">
        <f t="shared" si="256"/>
        <v>33</v>
      </c>
      <c r="AT393" s="56">
        <f t="shared" si="264"/>
        <v>390</v>
      </c>
      <c r="AU393" s="57">
        <f t="shared" si="236"/>
        <v>0.14912358125392669</v>
      </c>
      <c r="AV393" s="58">
        <f t="shared" si="257"/>
        <v>4.8675505653430484E-3</v>
      </c>
      <c r="AW393" s="59">
        <f t="shared" si="258"/>
        <v>1.004867550565343</v>
      </c>
      <c r="AX393" s="60">
        <f>PRODUCT(AW$4:AW393)</f>
        <v>6.6441682433462974</v>
      </c>
    </row>
    <row r="394" spans="5:50">
      <c r="E394">
        <f t="shared" si="234"/>
        <v>391</v>
      </c>
      <c r="F394" s="9">
        <f t="shared" si="259"/>
        <v>101.49999999999815</v>
      </c>
      <c r="G394" s="132">
        <f t="shared" si="237"/>
        <v>0</v>
      </c>
      <c r="H394" s="133">
        <f t="shared" si="265"/>
        <v>1</v>
      </c>
      <c r="I394" s="31">
        <f t="shared" si="249"/>
        <v>0</v>
      </c>
      <c r="J394" s="31">
        <f t="shared" si="238"/>
        <v>0</v>
      </c>
      <c r="K394" s="163">
        <f t="shared" si="239"/>
        <v>0</v>
      </c>
      <c r="L394" s="163">
        <f t="shared" si="250"/>
        <v>0</v>
      </c>
      <c r="M394" s="163">
        <f t="shared" si="235"/>
        <v>0</v>
      </c>
      <c r="N394" s="163">
        <f t="shared" si="251"/>
        <v>0</v>
      </c>
      <c r="O394" s="84">
        <f t="shared" si="240"/>
        <v>0</v>
      </c>
      <c r="P394" s="31">
        <f t="shared" si="241"/>
        <v>0</v>
      </c>
      <c r="Q394" s="5"/>
      <c r="R394">
        <f t="shared" ca="1" si="252"/>
        <v>511</v>
      </c>
      <c r="S394" s="133">
        <f t="shared" ca="1" si="253"/>
        <v>110.2</v>
      </c>
      <c r="T394" s="132">
        <f t="shared" ca="1" si="242"/>
        <v>0</v>
      </c>
      <c r="U394" s="133">
        <f t="shared" ca="1" si="260"/>
        <v>1.9008342029825436E-4</v>
      </c>
      <c r="V394" s="31">
        <f t="shared" ca="1" si="254"/>
        <v>0</v>
      </c>
      <c r="W394" s="31">
        <f t="shared" ca="1" si="243"/>
        <v>0</v>
      </c>
      <c r="X394" s="163">
        <f t="shared" ca="1" si="261"/>
        <v>0</v>
      </c>
      <c r="Y394" s="163">
        <f t="shared" ca="1" si="262"/>
        <v>0</v>
      </c>
      <c r="Z394" s="163">
        <f t="shared" ca="1" si="255"/>
        <v>0</v>
      </c>
      <c r="AA394" s="163">
        <f t="shared" ca="1" si="263"/>
        <v>0</v>
      </c>
      <c r="AB394" s="84">
        <f t="shared" ca="1" si="244"/>
        <v>0</v>
      </c>
      <c r="AC394" s="160">
        <f t="shared" si="245"/>
        <v>0</v>
      </c>
      <c r="AD394" s="31">
        <f t="shared" ca="1" si="246"/>
        <v>0</v>
      </c>
      <c r="AE394" s="5"/>
      <c r="AF394" s="151">
        <f t="shared" ca="1" si="247"/>
        <v>0</v>
      </c>
      <c r="AG394" s="151">
        <f t="shared" ca="1" si="248"/>
        <v>0</v>
      </c>
      <c r="AH394" s="5"/>
      <c r="AI394" s="5"/>
      <c r="AS394" s="55">
        <f t="shared" si="256"/>
        <v>33</v>
      </c>
      <c r="AT394" s="56">
        <f t="shared" si="264"/>
        <v>391</v>
      </c>
      <c r="AU394" s="57">
        <f t="shared" si="236"/>
        <v>0.14839771468168816</v>
      </c>
      <c r="AV394" s="58">
        <f t="shared" si="257"/>
        <v>4.8675505653430484E-3</v>
      </c>
      <c r="AW394" s="59">
        <f t="shared" si="258"/>
        <v>1.004867550565343</v>
      </c>
      <c r="AX394" s="60">
        <f>PRODUCT(AW$4:AW394)</f>
        <v>6.6765090682354318</v>
      </c>
    </row>
    <row r="395" spans="5:50">
      <c r="E395">
        <f t="shared" si="234"/>
        <v>392</v>
      </c>
      <c r="F395" s="9">
        <f t="shared" si="259"/>
        <v>101.58333333333148</v>
      </c>
      <c r="G395" s="132">
        <f t="shared" si="237"/>
        <v>0</v>
      </c>
      <c r="H395" s="133">
        <f t="shared" si="265"/>
        <v>1</v>
      </c>
      <c r="I395" s="31">
        <f t="shared" si="249"/>
        <v>0</v>
      </c>
      <c r="J395" s="31">
        <f t="shared" si="238"/>
        <v>0</v>
      </c>
      <c r="K395" s="163">
        <f t="shared" si="239"/>
        <v>0</v>
      </c>
      <c r="L395" s="163">
        <f t="shared" si="250"/>
        <v>0</v>
      </c>
      <c r="M395" s="163">
        <f t="shared" si="235"/>
        <v>0</v>
      </c>
      <c r="N395" s="163">
        <f t="shared" si="251"/>
        <v>0</v>
      </c>
      <c r="O395" s="84">
        <f t="shared" si="240"/>
        <v>0</v>
      </c>
      <c r="P395" s="31">
        <f t="shared" si="241"/>
        <v>0</v>
      </c>
      <c r="Q395" s="5"/>
      <c r="R395">
        <f t="shared" ca="1" si="252"/>
        <v>512</v>
      </c>
      <c r="S395" s="133">
        <f t="shared" ca="1" si="253"/>
        <v>110.28</v>
      </c>
      <c r="T395" s="132">
        <f t="shared" ca="1" si="242"/>
        <v>0</v>
      </c>
      <c r="U395" s="133">
        <f t="shared" ca="1" si="260"/>
        <v>1.9008342029825436E-4</v>
      </c>
      <c r="V395" s="31">
        <f t="shared" ca="1" si="254"/>
        <v>0</v>
      </c>
      <c r="W395" s="31">
        <f t="shared" ca="1" si="243"/>
        <v>0</v>
      </c>
      <c r="X395" s="163">
        <f t="shared" ca="1" si="261"/>
        <v>0</v>
      </c>
      <c r="Y395" s="163">
        <f t="shared" ca="1" si="262"/>
        <v>0</v>
      </c>
      <c r="Z395" s="163">
        <f t="shared" ca="1" si="255"/>
        <v>0</v>
      </c>
      <c r="AA395" s="163">
        <f t="shared" ca="1" si="263"/>
        <v>0</v>
      </c>
      <c r="AB395" s="84">
        <f t="shared" ca="1" si="244"/>
        <v>0</v>
      </c>
      <c r="AC395" s="160">
        <f t="shared" si="245"/>
        <v>0</v>
      </c>
      <c r="AD395" s="31">
        <f t="shared" ca="1" si="246"/>
        <v>0</v>
      </c>
      <c r="AE395" s="5"/>
      <c r="AF395" s="151">
        <f t="shared" ca="1" si="247"/>
        <v>0</v>
      </c>
      <c r="AG395" s="151">
        <f t="shared" ca="1" si="248"/>
        <v>0</v>
      </c>
      <c r="AH395" s="5"/>
      <c r="AI395" s="5"/>
      <c r="AS395" s="55">
        <f t="shared" si="256"/>
        <v>33</v>
      </c>
      <c r="AT395" s="56">
        <f t="shared" si="264"/>
        <v>392</v>
      </c>
      <c r="AU395" s="57">
        <f t="shared" si="236"/>
        <v>0.14767538130169369</v>
      </c>
      <c r="AV395" s="58">
        <f t="shared" si="257"/>
        <v>4.8675505653430484E-3</v>
      </c>
      <c r="AW395" s="59">
        <f t="shared" si="258"/>
        <v>1.004867550565343</v>
      </c>
      <c r="AX395" s="60">
        <f>PRODUCT(AW$4:AW395)</f>
        <v>6.7090073137250394</v>
      </c>
    </row>
    <row r="396" spans="5:50">
      <c r="E396">
        <f t="shared" si="234"/>
        <v>393</v>
      </c>
      <c r="F396" s="9">
        <f t="shared" si="259"/>
        <v>101.66666666666481</v>
      </c>
      <c r="G396" s="132">
        <f t="shared" si="237"/>
        <v>0</v>
      </c>
      <c r="H396" s="133">
        <f t="shared" si="265"/>
        <v>1</v>
      </c>
      <c r="I396" s="31">
        <f t="shared" si="249"/>
        <v>0</v>
      </c>
      <c r="J396" s="31">
        <f t="shared" si="238"/>
        <v>0</v>
      </c>
      <c r="K396" s="163">
        <f t="shared" si="239"/>
        <v>0</v>
      </c>
      <c r="L396" s="163">
        <f t="shared" si="250"/>
        <v>0</v>
      </c>
      <c r="M396" s="163">
        <f t="shared" si="235"/>
        <v>0</v>
      </c>
      <c r="N396" s="163">
        <f t="shared" si="251"/>
        <v>0</v>
      </c>
      <c r="O396" s="84">
        <f t="shared" si="240"/>
        <v>0</v>
      </c>
      <c r="P396" s="31">
        <f t="shared" si="241"/>
        <v>0</v>
      </c>
      <c r="Q396" s="5"/>
      <c r="R396">
        <f t="shared" ca="1" si="252"/>
        <v>513</v>
      </c>
      <c r="S396" s="133">
        <f t="shared" ca="1" si="253"/>
        <v>110.36</v>
      </c>
      <c r="T396" s="132">
        <f t="shared" ca="1" si="242"/>
        <v>0</v>
      </c>
      <c r="U396" s="133">
        <f t="shared" ca="1" si="260"/>
        <v>1.9008342029825436E-4</v>
      </c>
      <c r="V396" s="31">
        <f t="shared" ca="1" si="254"/>
        <v>0</v>
      </c>
      <c r="W396" s="31">
        <f t="shared" ca="1" si="243"/>
        <v>0</v>
      </c>
      <c r="X396" s="163">
        <f t="shared" ca="1" si="261"/>
        <v>0</v>
      </c>
      <c r="Y396" s="163">
        <f t="shared" ca="1" si="262"/>
        <v>0</v>
      </c>
      <c r="Z396" s="163">
        <f t="shared" ca="1" si="255"/>
        <v>0</v>
      </c>
      <c r="AA396" s="163">
        <f t="shared" ca="1" si="263"/>
        <v>0</v>
      </c>
      <c r="AB396" s="84">
        <f t="shared" ca="1" si="244"/>
        <v>0</v>
      </c>
      <c r="AC396" s="160">
        <f t="shared" si="245"/>
        <v>0</v>
      </c>
      <c r="AD396" s="31">
        <f t="shared" ca="1" si="246"/>
        <v>0</v>
      </c>
      <c r="AE396" s="5"/>
      <c r="AF396" s="151">
        <f t="shared" ca="1" si="247"/>
        <v>0</v>
      </c>
      <c r="AG396" s="151">
        <f t="shared" ca="1" si="248"/>
        <v>0</v>
      </c>
      <c r="AH396" s="5"/>
      <c r="AI396" s="5"/>
      <c r="AS396" s="55">
        <f t="shared" si="256"/>
        <v>33</v>
      </c>
      <c r="AT396" s="56">
        <f t="shared" si="264"/>
        <v>393</v>
      </c>
      <c r="AU396" s="57">
        <f t="shared" si="236"/>
        <v>0.14695656391595138</v>
      </c>
      <c r="AV396" s="58">
        <f t="shared" si="257"/>
        <v>4.8675505653430484E-3</v>
      </c>
      <c r="AW396" s="59">
        <f t="shared" si="258"/>
        <v>1.004867550565343</v>
      </c>
      <c r="AX396" s="60">
        <f>PRODUCT(AW$4:AW396)</f>
        <v>6.7416637460678528</v>
      </c>
    </row>
    <row r="397" spans="5:50">
      <c r="E397">
        <f t="shared" si="234"/>
        <v>394</v>
      </c>
      <c r="F397" s="9">
        <f t="shared" si="259"/>
        <v>101.74999999999814</v>
      </c>
      <c r="G397" s="132">
        <f t="shared" si="237"/>
        <v>0</v>
      </c>
      <c r="H397" s="133">
        <f t="shared" si="265"/>
        <v>1</v>
      </c>
      <c r="I397" s="31">
        <f t="shared" si="249"/>
        <v>0</v>
      </c>
      <c r="J397" s="31">
        <f t="shared" si="238"/>
        <v>0</v>
      </c>
      <c r="K397" s="163">
        <f t="shared" si="239"/>
        <v>0</v>
      </c>
      <c r="L397" s="163">
        <f t="shared" si="250"/>
        <v>0</v>
      </c>
      <c r="M397" s="163">
        <f t="shared" si="235"/>
        <v>0</v>
      </c>
      <c r="N397" s="163">
        <f t="shared" si="251"/>
        <v>0</v>
      </c>
      <c r="O397" s="84">
        <f t="shared" si="240"/>
        <v>0</v>
      </c>
      <c r="P397" s="31">
        <f t="shared" si="241"/>
        <v>0</v>
      </c>
      <c r="Q397" s="5"/>
      <c r="R397">
        <f t="shared" ca="1" si="252"/>
        <v>514</v>
      </c>
      <c r="S397" s="133">
        <f t="shared" ca="1" si="253"/>
        <v>110.44</v>
      </c>
      <c r="T397" s="132">
        <f t="shared" ca="1" si="242"/>
        <v>0</v>
      </c>
      <c r="U397" s="133">
        <f t="shared" ca="1" si="260"/>
        <v>1.9008342029825436E-4</v>
      </c>
      <c r="V397" s="31">
        <f t="shared" ca="1" si="254"/>
        <v>0</v>
      </c>
      <c r="W397" s="31">
        <f t="shared" ca="1" si="243"/>
        <v>0</v>
      </c>
      <c r="X397" s="163">
        <f t="shared" ca="1" si="261"/>
        <v>0</v>
      </c>
      <c r="Y397" s="163">
        <f t="shared" ca="1" si="262"/>
        <v>0</v>
      </c>
      <c r="Z397" s="163">
        <f t="shared" ca="1" si="255"/>
        <v>0</v>
      </c>
      <c r="AA397" s="163">
        <f t="shared" ca="1" si="263"/>
        <v>0</v>
      </c>
      <c r="AB397" s="84">
        <f t="shared" ca="1" si="244"/>
        <v>0</v>
      </c>
      <c r="AC397" s="160">
        <f t="shared" si="245"/>
        <v>0</v>
      </c>
      <c r="AD397" s="31">
        <f t="shared" ca="1" si="246"/>
        <v>0</v>
      </c>
      <c r="AE397" s="5"/>
      <c r="AF397" s="151">
        <f t="shared" ca="1" si="247"/>
        <v>0</v>
      </c>
      <c r="AG397" s="151">
        <f t="shared" ca="1" si="248"/>
        <v>0</v>
      </c>
      <c r="AH397" s="5"/>
      <c r="AI397" s="5"/>
      <c r="AS397" s="55">
        <f t="shared" si="256"/>
        <v>33</v>
      </c>
      <c r="AT397" s="56">
        <f t="shared" si="264"/>
        <v>394</v>
      </c>
      <c r="AU397" s="57">
        <f t="shared" si="236"/>
        <v>0.14624124541018141</v>
      </c>
      <c r="AV397" s="58">
        <f t="shared" si="257"/>
        <v>4.8675505653430484E-3</v>
      </c>
      <c r="AW397" s="59">
        <f t="shared" si="258"/>
        <v>1.004867550565343</v>
      </c>
      <c r="AX397" s="60">
        <f>PRODUCT(AW$4:AW397)</f>
        <v>6.774479135246378</v>
      </c>
    </row>
    <row r="398" spans="5:50">
      <c r="E398">
        <f t="shared" si="234"/>
        <v>395</v>
      </c>
      <c r="F398" s="9">
        <f t="shared" si="259"/>
        <v>101.83333333333147</v>
      </c>
      <c r="G398" s="132">
        <f t="shared" si="237"/>
        <v>0</v>
      </c>
      <c r="H398" s="133">
        <f t="shared" si="265"/>
        <v>1</v>
      </c>
      <c r="I398" s="31">
        <f t="shared" si="249"/>
        <v>0</v>
      </c>
      <c r="J398" s="31">
        <f t="shared" si="238"/>
        <v>0</v>
      </c>
      <c r="K398" s="163">
        <f t="shared" si="239"/>
        <v>0</v>
      </c>
      <c r="L398" s="163">
        <f t="shared" si="250"/>
        <v>0</v>
      </c>
      <c r="M398" s="163">
        <f t="shared" si="235"/>
        <v>0</v>
      </c>
      <c r="N398" s="163">
        <f t="shared" si="251"/>
        <v>0</v>
      </c>
      <c r="O398" s="84">
        <f t="shared" si="240"/>
        <v>0</v>
      </c>
      <c r="P398" s="31">
        <f t="shared" si="241"/>
        <v>0</v>
      </c>
      <c r="Q398" s="5"/>
      <c r="R398">
        <f t="shared" ca="1" si="252"/>
        <v>515</v>
      </c>
      <c r="S398" s="133">
        <f t="shared" ca="1" si="253"/>
        <v>110.52</v>
      </c>
      <c r="T398" s="132">
        <f t="shared" ca="1" si="242"/>
        <v>0</v>
      </c>
      <c r="U398" s="133">
        <f t="shared" ca="1" si="260"/>
        <v>1.9008342029825436E-4</v>
      </c>
      <c r="V398" s="31">
        <f t="shared" ca="1" si="254"/>
        <v>0</v>
      </c>
      <c r="W398" s="31">
        <f t="shared" ca="1" si="243"/>
        <v>0</v>
      </c>
      <c r="X398" s="163">
        <f t="shared" ca="1" si="261"/>
        <v>0</v>
      </c>
      <c r="Y398" s="163">
        <f t="shared" ca="1" si="262"/>
        <v>0</v>
      </c>
      <c r="Z398" s="163">
        <f t="shared" ca="1" si="255"/>
        <v>0</v>
      </c>
      <c r="AA398" s="163">
        <f t="shared" ca="1" si="263"/>
        <v>0</v>
      </c>
      <c r="AB398" s="84">
        <f t="shared" ca="1" si="244"/>
        <v>0</v>
      </c>
      <c r="AC398" s="160">
        <f t="shared" si="245"/>
        <v>0</v>
      </c>
      <c r="AD398" s="31">
        <f t="shared" ca="1" si="246"/>
        <v>0</v>
      </c>
      <c r="AE398" s="5"/>
      <c r="AF398" s="151">
        <f t="shared" ca="1" si="247"/>
        <v>0</v>
      </c>
      <c r="AG398" s="151">
        <f t="shared" ca="1" si="248"/>
        <v>0</v>
      </c>
      <c r="AH398" s="5"/>
      <c r="AI398" s="5"/>
      <c r="AS398" s="55">
        <f t="shared" si="256"/>
        <v>33</v>
      </c>
      <c r="AT398" s="56">
        <f t="shared" si="264"/>
        <v>395</v>
      </c>
      <c r="AU398" s="57">
        <f t="shared" si="236"/>
        <v>0.14552940875340861</v>
      </c>
      <c r="AV398" s="58">
        <f t="shared" si="257"/>
        <v>4.8675505653430484E-3</v>
      </c>
      <c r="AW398" s="59">
        <f t="shared" si="258"/>
        <v>1.004867550565343</v>
      </c>
      <c r="AX398" s="60">
        <f>PRODUCT(AW$4:AW398)</f>
        <v>6.8074542549910513</v>
      </c>
    </row>
    <row r="399" spans="5:50">
      <c r="E399">
        <f t="shared" si="234"/>
        <v>396</v>
      </c>
      <c r="F399" s="9">
        <f t="shared" si="259"/>
        <v>101.9166666666648</v>
      </c>
      <c r="G399" s="132">
        <f t="shared" si="237"/>
        <v>0</v>
      </c>
      <c r="H399" s="133">
        <f t="shared" si="265"/>
        <v>1</v>
      </c>
      <c r="I399" s="31">
        <f t="shared" si="249"/>
        <v>0</v>
      </c>
      <c r="J399" s="31">
        <f t="shared" si="238"/>
        <v>0</v>
      </c>
      <c r="K399" s="163">
        <f t="shared" si="239"/>
        <v>0</v>
      </c>
      <c r="L399" s="163">
        <f t="shared" si="250"/>
        <v>0</v>
      </c>
      <c r="M399" s="163">
        <f t="shared" si="235"/>
        <v>0</v>
      </c>
      <c r="N399" s="163">
        <f t="shared" si="251"/>
        <v>0</v>
      </c>
      <c r="O399" s="84">
        <f t="shared" si="240"/>
        <v>0</v>
      </c>
      <c r="P399" s="31">
        <f t="shared" si="241"/>
        <v>0</v>
      </c>
      <c r="Q399" s="5"/>
      <c r="R399">
        <f t="shared" ca="1" si="252"/>
        <v>516</v>
      </c>
      <c r="S399" s="133">
        <f t="shared" ca="1" si="253"/>
        <v>110.6</v>
      </c>
      <c r="T399" s="132">
        <f t="shared" ca="1" si="242"/>
        <v>0</v>
      </c>
      <c r="U399" s="133">
        <f t="shared" ca="1" si="260"/>
        <v>1.9008342029825436E-4</v>
      </c>
      <c r="V399" s="31">
        <f t="shared" ca="1" si="254"/>
        <v>0</v>
      </c>
      <c r="W399" s="31">
        <f t="shared" ca="1" si="243"/>
        <v>0</v>
      </c>
      <c r="X399" s="163">
        <f t="shared" ca="1" si="261"/>
        <v>0</v>
      </c>
      <c r="Y399" s="163">
        <f t="shared" ca="1" si="262"/>
        <v>0</v>
      </c>
      <c r="Z399" s="163">
        <f t="shared" ca="1" si="255"/>
        <v>0</v>
      </c>
      <c r="AA399" s="163">
        <f t="shared" ca="1" si="263"/>
        <v>0</v>
      </c>
      <c r="AB399" s="84">
        <f t="shared" ca="1" si="244"/>
        <v>0</v>
      </c>
      <c r="AC399" s="160">
        <f t="shared" si="245"/>
        <v>0</v>
      </c>
      <c r="AD399" s="31">
        <f t="shared" ca="1" si="246"/>
        <v>0</v>
      </c>
      <c r="AE399" s="5"/>
      <c r="AF399" s="151">
        <f t="shared" ca="1" si="247"/>
        <v>0</v>
      </c>
      <c r="AG399" s="151">
        <f t="shared" ca="1" si="248"/>
        <v>0</v>
      </c>
      <c r="AH399" s="5"/>
      <c r="AI399" s="5"/>
      <c r="AS399" s="55">
        <f t="shared" si="256"/>
        <v>33</v>
      </c>
      <c r="AT399" s="56">
        <f t="shared" si="264"/>
        <v>396</v>
      </c>
      <c r="AU399" s="57">
        <f t="shared" si="236"/>
        <v>0.14482103699755691</v>
      </c>
      <c r="AV399" s="58">
        <f t="shared" si="257"/>
        <v>4.8675505653430484E-3</v>
      </c>
      <c r="AW399" s="59">
        <f t="shared" si="258"/>
        <v>1.004867550565343</v>
      </c>
      <c r="AX399" s="60">
        <f>PRODUCT(AW$4:AW399)</f>
        <v>6.8405898827984801</v>
      </c>
    </row>
    <row r="400" spans="5:50">
      <c r="E400">
        <f t="shared" ref="E400:E463" si="266">E399+1</f>
        <v>397</v>
      </c>
      <c r="F400" s="9">
        <f t="shared" si="259"/>
        <v>101.99999999999812</v>
      </c>
      <c r="G400" s="132">
        <f t="shared" si="237"/>
        <v>0</v>
      </c>
      <c r="H400" s="133">
        <f t="shared" si="265"/>
        <v>1</v>
      </c>
      <c r="I400" s="31">
        <f t="shared" si="249"/>
        <v>0</v>
      </c>
      <c r="J400" s="31">
        <f t="shared" si="238"/>
        <v>0</v>
      </c>
      <c r="K400" s="163">
        <f t="shared" si="239"/>
        <v>0</v>
      </c>
      <c r="L400" s="163">
        <f t="shared" si="250"/>
        <v>0</v>
      </c>
      <c r="M400" s="163">
        <f t="shared" ref="M400:M463" si="267">IF(OR(I399+O399=0,K399=0),0,-IF(MOD(E400-1,12)=0,1,0)*I400*($C$17))</f>
        <v>0</v>
      </c>
      <c r="N400" s="163">
        <f t="shared" si="251"/>
        <v>0</v>
      </c>
      <c r="O400" s="84">
        <f t="shared" si="240"/>
        <v>0</v>
      </c>
      <c r="P400" s="31">
        <f t="shared" si="241"/>
        <v>0</v>
      </c>
      <c r="Q400" s="5"/>
      <c r="R400">
        <f t="shared" ca="1" si="252"/>
        <v>517</v>
      </c>
      <c r="S400" s="133">
        <f t="shared" ca="1" si="253"/>
        <v>110.68</v>
      </c>
      <c r="T400" s="132">
        <f t="shared" ca="1" si="242"/>
        <v>0</v>
      </c>
      <c r="U400" s="133">
        <f t="shared" ca="1" si="260"/>
        <v>1.9008342029825436E-4</v>
      </c>
      <c r="V400" s="31">
        <f t="shared" ca="1" si="254"/>
        <v>0</v>
      </c>
      <c r="W400" s="31">
        <f t="shared" ca="1" si="243"/>
        <v>0</v>
      </c>
      <c r="X400" s="163">
        <f t="shared" ca="1" si="261"/>
        <v>0</v>
      </c>
      <c r="Y400" s="163">
        <f t="shared" ca="1" si="262"/>
        <v>0</v>
      </c>
      <c r="Z400" s="163">
        <f t="shared" ca="1" si="255"/>
        <v>0</v>
      </c>
      <c r="AA400" s="163">
        <f t="shared" ca="1" si="263"/>
        <v>0</v>
      </c>
      <c r="AB400" s="84">
        <f t="shared" ca="1" si="244"/>
        <v>0</v>
      </c>
      <c r="AC400" s="160">
        <f t="shared" si="245"/>
        <v>0</v>
      </c>
      <c r="AD400" s="31">
        <f t="shared" ca="1" si="246"/>
        <v>0</v>
      </c>
      <c r="AE400" s="5"/>
      <c r="AF400" s="151">
        <f t="shared" ca="1" si="247"/>
        <v>0</v>
      </c>
      <c r="AG400" s="151">
        <f t="shared" ca="1" si="248"/>
        <v>0</v>
      </c>
      <c r="AH400" s="5"/>
      <c r="AI400" s="5"/>
      <c r="AS400" s="55">
        <f t="shared" si="256"/>
        <v>34</v>
      </c>
      <c r="AT400" s="56">
        <f t="shared" si="264"/>
        <v>397</v>
      </c>
      <c r="AU400" s="57">
        <f t="shared" si="236"/>
        <v>0.14411611327704588</v>
      </c>
      <c r="AV400" s="58">
        <f t="shared" si="257"/>
        <v>4.8675505653430484E-3</v>
      </c>
      <c r="AW400" s="59">
        <f t="shared" si="258"/>
        <v>1.004867550565343</v>
      </c>
      <c r="AX400" s="60">
        <f>PRODUCT(AW$4:AW400)</f>
        <v>6.8738867999497755</v>
      </c>
    </row>
    <row r="401" spans="5:50">
      <c r="E401">
        <f t="shared" si="266"/>
        <v>398</v>
      </c>
      <c r="F401" s="9">
        <f t="shared" si="259"/>
        <v>102.08333333333145</v>
      </c>
      <c r="G401" s="132">
        <f t="shared" si="237"/>
        <v>0</v>
      </c>
      <c r="H401" s="133">
        <f t="shared" si="265"/>
        <v>1</v>
      </c>
      <c r="I401" s="31">
        <f t="shared" si="249"/>
        <v>0</v>
      </c>
      <c r="J401" s="31">
        <f t="shared" si="238"/>
        <v>0</v>
      </c>
      <c r="K401" s="163">
        <f t="shared" si="239"/>
        <v>0</v>
      </c>
      <c r="L401" s="163">
        <f t="shared" si="250"/>
        <v>0</v>
      </c>
      <c r="M401" s="163">
        <f t="shared" si="267"/>
        <v>0</v>
      </c>
      <c r="N401" s="163">
        <f t="shared" si="251"/>
        <v>0</v>
      </c>
      <c r="O401" s="84">
        <f t="shared" si="240"/>
        <v>0</v>
      </c>
      <c r="P401" s="31">
        <f t="shared" si="241"/>
        <v>0</v>
      </c>
      <c r="Q401" s="5"/>
      <c r="R401">
        <f t="shared" ca="1" si="252"/>
        <v>518</v>
      </c>
      <c r="S401" s="133">
        <f t="shared" ca="1" si="253"/>
        <v>110.76</v>
      </c>
      <c r="T401" s="132">
        <f t="shared" ca="1" si="242"/>
        <v>0</v>
      </c>
      <c r="U401" s="133">
        <f t="shared" ca="1" si="260"/>
        <v>1.9008342029825436E-4</v>
      </c>
      <c r="V401" s="31">
        <f t="shared" ca="1" si="254"/>
        <v>0</v>
      </c>
      <c r="W401" s="31">
        <f t="shared" ca="1" si="243"/>
        <v>0</v>
      </c>
      <c r="X401" s="163">
        <f t="shared" ca="1" si="261"/>
        <v>0</v>
      </c>
      <c r="Y401" s="163">
        <f t="shared" ca="1" si="262"/>
        <v>0</v>
      </c>
      <c r="Z401" s="163">
        <f t="shared" ca="1" si="255"/>
        <v>0</v>
      </c>
      <c r="AA401" s="163">
        <f t="shared" ca="1" si="263"/>
        <v>0</v>
      </c>
      <c r="AB401" s="84">
        <f t="shared" ca="1" si="244"/>
        <v>0</v>
      </c>
      <c r="AC401" s="160">
        <f t="shared" si="245"/>
        <v>0</v>
      </c>
      <c r="AD401" s="31">
        <f t="shared" ca="1" si="246"/>
        <v>0</v>
      </c>
      <c r="AE401" s="5"/>
      <c r="AF401" s="151">
        <f t="shared" ca="1" si="247"/>
        <v>0</v>
      </c>
      <c r="AG401" s="151">
        <f t="shared" ca="1" si="248"/>
        <v>0</v>
      </c>
      <c r="AH401" s="5"/>
      <c r="AI401" s="5"/>
      <c r="AS401" s="55">
        <f t="shared" si="256"/>
        <v>34</v>
      </c>
      <c r="AT401" s="56">
        <f t="shared" si="264"/>
        <v>398</v>
      </c>
      <c r="AU401" s="57">
        <f t="shared" si="236"/>
        <v>0.14341462080838915</v>
      </c>
      <c r="AV401" s="58">
        <f t="shared" si="257"/>
        <v>4.8675505653430484E-3</v>
      </c>
      <c r="AW401" s="59">
        <f t="shared" si="258"/>
        <v>1.004867550565343</v>
      </c>
      <c r="AX401" s="60">
        <f>PRODUCT(AW$4:AW401)</f>
        <v>6.9073457915289751</v>
      </c>
    </row>
    <row r="402" spans="5:50">
      <c r="E402">
        <f t="shared" si="266"/>
        <v>399</v>
      </c>
      <c r="F402" s="9">
        <f t="shared" si="259"/>
        <v>102.16666666666478</v>
      </c>
      <c r="G402" s="132">
        <f t="shared" si="237"/>
        <v>0</v>
      </c>
      <c r="H402" s="133">
        <f t="shared" si="265"/>
        <v>1</v>
      </c>
      <c r="I402" s="31">
        <f t="shared" si="249"/>
        <v>0</v>
      </c>
      <c r="J402" s="31">
        <f t="shared" si="238"/>
        <v>0</v>
      </c>
      <c r="K402" s="163">
        <f t="shared" si="239"/>
        <v>0</v>
      </c>
      <c r="L402" s="163">
        <f t="shared" si="250"/>
        <v>0</v>
      </c>
      <c r="M402" s="163">
        <f t="shared" si="267"/>
        <v>0</v>
      </c>
      <c r="N402" s="163">
        <f t="shared" si="251"/>
        <v>0</v>
      </c>
      <c r="O402" s="84">
        <f t="shared" si="240"/>
        <v>0</v>
      </c>
      <c r="P402" s="31">
        <f t="shared" si="241"/>
        <v>0</v>
      </c>
      <c r="Q402" s="5"/>
      <c r="R402">
        <f t="shared" ca="1" si="252"/>
        <v>519</v>
      </c>
      <c r="S402" s="133">
        <f t="shared" ca="1" si="253"/>
        <v>110.84</v>
      </c>
      <c r="T402" s="132">
        <f t="shared" ca="1" si="242"/>
        <v>0</v>
      </c>
      <c r="U402" s="133">
        <f t="shared" ca="1" si="260"/>
        <v>1.9008342029825436E-4</v>
      </c>
      <c r="V402" s="31">
        <f t="shared" ca="1" si="254"/>
        <v>0</v>
      </c>
      <c r="W402" s="31">
        <f t="shared" ca="1" si="243"/>
        <v>0</v>
      </c>
      <c r="X402" s="163">
        <f t="shared" ca="1" si="261"/>
        <v>0</v>
      </c>
      <c r="Y402" s="163">
        <f t="shared" ca="1" si="262"/>
        <v>0</v>
      </c>
      <c r="Z402" s="163">
        <f t="shared" ca="1" si="255"/>
        <v>0</v>
      </c>
      <c r="AA402" s="163">
        <f t="shared" ca="1" si="263"/>
        <v>0</v>
      </c>
      <c r="AB402" s="84">
        <f t="shared" ca="1" si="244"/>
        <v>0</v>
      </c>
      <c r="AC402" s="160">
        <f t="shared" si="245"/>
        <v>0</v>
      </c>
      <c r="AD402" s="31">
        <f t="shared" ca="1" si="246"/>
        <v>0</v>
      </c>
      <c r="AE402" s="5"/>
      <c r="AF402" s="151">
        <f t="shared" ca="1" si="247"/>
        <v>0</v>
      </c>
      <c r="AG402" s="151">
        <f t="shared" ca="1" si="248"/>
        <v>0</v>
      </c>
      <c r="AH402" s="5"/>
      <c r="AI402" s="5"/>
      <c r="AS402" s="55">
        <f t="shared" si="256"/>
        <v>34</v>
      </c>
      <c r="AT402" s="56">
        <f t="shared" si="264"/>
        <v>399</v>
      </c>
      <c r="AU402" s="57">
        <f t="shared" si="236"/>
        <v>0.14271654288979482</v>
      </c>
      <c r="AV402" s="58">
        <f t="shared" si="257"/>
        <v>4.8675505653430484E-3</v>
      </c>
      <c r="AW402" s="59">
        <f t="shared" si="258"/>
        <v>1.004867550565343</v>
      </c>
      <c r="AX402" s="60">
        <f>PRODUCT(AW$4:AW402)</f>
        <v>6.9409676464415515</v>
      </c>
    </row>
    <row r="403" spans="5:50">
      <c r="E403">
        <f t="shared" si="266"/>
        <v>400</v>
      </c>
      <c r="F403" s="9">
        <f t="shared" si="259"/>
        <v>102.24999999999811</v>
      </c>
      <c r="G403" s="132">
        <f t="shared" si="237"/>
        <v>0</v>
      </c>
      <c r="H403" s="133">
        <f t="shared" si="265"/>
        <v>1</v>
      </c>
      <c r="I403" s="31">
        <f t="shared" si="249"/>
        <v>0</v>
      </c>
      <c r="J403" s="31">
        <f t="shared" si="238"/>
        <v>0</v>
      </c>
      <c r="K403" s="163">
        <f t="shared" si="239"/>
        <v>0</v>
      </c>
      <c r="L403" s="163">
        <f t="shared" si="250"/>
        <v>0</v>
      </c>
      <c r="M403" s="163">
        <f t="shared" si="267"/>
        <v>0</v>
      </c>
      <c r="N403" s="163">
        <f t="shared" si="251"/>
        <v>0</v>
      </c>
      <c r="O403" s="84">
        <f t="shared" si="240"/>
        <v>0</v>
      </c>
      <c r="P403" s="31">
        <f t="shared" si="241"/>
        <v>0</v>
      </c>
      <c r="Q403" s="5"/>
      <c r="R403">
        <f t="shared" ca="1" si="252"/>
        <v>520</v>
      </c>
      <c r="S403" s="133">
        <f t="shared" ca="1" si="253"/>
        <v>110.92</v>
      </c>
      <c r="T403" s="132">
        <f t="shared" ca="1" si="242"/>
        <v>0</v>
      </c>
      <c r="U403" s="133">
        <f t="shared" ca="1" si="260"/>
        <v>1.9008342029825436E-4</v>
      </c>
      <c r="V403" s="31">
        <f t="shared" ca="1" si="254"/>
        <v>0</v>
      </c>
      <c r="W403" s="31">
        <f t="shared" ca="1" si="243"/>
        <v>0</v>
      </c>
      <c r="X403" s="163">
        <f t="shared" ca="1" si="261"/>
        <v>0</v>
      </c>
      <c r="Y403" s="163">
        <f t="shared" ca="1" si="262"/>
        <v>0</v>
      </c>
      <c r="Z403" s="163">
        <f t="shared" ca="1" si="255"/>
        <v>0</v>
      </c>
      <c r="AA403" s="163">
        <f t="shared" ca="1" si="263"/>
        <v>0</v>
      </c>
      <c r="AB403" s="84">
        <f t="shared" ca="1" si="244"/>
        <v>0</v>
      </c>
      <c r="AC403" s="160">
        <f t="shared" si="245"/>
        <v>0</v>
      </c>
      <c r="AD403" s="31">
        <f t="shared" ca="1" si="246"/>
        <v>0</v>
      </c>
      <c r="AE403" s="5"/>
      <c r="AF403" s="151">
        <f t="shared" ca="1" si="247"/>
        <v>0</v>
      </c>
      <c r="AG403" s="151">
        <f t="shared" ca="1" si="248"/>
        <v>0</v>
      </c>
      <c r="AH403" s="5"/>
      <c r="AI403" s="5"/>
      <c r="AS403" s="55">
        <f t="shared" si="256"/>
        <v>34</v>
      </c>
      <c r="AT403" s="56">
        <f t="shared" si="264"/>
        <v>400</v>
      </c>
      <c r="AU403" s="57">
        <f t="shared" si="236"/>
        <v>0.14202186290076779</v>
      </c>
      <c r="AV403" s="58">
        <f t="shared" si="257"/>
        <v>4.8675505653430484E-3</v>
      </c>
      <c r="AW403" s="59">
        <f t="shared" si="258"/>
        <v>1.004867550565343</v>
      </c>
      <c r="AX403" s="60">
        <f>PRODUCT(AW$4:AW403)</f>
        <v>6.9747531574330157</v>
      </c>
    </row>
    <row r="404" spans="5:50">
      <c r="E404">
        <f t="shared" si="266"/>
        <v>401</v>
      </c>
      <c r="F404" s="9">
        <f t="shared" si="259"/>
        <v>102.33333333333144</v>
      </c>
      <c r="G404" s="132">
        <f t="shared" si="237"/>
        <v>0</v>
      </c>
      <c r="H404" s="133">
        <f t="shared" si="265"/>
        <v>1</v>
      </c>
      <c r="I404" s="31">
        <f t="shared" si="249"/>
        <v>0</v>
      </c>
      <c r="J404" s="31">
        <f t="shared" si="238"/>
        <v>0</v>
      </c>
      <c r="K404" s="163">
        <f t="shared" si="239"/>
        <v>0</v>
      </c>
      <c r="L404" s="163">
        <f t="shared" si="250"/>
        <v>0</v>
      </c>
      <c r="M404" s="163">
        <f t="shared" si="267"/>
        <v>0</v>
      </c>
      <c r="N404" s="163">
        <f t="shared" si="251"/>
        <v>0</v>
      </c>
      <c r="O404" s="84">
        <f t="shared" si="240"/>
        <v>0</v>
      </c>
      <c r="P404" s="31">
        <f t="shared" si="241"/>
        <v>0</v>
      </c>
      <c r="Q404" s="5"/>
      <c r="R404">
        <f t="shared" ca="1" si="252"/>
        <v>521</v>
      </c>
      <c r="S404" s="133">
        <f t="shared" ca="1" si="253"/>
        <v>111</v>
      </c>
      <c r="T404" s="132">
        <f t="shared" ca="1" si="242"/>
        <v>0</v>
      </c>
      <c r="U404" s="133">
        <f t="shared" ca="1" si="260"/>
        <v>1.9008342029825436E-4</v>
      </c>
      <c r="V404" s="31">
        <f t="shared" ca="1" si="254"/>
        <v>0</v>
      </c>
      <c r="W404" s="31">
        <f t="shared" ca="1" si="243"/>
        <v>0</v>
      </c>
      <c r="X404" s="163">
        <f t="shared" ca="1" si="261"/>
        <v>0</v>
      </c>
      <c r="Y404" s="163">
        <f t="shared" ca="1" si="262"/>
        <v>0</v>
      </c>
      <c r="Z404" s="163">
        <f t="shared" ca="1" si="255"/>
        <v>0</v>
      </c>
      <c r="AA404" s="163">
        <f t="shared" ca="1" si="263"/>
        <v>0</v>
      </c>
      <c r="AB404" s="84">
        <f t="shared" ca="1" si="244"/>
        <v>0</v>
      </c>
      <c r="AC404" s="160">
        <f t="shared" si="245"/>
        <v>0</v>
      </c>
      <c r="AD404" s="31">
        <f t="shared" ca="1" si="246"/>
        <v>0</v>
      </c>
      <c r="AE404" s="5"/>
      <c r="AF404" s="151">
        <f t="shared" ca="1" si="247"/>
        <v>0</v>
      </c>
      <c r="AG404" s="151">
        <f t="shared" ca="1" si="248"/>
        <v>0</v>
      </c>
      <c r="AH404" s="5"/>
      <c r="AI404" s="5"/>
      <c r="AS404" s="55">
        <f t="shared" si="256"/>
        <v>34</v>
      </c>
      <c r="AT404" s="56">
        <f t="shared" si="264"/>
        <v>401</v>
      </c>
      <c r="AU404" s="57">
        <f t="shared" si="236"/>
        <v>0.14133056430171409</v>
      </c>
      <c r="AV404" s="58">
        <f t="shared" si="257"/>
        <v>4.8675505653430484E-3</v>
      </c>
      <c r="AW404" s="59">
        <f t="shared" si="258"/>
        <v>1.004867550565343</v>
      </c>
      <c r="AX404" s="60">
        <f>PRODUCT(AW$4:AW404)</f>
        <v>7.0087031211076072</v>
      </c>
    </row>
    <row r="405" spans="5:50">
      <c r="E405">
        <f t="shared" si="266"/>
        <v>402</v>
      </c>
      <c r="F405" s="9">
        <f t="shared" si="259"/>
        <v>102.41666666666477</v>
      </c>
      <c r="G405" s="132">
        <f t="shared" si="237"/>
        <v>0</v>
      </c>
      <c r="H405" s="133">
        <f t="shared" si="265"/>
        <v>1</v>
      </c>
      <c r="I405" s="31">
        <f t="shared" si="249"/>
        <v>0</v>
      </c>
      <c r="J405" s="31">
        <f t="shared" si="238"/>
        <v>0</v>
      </c>
      <c r="K405" s="163">
        <f t="shared" si="239"/>
        <v>0</v>
      </c>
      <c r="L405" s="163">
        <f t="shared" si="250"/>
        <v>0</v>
      </c>
      <c r="M405" s="163">
        <f t="shared" si="267"/>
        <v>0</v>
      </c>
      <c r="N405" s="163">
        <f t="shared" si="251"/>
        <v>0</v>
      </c>
      <c r="O405" s="84">
        <f t="shared" si="240"/>
        <v>0</v>
      </c>
      <c r="P405" s="31">
        <f t="shared" si="241"/>
        <v>0</v>
      </c>
      <c r="Q405" s="5"/>
      <c r="R405">
        <f t="shared" ca="1" si="252"/>
        <v>522</v>
      </c>
      <c r="S405" s="133">
        <f t="shared" ca="1" si="253"/>
        <v>111.08</v>
      </c>
      <c r="T405" s="132">
        <f t="shared" ca="1" si="242"/>
        <v>0</v>
      </c>
      <c r="U405" s="133">
        <f t="shared" ca="1" si="260"/>
        <v>1.9008342029825436E-4</v>
      </c>
      <c r="V405" s="31">
        <f t="shared" ca="1" si="254"/>
        <v>0</v>
      </c>
      <c r="W405" s="31">
        <f t="shared" ca="1" si="243"/>
        <v>0</v>
      </c>
      <c r="X405" s="163">
        <f t="shared" ca="1" si="261"/>
        <v>0</v>
      </c>
      <c r="Y405" s="163">
        <f t="shared" ca="1" si="262"/>
        <v>0</v>
      </c>
      <c r="Z405" s="163">
        <f t="shared" ca="1" si="255"/>
        <v>0</v>
      </c>
      <c r="AA405" s="163">
        <f t="shared" ca="1" si="263"/>
        <v>0</v>
      </c>
      <c r="AB405" s="84">
        <f t="shared" ca="1" si="244"/>
        <v>0</v>
      </c>
      <c r="AC405" s="160">
        <f t="shared" si="245"/>
        <v>0</v>
      </c>
      <c r="AD405" s="31">
        <f t="shared" ca="1" si="246"/>
        <v>0</v>
      </c>
      <c r="AE405" s="5"/>
      <c r="AF405" s="151">
        <f t="shared" ca="1" si="247"/>
        <v>0</v>
      </c>
      <c r="AG405" s="151">
        <f t="shared" ca="1" si="248"/>
        <v>0</v>
      </c>
      <c r="AH405" s="5"/>
      <c r="AI405" s="5"/>
      <c r="AS405" s="55">
        <f t="shared" si="256"/>
        <v>34</v>
      </c>
      <c r="AT405" s="56">
        <f t="shared" si="264"/>
        <v>402</v>
      </c>
      <c r="AU405" s="57">
        <f t="shared" si="236"/>
        <v>0.14064263063354704</v>
      </c>
      <c r="AV405" s="58">
        <f t="shared" si="257"/>
        <v>4.8675505653430484E-3</v>
      </c>
      <c r="AW405" s="59">
        <f t="shared" si="258"/>
        <v>1.004867550565343</v>
      </c>
      <c r="AX405" s="60">
        <f>PRODUCT(AW$4:AW405)</f>
        <v>7.0428183379470761</v>
      </c>
    </row>
    <row r="406" spans="5:50">
      <c r="E406">
        <f t="shared" si="266"/>
        <v>403</v>
      </c>
      <c r="F406" s="9">
        <f t="shared" si="259"/>
        <v>102.4999999999981</v>
      </c>
      <c r="G406" s="132">
        <f t="shared" si="237"/>
        <v>0</v>
      </c>
      <c r="H406" s="133">
        <f t="shared" si="265"/>
        <v>1</v>
      </c>
      <c r="I406" s="31">
        <f t="shared" si="249"/>
        <v>0</v>
      </c>
      <c r="J406" s="31">
        <f t="shared" si="238"/>
        <v>0</v>
      </c>
      <c r="K406" s="163">
        <f t="shared" si="239"/>
        <v>0</v>
      </c>
      <c r="L406" s="163">
        <f t="shared" si="250"/>
        <v>0</v>
      </c>
      <c r="M406" s="163">
        <f t="shared" si="267"/>
        <v>0</v>
      </c>
      <c r="N406" s="163">
        <f t="shared" si="251"/>
        <v>0</v>
      </c>
      <c r="O406" s="84">
        <f t="shared" si="240"/>
        <v>0</v>
      </c>
      <c r="P406" s="31">
        <f t="shared" si="241"/>
        <v>0</v>
      </c>
      <c r="Q406" s="5"/>
      <c r="R406">
        <f t="shared" ca="1" si="252"/>
        <v>523</v>
      </c>
      <c r="S406" s="133">
        <f t="shared" ca="1" si="253"/>
        <v>111.16</v>
      </c>
      <c r="T406" s="132">
        <f t="shared" ca="1" si="242"/>
        <v>0</v>
      </c>
      <c r="U406" s="133">
        <f t="shared" ca="1" si="260"/>
        <v>1.9008342029825436E-4</v>
      </c>
      <c r="V406" s="31">
        <f t="shared" ca="1" si="254"/>
        <v>0</v>
      </c>
      <c r="W406" s="31">
        <f t="shared" ca="1" si="243"/>
        <v>0</v>
      </c>
      <c r="X406" s="163">
        <f t="shared" ca="1" si="261"/>
        <v>0</v>
      </c>
      <c r="Y406" s="163">
        <f t="shared" ca="1" si="262"/>
        <v>0</v>
      </c>
      <c r="Z406" s="163">
        <f t="shared" ca="1" si="255"/>
        <v>0</v>
      </c>
      <c r="AA406" s="163">
        <f t="shared" ca="1" si="263"/>
        <v>0</v>
      </c>
      <c r="AB406" s="84">
        <f t="shared" ca="1" si="244"/>
        <v>0</v>
      </c>
      <c r="AC406" s="160">
        <f t="shared" si="245"/>
        <v>0</v>
      </c>
      <c r="AD406" s="31">
        <f t="shared" ca="1" si="246"/>
        <v>0</v>
      </c>
      <c r="AE406" s="5"/>
      <c r="AF406" s="151">
        <f t="shared" ca="1" si="247"/>
        <v>0</v>
      </c>
      <c r="AG406" s="151">
        <f t="shared" ca="1" si="248"/>
        <v>0</v>
      </c>
      <c r="AH406" s="5"/>
      <c r="AI406" s="5"/>
      <c r="AS406" s="55">
        <f t="shared" si="256"/>
        <v>34</v>
      </c>
      <c r="AT406" s="56">
        <f t="shared" si="264"/>
        <v>403</v>
      </c>
      <c r="AU406" s="57">
        <f t="shared" si="236"/>
        <v>0.13995804551729538</v>
      </c>
      <c r="AV406" s="58">
        <f t="shared" si="257"/>
        <v>4.8675505653430484E-3</v>
      </c>
      <c r="AW406" s="59">
        <f t="shared" si="258"/>
        <v>1.004867550565343</v>
      </c>
      <c r="AX406" s="60">
        <f>PRODUCT(AW$4:AW406)</f>
        <v>7.0770996123295591</v>
      </c>
    </row>
    <row r="407" spans="5:50">
      <c r="E407">
        <f t="shared" si="266"/>
        <v>404</v>
      </c>
      <c r="F407" s="9">
        <f t="shared" si="259"/>
        <v>102.58333333333142</v>
      </c>
      <c r="G407" s="132">
        <f t="shared" si="237"/>
        <v>0</v>
      </c>
      <c r="H407" s="133">
        <f t="shared" si="265"/>
        <v>1</v>
      </c>
      <c r="I407" s="31">
        <f t="shared" si="249"/>
        <v>0</v>
      </c>
      <c r="J407" s="31">
        <f t="shared" si="238"/>
        <v>0</v>
      </c>
      <c r="K407" s="163">
        <f t="shared" si="239"/>
        <v>0</v>
      </c>
      <c r="L407" s="163">
        <f t="shared" si="250"/>
        <v>0</v>
      </c>
      <c r="M407" s="163">
        <f t="shared" si="267"/>
        <v>0</v>
      </c>
      <c r="N407" s="163">
        <f t="shared" si="251"/>
        <v>0</v>
      </c>
      <c r="O407" s="84">
        <f t="shared" si="240"/>
        <v>0</v>
      </c>
      <c r="P407" s="31">
        <f t="shared" si="241"/>
        <v>0</v>
      </c>
      <c r="Q407" s="5"/>
      <c r="R407">
        <f t="shared" ca="1" si="252"/>
        <v>524</v>
      </c>
      <c r="S407" s="133">
        <f t="shared" ca="1" si="253"/>
        <v>111.24</v>
      </c>
      <c r="T407" s="132">
        <f t="shared" ca="1" si="242"/>
        <v>0</v>
      </c>
      <c r="U407" s="133">
        <f t="shared" ca="1" si="260"/>
        <v>1.9008342029825436E-4</v>
      </c>
      <c r="V407" s="31">
        <f t="shared" ca="1" si="254"/>
        <v>0</v>
      </c>
      <c r="W407" s="31">
        <f t="shared" ca="1" si="243"/>
        <v>0</v>
      </c>
      <c r="X407" s="163">
        <f t="shared" ca="1" si="261"/>
        <v>0</v>
      </c>
      <c r="Y407" s="163">
        <f t="shared" ca="1" si="262"/>
        <v>0</v>
      </c>
      <c r="Z407" s="163">
        <f t="shared" ca="1" si="255"/>
        <v>0</v>
      </c>
      <c r="AA407" s="163">
        <f t="shared" ca="1" si="263"/>
        <v>0</v>
      </c>
      <c r="AB407" s="84">
        <f t="shared" ca="1" si="244"/>
        <v>0</v>
      </c>
      <c r="AC407" s="160">
        <f t="shared" si="245"/>
        <v>0</v>
      </c>
      <c r="AD407" s="31">
        <f t="shared" ca="1" si="246"/>
        <v>0</v>
      </c>
      <c r="AE407" s="5"/>
      <c r="AF407" s="151">
        <f t="shared" ca="1" si="247"/>
        <v>0</v>
      </c>
      <c r="AG407" s="151">
        <f t="shared" ca="1" si="248"/>
        <v>0</v>
      </c>
      <c r="AH407" s="5"/>
      <c r="AI407" s="5"/>
      <c r="AS407" s="55">
        <f t="shared" si="256"/>
        <v>34</v>
      </c>
      <c r="AT407" s="56">
        <f t="shared" si="264"/>
        <v>404</v>
      </c>
      <c r="AU407" s="57">
        <f t="shared" si="236"/>
        <v>0.13927679265371334</v>
      </c>
      <c r="AV407" s="58">
        <f t="shared" si="257"/>
        <v>4.8675505653430484E-3</v>
      </c>
      <c r="AW407" s="59">
        <f t="shared" si="258"/>
        <v>1.004867550565343</v>
      </c>
      <c r="AX407" s="60">
        <f>PRODUCT(AW$4:AW407)</f>
        <v>7.1115477525485433</v>
      </c>
    </row>
    <row r="408" spans="5:50">
      <c r="E408">
        <f t="shared" si="266"/>
        <v>405</v>
      </c>
      <c r="F408" s="9">
        <f t="shared" si="259"/>
        <v>102.66666666666475</v>
      </c>
      <c r="G408" s="132">
        <f t="shared" si="237"/>
        <v>0</v>
      </c>
      <c r="H408" s="133">
        <f t="shared" si="265"/>
        <v>1</v>
      </c>
      <c r="I408" s="31">
        <f t="shared" si="249"/>
        <v>0</v>
      </c>
      <c r="J408" s="31">
        <f t="shared" si="238"/>
        <v>0</v>
      </c>
      <c r="K408" s="163">
        <f t="shared" si="239"/>
        <v>0</v>
      </c>
      <c r="L408" s="163">
        <f t="shared" si="250"/>
        <v>0</v>
      </c>
      <c r="M408" s="163">
        <f t="shared" si="267"/>
        <v>0</v>
      </c>
      <c r="N408" s="163">
        <f t="shared" si="251"/>
        <v>0</v>
      </c>
      <c r="O408" s="84">
        <f t="shared" si="240"/>
        <v>0</v>
      </c>
      <c r="P408" s="31">
        <f t="shared" si="241"/>
        <v>0</v>
      </c>
      <c r="Q408" s="5"/>
      <c r="R408">
        <f t="shared" ca="1" si="252"/>
        <v>525</v>
      </c>
      <c r="S408" s="133">
        <f t="shared" ca="1" si="253"/>
        <v>111.32</v>
      </c>
      <c r="T408" s="132">
        <f t="shared" ca="1" si="242"/>
        <v>0</v>
      </c>
      <c r="U408" s="133">
        <f t="shared" ca="1" si="260"/>
        <v>1.9008342029825436E-4</v>
      </c>
      <c r="V408" s="31">
        <f t="shared" ca="1" si="254"/>
        <v>0</v>
      </c>
      <c r="W408" s="31">
        <f t="shared" ca="1" si="243"/>
        <v>0</v>
      </c>
      <c r="X408" s="163">
        <f t="shared" ca="1" si="261"/>
        <v>0</v>
      </c>
      <c r="Y408" s="163">
        <f t="shared" ca="1" si="262"/>
        <v>0</v>
      </c>
      <c r="Z408" s="163">
        <f t="shared" ca="1" si="255"/>
        <v>0</v>
      </c>
      <c r="AA408" s="163">
        <f t="shared" ca="1" si="263"/>
        <v>0</v>
      </c>
      <c r="AB408" s="84">
        <f t="shared" ca="1" si="244"/>
        <v>0</v>
      </c>
      <c r="AC408" s="160">
        <f t="shared" si="245"/>
        <v>0</v>
      </c>
      <c r="AD408" s="31">
        <f t="shared" ca="1" si="246"/>
        <v>0</v>
      </c>
      <c r="AE408" s="5"/>
      <c r="AF408" s="151">
        <f t="shared" ca="1" si="247"/>
        <v>0</v>
      </c>
      <c r="AG408" s="151">
        <f t="shared" ca="1" si="248"/>
        <v>0</v>
      </c>
      <c r="AH408" s="5"/>
      <c r="AI408" s="5"/>
      <c r="AS408" s="55">
        <f t="shared" si="256"/>
        <v>34</v>
      </c>
      <c r="AT408" s="56">
        <f t="shared" si="264"/>
        <v>405</v>
      </c>
      <c r="AU408" s="57">
        <f t="shared" si="236"/>
        <v>0.13859885582289261</v>
      </c>
      <c r="AV408" s="58">
        <f t="shared" si="257"/>
        <v>4.8675505653430484E-3</v>
      </c>
      <c r="AW408" s="59">
        <f t="shared" si="258"/>
        <v>1.004867550565343</v>
      </c>
      <c r="AX408" s="60">
        <f>PRODUCT(AW$4:AW408)</f>
        <v>7.1461635708319253</v>
      </c>
    </row>
    <row r="409" spans="5:50">
      <c r="E409">
        <f t="shared" si="266"/>
        <v>406</v>
      </c>
      <c r="F409" s="9">
        <f t="shared" si="259"/>
        <v>102.74999999999808</v>
      </c>
      <c r="G409" s="132">
        <f t="shared" si="237"/>
        <v>0</v>
      </c>
      <c r="H409" s="133">
        <f t="shared" si="265"/>
        <v>1</v>
      </c>
      <c r="I409" s="31">
        <f t="shared" si="249"/>
        <v>0</v>
      </c>
      <c r="J409" s="31">
        <f t="shared" si="238"/>
        <v>0</v>
      </c>
      <c r="K409" s="163">
        <f t="shared" si="239"/>
        <v>0</v>
      </c>
      <c r="L409" s="163">
        <f t="shared" si="250"/>
        <v>0</v>
      </c>
      <c r="M409" s="163">
        <f t="shared" si="267"/>
        <v>0</v>
      </c>
      <c r="N409" s="163">
        <f t="shared" si="251"/>
        <v>0</v>
      </c>
      <c r="O409" s="84">
        <f t="shared" si="240"/>
        <v>0</v>
      </c>
      <c r="P409" s="31">
        <f t="shared" si="241"/>
        <v>0</v>
      </c>
      <c r="Q409" s="5"/>
      <c r="R409">
        <f t="shared" ca="1" si="252"/>
        <v>526</v>
      </c>
      <c r="S409" s="133">
        <f t="shared" ca="1" si="253"/>
        <v>111.4</v>
      </c>
      <c r="T409" s="132">
        <f t="shared" ca="1" si="242"/>
        <v>0</v>
      </c>
      <c r="U409" s="133">
        <f t="shared" ca="1" si="260"/>
        <v>1.9008342029825436E-4</v>
      </c>
      <c r="V409" s="31">
        <f t="shared" ca="1" si="254"/>
        <v>0</v>
      </c>
      <c r="W409" s="31">
        <f t="shared" ca="1" si="243"/>
        <v>0</v>
      </c>
      <c r="X409" s="163">
        <f t="shared" ca="1" si="261"/>
        <v>0</v>
      </c>
      <c r="Y409" s="163">
        <f t="shared" ca="1" si="262"/>
        <v>0</v>
      </c>
      <c r="Z409" s="163">
        <f t="shared" ca="1" si="255"/>
        <v>0</v>
      </c>
      <c r="AA409" s="163">
        <f t="shared" ca="1" si="263"/>
        <v>0</v>
      </c>
      <c r="AB409" s="84">
        <f t="shared" ca="1" si="244"/>
        <v>0</v>
      </c>
      <c r="AC409" s="160">
        <f t="shared" si="245"/>
        <v>0</v>
      </c>
      <c r="AD409" s="31">
        <f t="shared" ca="1" si="246"/>
        <v>0</v>
      </c>
      <c r="AE409" s="5"/>
      <c r="AF409" s="151">
        <f t="shared" ca="1" si="247"/>
        <v>0</v>
      </c>
      <c r="AG409" s="151">
        <f t="shared" ca="1" si="248"/>
        <v>0</v>
      </c>
      <c r="AH409" s="5"/>
      <c r="AI409" s="5"/>
      <c r="AS409" s="55">
        <f t="shared" si="256"/>
        <v>34</v>
      </c>
      <c r="AT409" s="56">
        <f t="shared" si="264"/>
        <v>406</v>
      </c>
      <c r="AU409" s="57">
        <f t="shared" si="236"/>
        <v>0.13792421888387599</v>
      </c>
      <c r="AV409" s="58">
        <f t="shared" si="257"/>
        <v>4.8675505653430484E-3</v>
      </c>
      <c r="AW409" s="59">
        <f t="shared" si="258"/>
        <v>1.004867550565343</v>
      </c>
      <c r="AX409" s="60">
        <f>PRODUCT(AW$4:AW409)</f>
        <v>7.1809478833611617</v>
      </c>
    </row>
    <row r="410" spans="5:50">
      <c r="E410">
        <f t="shared" si="266"/>
        <v>407</v>
      </c>
      <c r="F410" s="9">
        <f t="shared" si="259"/>
        <v>102.83333333333141</v>
      </c>
      <c r="G410" s="132">
        <f t="shared" si="237"/>
        <v>0</v>
      </c>
      <c r="H410" s="133">
        <f t="shared" si="265"/>
        <v>1</v>
      </c>
      <c r="I410" s="31">
        <f t="shared" si="249"/>
        <v>0</v>
      </c>
      <c r="J410" s="31">
        <f t="shared" si="238"/>
        <v>0</v>
      </c>
      <c r="K410" s="163">
        <f t="shared" si="239"/>
        <v>0</v>
      </c>
      <c r="L410" s="163">
        <f t="shared" si="250"/>
        <v>0</v>
      </c>
      <c r="M410" s="163">
        <f t="shared" si="267"/>
        <v>0</v>
      </c>
      <c r="N410" s="163">
        <f t="shared" si="251"/>
        <v>0</v>
      </c>
      <c r="O410" s="84">
        <f t="shared" si="240"/>
        <v>0</v>
      </c>
      <c r="P410" s="31">
        <f t="shared" si="241"/>
        <v>0</v>
      </c>
      <c r="Q410" s="5"/>
      <c r="R410">
        <f t="shared" ca="1" si="252"/>
        <v>527</v>
      </c>
      <c r="S410" s="133">
        <f t="shared" ca="1" si="253"/>
        <v>111.48</v>
      </c>
      <c r="T410" s="132">
        <f t="shared" ca="1" si="242"/>
        <v>0</v>
      </c>
      <c r="U410" s="133">
        <f t="shared" ca="1" si="260"/>
        <v>1.9008342029825436E-4</v>
      </c>
      <c r="V410" s="31">
        <f t="shared" ca="1" si="254"/>
        <v>0</v>
      </c>
      <c r="W410" s="31">
        <f t="shared" ca="1" si="243"/>
        <v>0</v>
      </c>
      <c r="X410" s="163">
        <f t="shared" ca="1" si="261"/>
        <v>0</v>
      </c>
      <c r="Y410" s="163">
        <f t="shared" ca="1" si="262"/>
        <v>0</v>
      </c>
      <c r="Z410" s="163">
        <f t="shared" ca="1" si="255"/>
        <v>0</v>
      </c>
      <c r="AA410" s="163">
        <f t="shared" ca="1" si="263"/>
        <v>0</v>
      </c>
      <c r="AB410" s="84">
        <f t="shared" ca="1" si="244"/>
        <v>0</v>
      </c>
      <c r="AC410" s="160">
        <f t="shared" si="245"/>
        <v>0</v>
      </c>
      <c r="AD410" s="31">
        <f t="shared" ca="1" si="246"/>
        <v>0</v>
      </c>
      <c r="AE410" s="5"/>
      <c r="AF410" s="151">
        <f t="shared" ca="1" si="247"/>
        <v>0</v>
      </c>
      <c r="AG410" s="151">
        <f t="shared" ca="1" si="248"/>
        <v>0</v>
      </c>
      <c r="AH410" s="5"/>
      <c r="AI410" s="5"/>
      <c r="AS410" s="55">
        <f t="shared" si="256"/>
        <v>34</v>
      </c>
      <c r="AT410" s="56">
        <f t="shared" si="264"/>
        <v>407</v>
      </c>
      <c r="AU410" s="57">
        <f t="shared" si="236"/>
        <v>0.13725286577427329</v>
      </c>
      <c r="AV410" s="58">
        <f t="shared" si="257"/>
        <v>4.8675505653430484E-3</v>
      </c>
      <c r="AW410" s="59">
        <f t="shared" si="258"/>
        <v>1.004867550565343</v>
      </c>
      <c r="AX410" s="60">
        <f>PRODUCT(AW$4:AW410)</f>
        <v>7.2159015102905153</v>
      </c>
    </row>
    <row r="411" spans="5:50">
      <c r="E411">
        <f t="shared" si="266"/>
        <v>408</v>
      </c>
      <c r="F411" s="9">
        <f t="shared" si="259"/>
        <v>102.91666666666474</v>
      </c>
      <c r="G411" s="132">
        <f t="shared" si="237"/>
        <v>0</v>
      </c>
      <c r="H411" s="133">
        <f t="shared" si="265"/>
        <v>1</v>
      </c>
      <c r="I411" s="31">
        <f t="shared" si="249"/>
        <v>0</v>
      </c>
      <c r="J411" s="31">
        <f t="shared" si="238"/>
        <v>0</v>
      </c>
      <c r="K411" s="163">
        <f t="shared" si="239"/>
        <v>0</v>
      </c>
      <c r="L411" s="163">
        <f t="shared" si="250"/>
        <v>0</v>
      </c>
      <c r="M411" s="163">
        <f t="shared" si="267"/>
        <v>0</v>
      </c>
      <c r="N411" s="163">
        <f t="shared" si="251"/>
        <v>0</v>
      </c>
      <c r="O411" s="84">
        <f t="shared" si="240"/>
        <v>0</v>
      </c>
      <c r="P411" s="31">
        <f t="shared" si="241"/>
        <v>0</v>
      </c>
      <c r="Q411" s="5"/>
      <c r="R411">
        <f t="shared" ca="1" si="252"/>
        <v>528</v>
      </c>
      <c r="S411" s="133">
        <f t="shared" ca="1" si="253"/>
        <v>111.56</v>
      </c>
      <c r="T411" s="132">
        <f t="shared" ca="1" si="242"/>
        <v>0</v>
      </c>
      <c r="U411" s="133">
        <f t="shared" ca="1" si="260"/>
        <v>1.9008342029825436E-4</v>
      </c>
      <c r="V411" s="31">
        <f t="shared" ca="1" si="254"/>
        <v>0</v>
      </c>
      <c r="W411" s="31">
        <f t="shared" ca="1" si="243"/>
        <v>0</v>
      </c>
      <c r="X411" s="163">
        <f t="shared" ca="1" si="261"/>
        <v>0</v>
      </c>
      <c r="Y411" s="163">
        <f t="shared" ca="1" si="262"/>
        <v>0</v>
      </c>
      <c r="Z411" s="163">
        <f t="shared" ca="1" si="255"/>
        <v>0</v>
      </c>
      <c r="AA411" s="163">
        <f t="shared" ca="1" si="263"/>
        <v>0</v>
      </c>
      <c r="AB411" s="84">
        <f t="shared" ca="1" si="244"/>
        <v>0</v>
      </c>
      <c r="AC411" s="160">
        <f t="shared" si="245"/>
        <v>0</v>
      </c>
      <c r="AD411" s="31">
        <f t="shared" ca="1" si="246"/>
        <v>0</v>
      </c>
      <c r="AE411" s="5"/>
      <c r="AF411" s="151">
        <f t="shared" ca="1" si="247"/>
        <v>0</v>
      </c>
      <c r="AG411" s="151">
        <f t="shared" ca="1" si="248"/>
        <v>0</v>
      </c>
      <c r="AH411" s="5"/>
      <c r="AI411" s="5"/>
      <c r="AS411" s="55">
        <f t="shared" si="256"/>
        <v>34</v>
      </c>
      <c r="AT411" s="56">
        <f t="shared" si="264"/>
        <v>408</v>
      </c>
      <c r="AU411" s="57">
        <f t="shared" si="236"/>
        <v>0.13658478050987877</v>
      </c>
      <c r="AV411" s="58">
        <f t="shared" si="257"/>
        <v>4.8675505653430484E-3</v>
      </c>
      <c r="AW411" s="59">
        <f t="shared" si="258"/>
        <v>1.004867550565343</v>
      </c>
      <c r="AX411" s="60">
        <f>PRODUCT(AW$4:AW411)</f>
        <v>7.2510252757663896</v>
      </c>
    </row>
    <row r="412" spans="5:50">
      <c r="E412">
        <f t="shared" si="266"/>
        <v>409</v>
      </c>
      <c r="F412" s="9">
        <f t="shared" si="259"/>
        <v>102.99999999999807</v>
      </c>
      <c r="G412" s="132">
        <f t="shared" si="237"/>
        <v>0</v>
      </c>
      <c r="H412" s="133">
        <f t="shared" si="265"/>
        <v>1</v>
      </c>
      <c r="I412" s="31">
        <f t="shared" si="249"/>
        <v>0</v>
      </c>
      <c r="J412" s="31">
        <f t="shared" si="238"/>
        <v>0</v>
      </c>
      <c r="K412" s="163">
        <f t="shared" si="239"/>
        <v>0</v>
      </c>
      <c r="L412" s="163">
        <f t="shared" si="250"/>
        <v>0</v>
      </c>
      <c r="M412" s="163">
        <f t="shared" si="267"/>
        <v>0</v>
      </c>
      <c r="N412" s="163">
        <f t="shared" si="251"/>
        <v>0</v>
      </c>
      <c r="O412" s="84">
        <f t="shared" si="240"/>
        <v>0</v>
      </c>
      <c r="P412" s="31">
        <f t="shared" si="241"/>
        <v>0</v>
      </c>
      <c r="Q412" s="5"/>
      <c r="R412">
        <f t="shared" ca="1" si="252"/>
        <v>529</v>
      </c>
      <c r="S412" s="133">
        <f t="shared" ca="1" si="253"/>
        <v>111.64</v>
      </c>
      <c r="T412" s="132">
        <f t="shared" ca="1" si="242"/>
        <v>0</v>
      </c>
      <c r="U412" s="133">
        <f t="shared" ca="1" si="260"/>
        <v>1.9008342029825436E-4</v>
      </c>
      <c r="V412" s="31">
        <f t="shared" ca="1" si="254"/>
        <v>0</v>
      </c>
      <c r="W412" s="31">
        <f t="shared" ca="1" si="243"/>
        <v>0</v>
      </c>
      <c r="X412" s="163">
        <f t="shared" ca="1" si="261"/>
        <v>0</v>
      </c>
      <c r="Y412" s="163">
        <f t="shared" ca="1" si="262"/>
        <v>0</v>
      </c>
      <c r="Z412" s="163">
        <f t="shared" ca="1" si="255"/>
        <v>0</v>
      </c>
      <c r="AA412" s="163">
        <f t="shared" ca="1" si="263"/>
        <v>0</v>
      </c>
      <c r="AB412" s="84">
        <f t="shared" ca="1" si="244"/>
        <v>0</v>
      </c>
      <c r="AC412" s="160">
        <f t="shared" si="245"/>
        <v>0</v>
      </c>
      <c r="AD412" s="31">
        <f t="shared" ca="1" si="246"/>
        <v>0</v>
      </c>
      <c r="AE412" s="5"/>
      <c r="AF412" s="151">
        <f t="shared" ca="1" si="247"/>
        <v>0</v>
      </c>
      <c r="AG412" s="151">
        <f t="shared" ca="1" si="248"/>
        <v>0</v>
      </c>
      <c r="AH412" s="5"/>
      <c r="AI412" s="5"/>
      <c r="AS412" s="55">
        <f t="shared" si="256"/>
        <v>35</v>
      </c>
      <c r="AT412" s="56">
        <f t="shared" si="264"/>
        <v>409</v>
      </c>
      <c r="AU412" s="57">
        <f t="shared" ref="AU412:AU475" si="268">(1-AV412)*AU411</f>
        <v>0.13591994718429065</v>
      </c>
      <c r="AV412" s="58">
        <f t="shared" si="257"/>
        <v>4.8675505653430484E-3</v>
      </c>
      <c r="AW412" s="59">
        <f t="shared" si="258"/>
        <v>1.004867550565343</v>
      </c>
      <c r="AX412" s="60">
        <f>PRODUCT(AW$4:AW412)</f>
        <v>7.2863200079467632</v>
      </c>
    </row>
    <row r="413" spans="5:50">
      <c r="E413">
        <f t="shared" si="266"/>
        <v>410</v>
      </c>
      <c r="F413" s="9">
        <f t="shared" si="259"/>
        <v>103.0833333333314</v>
      </c>
      <c r="G413" s="132">
        <f t="shared" si="237"/>
        <v>0</v>
      </c>
      <c r="H413" s="133">
        <f t="shared" si="265"/>
        <v>1</v>
      </c>
      <c r="I413" s="31">
        <f t="shared" si="249"/>
        <v>0</v>
      </c>
      <c r="J413" s="31">
        <f t="shared" si="238"/>
        <v>0</v>
      </c>
      <c r="K413" s="163">
        <f t="shared" si="239"/>
        <v>0</v>
      </c>
      <c r="L413" s="163">
        <f t="shared" si="250"/>
        <v>0</v>
      </c>
      <c r="M413" s="163">
        <f t="shared" si="267"/>
        <v>0</v>
      </c>
      <c r="N413" s="163">
        <f t="shared" si="251"/>
        <v>0</v>
      </c>
      <c r="O413" s="84">
        <f t="shared" si="240"/>
        <v>0</v>
      </c>
      <c r="P413" s="31">
        <f t="shared" si="241"/>
        <v>0</v>
      </c>
      <c r="Q413" s="5"/>
      <c r="R413">
        <f t="shared" ca="1" si="252"/>
        <v>530</v>
      </c>
      <c r="S413" s="133">
        <f t="shared" ca="1" si="253"/>
        <v>111.72</v>
      </c>
      <c r="T413" s="132">
        <f t="shared" ca="1" si="242"/>
        <v>0</v>
      </c>
      <c r="U413" s="133">
        <f t="shared" ca="1" si="260"/>
        <v>1.9008342029825436E-4</v>
      </c>
      <c r="V413" s="31">
        <f t="shared" ca="1" si="254"/>
        <v>0</v>
      </c>
      <c r="W413" s="31">
        <f t="shared" ca="1" si="243"/>
        <v>0</v>
      </c>
      <c r="X413" s="163">
        <f t="shared" ca="1" si="261"/>
        <v>0</v>
      </c>
      <c r="Y413" s="163">
        <f t="shared" ca="1" si="262"/>
        <v>0</v>
      </c>
      <c r="Z413" s="163">
        <f t="shared" ca="1" si="255"/>
        <v>0</v>
      </c>
      <c r="AA413" s="163">
        <f t="shared" ca="1" si="263"/>
        <v>0</v>
      </c>
      <c r="AB413" s="84">
        <f t="shared" ca="1" si="244"/>
        <v>0</v>
      </c>
      <c r="AC413" s="160">
        <f t="shared" si="245"/>
        <v>0</v>
      </c>
      <c r="AD413" s="31">
        <f t="shared" ca="1" si="246"/>
        <v>0</v>
      </c>
      <c r="AE413" s="5"/>
      <c r="AF413" s="151">
        <f t="shared" ca="1" si="247"/>
        <v>0</v>
      </c>
      <c r="AG413" s="151">
        <f t="shared" ca="1" si="248"/>
        <v>0</v>
      </c>
      <c r="AH413" s="5"/>
      <c r="AI413" s="5"/>
      <c r="AS413" s="55">
        <f t="shared" si="256"/>
        <v>35</v>
      </c>
      <c r="AT413" s="56">
        <f t="shared" si="264"/>
        <v>410</v>
      </c>
      <c r="AU413" s="57">
        <f t="shared" si="268"/>
        <v>0.13525834996853237</v>
      </c>
      <c r="AV413" s="58">
        <f t="shared" si="257"/>
        <v>4.8675505653430484E-3</v>
      </c>
      <c r="AW413" s="59">
        <f t="shared" si="258"/>
        <v>1.004867550565343</v>
      </c>
      <c r="AX413" s="60">
        <f>PRODUCT(AW$4:AW413)</f>
        <v>7.3217865390207146</v>
      </c>
    </row>
    <row r="414" spans="5:50">
      <c r="E414">
        <f t="shared" si="266"/>
        <v>411</v>
      </c>
      <c r="F414" s="9">
        <f t="shared" si="259"/>
        <v>103.16666666666472</v>
      </c>
      <c r="G414" s="132">
        <f t="shared" si="237"/>
        <v>0</v>
      </c>
      <c r="H414" s="133">
        <f t="shared" si="265"/>
        <v>1</v>
      </c>
      <c r="I414" s="31">
        <f t="shared" si="249"/>
        <v>0</v>
      </c>
      <c r="J414" s="31">
        <f t="shared" si="238"/>
        <v>0</v>
      </c>
      <c r="K414" s="163">
        <f t="shared" si="239"/>
        <v>0</v>
      </c>
      <c r="L414" s="163">
        <f t="shared" si="250"/>
        <v>0</v>
      </c>
      <c r="M414" s="163">
        <f t="shared" si="267"/>
        <v>0</v>
      </c>
      <c r="N414" s="163">
        <f t="shared" si="251"/>
        <v>0</v>
      </c>
      <c r="O414" s="84">
        <f t="shared" si="240"/>
        <v>0</v>
      </c>
      <c r="P414" s="31">
        <f t="shared" si="241"/>
        <v>0</v>
      </c>
      <c r="Q414" s="5"/>
      <c r="R414">
        <f t="shared" ca="1" si="252"/>
        <v>531</v>
      </c>
      <c r="S414" s="133">
        <f t="shared" ca="1" si="253"/>
        <v>111.8</v>
      </c>
      <c r="T414" s="132">
        <f t="shared" ca="1" si="242"/>
        <v>0</v>
      </c>
      <c r="U414" s="133">
        <f t="shared" ca="1" si="260"/>
        <v>1.9008342029825436E-4</v>
      </c>
      <c r="V414" s="31">
        <f t="shared" ca="1" si="254"/>
        <v>0</v>
      </c>
      <c r="W414" s="31">
        <f t="shared" ca="1" si="243"/>
        <v>0</v>
      </c>
      <c r="X414" s="163">
        <f t="shared" ca="1" si="261"/>
        <v>0</v>
      </c>
      <c r="Y414" s="163">
        <f t="shared" ca="1" si="262"/>
        <v>0</v>
      </c>
      <c r="Z414" s="163">
        <f t="shared" ca="1" si="255"/>
        <v>0</v>
      </c>
      <c r="AA414" s="163">
        <f t="shared" ca="1" si="263"/>
        <v>0</v>
      </c>
      <c r="AB414" s="84">
        <f t="shared" ca="1" si="244"/>
        <v>0</v>
      </c>
      <c r="AC414" s="160">
        <f t="shared" si="245"/>
        <v>0</v>
      </c>
      <c r="AD414" s="31">
        <f t="shared" ca="1" si="246"/>
        <v>0</v>
      </c>
      <c r="AE414" s="5"/>
      <c r="AF414" s="151">
        <f t="shared" ca="1" si="247"/>
        <v>0</v>
      </c>
      <c r="AG414" s="151">
        <f t="shared" ca="1" si="248"/>
        <v>0</v>
      </c>
      <c r="AH414" s="5"/>
      <c r="AI414" s="5"/>
      <c r="AS414" s="55">
        <f t="shared" si="256"/>
        <v>35</v>
      </c>
      <c r="AT414" s="56">
        <f t="shared" si="264"/>
        <v>411</v>
      </c>
      <c r="AU414" s="57">
        <f t="shared" si="268"/>
        <v>0.13459997311067567</v>
      </c>
      <c r="AV414" s="58">
        <f t="shared" si="257"/>
        <v>4.8675505653430484E-3</v>
      </c>
      <c r="AW414" s="59">
        <f t="shared" si="258"/>
        <v>1.004867550565343</v>
      </c>
      <c r="AX414" s="60">
        <f>PRODUCT(AW$4:AW414)</f>
        <v>7.3574257052280458</v>
      </c>
    </row>
    <row r="415" spans="5:50">
      <c r="E415">
        <f t="shared" si="266"/>
        <v>412</v>
      </c>
      <c r="F415" s="9">
        <f t="shared" si="259"/>
        <v>103.24999999999805</v>
      </c>
      <c r="G415" s="132">
        <f t="shared" si="237"/>
        <v>0</v>
      </c>
      <c r="H415" s="133">
        <f t="shared" si="265"/>
        <v>1</v>
      </c>
      <c r="I415" s="31">
        <f t="shared" si="249"/>
        <v>0</v>
      </c>
      <c r="J415" s="31">
        <f t="shared" si="238"/>
        <v>0</v>
      </c>
      <c r="K415" s="163">
        <f t="shared" si="239"/>
        <v>0</v>
      </c>
      <c r="L415" s="163">
        <f t="shared" si="250"/>
        <v>0</v>
      </c>
      <c r="M415" s="163">
        <f t="shared" si="267"/>
        <v>0</v>
      </c>
      <c r="N415" s="163">
        <f t="shared" si="251"/>
        <v>0</v>
      </c>
      <c r="O415" s="84">
        <f t="shared" si="240"/>
        <v>0</v>
      </c>
      <c r="P415" s="31">
        <f t="shared" si="241"/>
        <v>0</v>
      </c>
      <c r="Q415" s="5"/>
      <c r="R415">
        <f t="shared" ca="1" si="252"/>
        <v>532</v>
      </c>
      <c r="S415" s="133">
        <f t="shared" ca="1" si="253"/>
        <v>111.88</v>
      </c>
      <c r="T415" s="132">
        <f t="shared" ca="1" si="242"/>
        <v>0</v>
      </c>
      <c r="U415" s="133">
        <f t="shared" ca="1" si="260"/>
        <v>1.9008342029825436E-4</v>
      </c>
      <c r="V415" s="31">
        <f t="shared" ca="1" si="254"/>
        <v>0</v>
      </c>
      <c r="W415" s="31">
        <f t="shared" ca="1" si="243"/>
        <v>0</v>
      </c>
      <c r="X415" s="163">
        <f t="shared" ca="1" si="261"/>
        <v>0</v>
      </c>
      <c r="Y415" s="163">
        <f t="shared" ca="1" si="262"/>
        <v>0</v>
      </c>
      <c r="Z415" s="163">
        <f t="shared" ca="1" si="255"/>
        <v>0</v>
      </c>
      <c r="AA415" s="163">
        <f t="shared" ca="1" si="263"/>
        <v>0</v>
      </c>
      <c r="AB415" s="84">
        <f t="shared" ca="1" si="244"/>
        <v>0</v>
      </c>
      <c r="AC415" s="160">
        <f t="shared" si="245"/>
        <v>0</v>
      </c>
      <c r="AD415" s="31">
        <f t="shared" ca="1" si="246"/>
        <v>0</v>
      </c>
      <c r="AE415" s="5"/>
      <c r="AF415" s="151">
        <f t="shared" ca="1" si="247"/>
        <v>0</v>
      </c>
      <c r="AG415" s="151">
        <f t="shared" ca="1" si="248"/>
        <v>0</v>
      </c>
      <c r="AH415" s="5"/>
      <c r="AI415" s="5"/>
      <c r="AS415" s="55">
        <f t="shared" si="256"/>
        <v>35</v>
      </c>
      <c r="AT415" s="56">
        <f t="shared" si="264"/>
        <v>412</v>
      </c>
      <c r="AU415" s="57">
        <f t="shared" si="268"/>
        <v>0.13394480093546565</v>
      </c>
      <c r="AV415" s="58">
        <f t="shared" si="257"/>
        <v>4.8675505653430484E-3</v>
      </c>
      <c r="AW415" s="59">
        <f t="shared" si="258"/>
        <v>1.004867550565343</v>
      </c>
      <c r="AX415" s="60">
        <f>PRODUCT(AW$4:AW415)</f>
        <v>7.3932383468789977</v>
      </c>
    </row>
    <row r="416" spans="5:50">
      <c r="E416">
        <f t="shared" si="266"/>
        <v>413</v>
      </c>
      <c r="F416" s="9">
        <f t="shared" si="259"/>
        <v>103.33333333333138</v>
      </c>
      <c r="G416" s="132">
        <f t="shared" si="237"/>
        <v>0</v>
      </c>
      <c r="H416" s="133">
        <f t="shared" si="265"/>
        <v>1</v>
      </c>
      <c r="I416" s="31">
        <f t="shared" si="249"/>
        <v>0</v>
      </c>
      <c r="J416" s="31">
        <f t="shared" si="238"/>
        <v>0</v>
      </c>
      <c r="K416" s="163">
        <f t="shared" si="239"/>
        <v>0</v>
      </c>
      <c r="L416" s="163">
        <f t="shared" si="250"/>
        <v>0</v>
      </c>
      <c r="M416" s="163">
        <f t="shared" si="267"/>
        <v>0</v>
      </c>
      <c r="N416" s="163">
        <f t="shared" si="251"/>
        <v>0</v>
      </c>
      <c r="O416" s="84">
        <f t="shared" si="240"/>
        <v>0</v>
      </c>
      <c r="P416" s="31">
        <f t="shared" si="241"/>
        <v>0</v>
      </c>
      <c r="Q416" s="5"/>
      <c r="R416">
        <f t="shared" ca="1" si="252"/>
        <v>533</v>
      </c>
      <c r="S416" s="133">
        <f t="shared" ca="1" si="253"/>
        <v>111.96</v>
      </c>
      <c r="T416" s="132">
        <f t="shared" ca="1" si="242"/>
        <v>0</v>
      </c>
      <c r="U416" s="133">
        <f t="shared" ca="1" si="260"/>
        <v>1.9008342029825436E-4</v>
      </c>
      <c r="V416" s="31">
        <f t="shared" ca="1" si="254"/>
        <v>0</v>
      </c>
      <c r="W416" s="31">
        <f t="shared" ca="1" si="243"/>
        <v>0</v>
      </c>
      <c r="X416" s="163">
        <f t="shared" ca="1" si="261"/>
        <v>0</v>
      </c>
      <c r="Y416" s="163">
        <f t="shared" ca="1" si="262"/>
        <v>0</v>
      </c>
      <c r="Z416" s="163">
        <f t="shared" ca="1" si="255"/>
        <v>0</v>
      </c>
      <c r="AA416" s="163">
        <f t="shared" ca="1" si="263"/>
        <v>0</v>
      </c>
      <c r="AB416" s="84">
        <f t="shared" ca="1" si="244"/>
        <v>0</v>
      </c>
      <c r="AC416" s="160">
        <f t="shared" si="245"/>
        <v>0</v>
      </c>
      <c r="AD416" s="31">
        <f t="shared" ca="1" si="246"/>
        <v>0</v>
      </c>
      <c r="AE416" s="5"/>
      <c r="AF416" s="151">
        <f t="shared" ca="1" si="247"/>
        <v>0</v>
      </c>
      <c r="AG416" s="151">
        <f t="shared" ca="1" si="248"/>
        <v>0</v>
      </c>
      <c r="AH416" s="5"/>
      <c r="AI416" s="5"/>
      <c r="AS416" s="55">
        <f t="shared" si="256"/>
        <v>35</v>
      </c>
      <c r="AT416" s="56">
        <f t="shared" si="264"/>
        <v>413</v>
      </c>
      <c r="AU416" s="57">
        <f t="shared" si="268"/>
        <v>0.13329281784394748</v>
      </c>
      <c r="AV416" s="58">
        <f t="shared" si="257"/>
        <v>4.8675505653430484E-3</v>
      </c>
      <c r="AW416" s="59">
        <f t="shared" si="258"/>
        <v>1.004867550565343</v>
      </c>
      <c r="AX416" s="60">
        <f>PRODUCT(AW$4:AW416)</f>
        <v>7.4292253083740647</v>
      </c>
    </row>
    <row r="417" spans="5:50">
      <c r="E417">
        <f t="shared" si="266"/>
        <v>414</v>
      </c>
      <c r="F417" s="9">
        <f t="shared" si="259"/>
        <v>103.41666666666471</v>
      </c>
      <c r="G417" s="132">
        <f t="shared" si="237"/>
        <v>0</v>
      </c>
      <c r="H417" s="133">
        <f t="shared" si="265"/>
        <v>1</v>
      </c>
      <c r="I417" s="31">
        <f t="shared" si="249"/>
        <v>0</v>
      </c>
      <c r="J417" s="31">
        <f t="shared" si="238"/>
        <v>0</v>
      </c>
      <c r="K417" s="163">
        <f t="shared" si="239"/>
        <v>0</v>
      </c>
      <c r="L417" s="163">
        <f t="shared" si="250"/>
        <v>0</v>
      </c>
      <c r="M417" s="163">
        <f t="shared" si="267"/>
        <v>0</v>
      </c>
      <c r="N417" s="163">
        <f t="shared" si="251"/>
        <v>0</v>
      </c>
      <c r="O417" s="84">
        <f t="shared" si="240"/>
        <v>0</v>
      </c>
      <c r="P417" s="31">
        <f t="shared" si="241"/>
        <v>0</v>
      </c>
      <c r="Q417" s="5"/>
      <c r="R417">
        <f t="shared" ca="1" si="252"/>
        <v>534</v>
      </c>
      <c r="S417" s="133">
        <f t="shared" ca="1" si="253"/>
        <v>112.04</v>
      </c>
      <c r="T417" s="132">
        <f t="shared" ca="1" si="242"/>
        <v>0</v>
      </c>
      <c r="U417" s="133">
        <f t="shared" ca="1" si="260"/>
        <v>1.9008342029825436E-4</v>
      </c>
      <c r="V417" s="31">
        <f t="shared" ca="1" si="254"/>
        <v>0</v>
      </c>
      <c r="W417" s="31">
        <f t="shared" ca="1" si="243"/>
        <v>0</v>
      </c>
      <c r="X417" s="163">
        <f t="shared" ca="1" si="261"/>
        <v>0</v>
      </c>
      <c r="Y417" s="163">
        <f t="shared" ca="1" si="262"/>
        <v>0</v>
      </c>
      <c r="Z417" s="163">
        <f t="shared" ca="1" si="255"/>
        <v>0</v>
      </c>
      <c r="AA417" s="163">
        <f t="shared" ca="1" si="263"/>
        <v>0</v>
      </c>
      <c r="AB417" s="84">
        <f t="shared" ca="1" si="244"/>
        <v>0</v>
      </c>
      <c r="AC417" s="160">
        <f t="shared" si="245"/>
        <v>0</v>
      </c>
      <c r="AD417" s="31">
        <f t="shared" ca="1" si="246"/>
        <v>0</v>
      </c>
      <c r="AE417" s="5"/>
      <c r="AF417" s="151">
        <f t="shared" ca="1" si="247"/>
        <v>0</v>
      </c>
      <c r="AG417" s="151">
        <f t="shared" ca="1" si="248"/>
        <v>0</v>
      </c>
      <c r="AH417" s="5"/>
      <c r="AI417" s="5"/>
      <c r="AS417" s="55">
        <f t="shared" si="256"/>
        <v>35</v>
      </c>
      <c r="AT417" s="56">
        <f t="shared" si="264"/>
        <v>414</v>
      </c>
      <c r="AU417" s="57">
        <f t="shared" si="268"/>
        <v>0.132644008313095</v>
      </c>
      <c r="AV417" s="58">
        <f t="shared" si="257"/>
        <v>4.8675505653430484E-3</v>
      </c>
      <c r="AW417" s="59">
        <f t="shared" si="258"/>
        <v>1.004867550565343</v>
      </c>
      <c r="AX417" s="60">
        <f>PRODUCT(AW$4:AW417)</f>
        <v>7.4653874382239014</v>
      </c>
    </row>
    <row r="418" spans="5:50">
      <c r="E418">
        <f t="shared" si="266"/>
        <v>415</v>
      </c>
      <c r="F418" s="9">
        <f t="shared" si="259"/>
        <v>103.49999999999804</v>
      </c>
      <c r="G418" s="132">
        <f t="shared" si="237"/>
        <v>0</v>
      </c>
      <c r="H418" s="133">
        <f t="shared" si="265"/>
        <v>1</v>
      </c>
      <c r="I418" s="31">
        <f t="shared" si="249"/>
        <v>0</v>
      </c>
      <c r="J418" s="31">
        <f t="shared" si="238"/>
        <v>0</v>
      </c>
      <c r="K418" s="163">
        <f t="shared" si="239"/>
        <v>0</v>
      </c>
      <c r="L418" s="163">
        <f t="shared" si="250"/>
        <v>0</v>
      </c>
      <c r="M418" s="163">
        <f t="shared" si="267"/>
        <v>0</v>
      </c>
      <c r="N418" s="163">
        <f t="shared" si="251"/>
        <v>0</v>
      </c>
      <c r="O418" s="84">
        <f t="shared" si="240"/>
        <v>0</v>
      </c>
      <c r="P418" s="31">
        <f t="shared" si="241"/>
        <v>0</v>
      </c>
      <c r="Q418" s="5"/>
      <c r="R418">
        <f t="shared" ca="1" si="252"/>
        <v>535</v>
      </c>
      <c r="S418" s="133">
        <f t="shared" ca="1" si="253"/>
        <v>112.12</v>
      </c>
      <c r="T418" s="132">
        <f t="shared" ca="1" si="242"/>
        <v>0</v>
      </c>
      <c r="U418" s="133">
        <f t="shared" ca="1" si="260"/>
        <v>1.9008342029825436E-4</v>
      </c>
      <c r="V418" s="31">
        <f t="shared" ca="1" si="254"/>
        <v>0</v>
      </c>
      <c r="W418" s="31">
        <f t="shared" ca="1" si="243"/>
        <v>0</v>
      </c>
      <c r="X418" s="163">
        <f t="shared" ca="1" si="261"/>
        <v>0</v>
      </c>
      <c r="Y418" s="163">
        <f t="shared" ca="1" si="262"/>
        <v>0</v>
      </c>
      <c r="Z418" s="163">
        <f t="shared" ca="1" si="255"/>
        <v>0</v>
      </c>
      <c r="AA418" s="163">
        <f t="shared" ca="1" si="263"/>
        <v>0</v>
      </c>
      <c r="AB418" s="84">
        <f t="shared" ca="1" si="244"/>
        <v>0</v>
      </c>
      <c r="AC418" s="160">
        <f t="shared" si="245"/>
        <v>0</v>
      </c>
      <c r="AD418" s="31">
        <f t="shared" ca="1" si="246"/>
        <v>0</v>
      </c>
      <c r="AE418" s="5"/>
      <c r="AF418" s="151">
        <f t="shared" ca="1" si="247"/>
        <v>0</v>
      </c>
      <c r="AG418" s="151">
        <f t="shared" ca="1" si="248"/>
        <v>0</v>
      </c>
      <c r="AH418" s="5"/>
      <c r="AI418" s="5"/>
      <c r="AS418" s="55">
        <f t="shared" si="256"/>
        <v>35</v>
      </c>
      <c r="AT418" s="56">
        <f t="shared" si="264"/>
        <v>415</v>
      </c>
      <c r="AU418" s="57">
        <f t="shared" si="268"/>
        <v>0.13199835689544123</v>
      </c>
      <c r="AV418" s="58">
        <f t="shared" si="257"/>
        <v>4.8675505653430484E-3</v>
      </c>
      <c r="AW418" s="59">
        <f t="shared" si="258"/>
        <v>1.004867550565343</v>
      </c>
      <c r="AX418" s="60">
        <f>PRODUCT(AW$4:AW418)</f>
        <v>7.5017255890693333</v>
      </c>
    </row>
    <row r="419" spans="5:50">
      <c r="E419">
        <f t="shared" si="266"/>
        <v>416</v>
      </c>
      <c r="F419" s="9">
        <f t="shared" si="259"/>
        <v>103.58333333333137</v>
      </c>
      <c r="G419" s="132">
        <f t="shared" si="237"/>
        <v>0</v>
      </c>
      <c r="H419" s="133">
        <f t="shared" si="265"/>
        <v>1</v>
      </c>
      <c r="I419" s="31">
        <f t="shared" si="249"/>
        <v>0</v>
      </c>
      <c r="J419" s="31">
        <f t="shared" si="238"/>
        <v>0</v>
      </c>
      <c r="K419" s="163">
        <f t="shared" si="239"/>
        <v>0</v>
      </c>
      <c r="L419" s="163">
        <f t="shared" si="250"/>
        <v>0</v>
      </c>
      <c r="M419" s="163">
        <f t="shared" si="267"/>
        <v>0</v>
      </c>
      <c r="N419" s="163">
        <f t="shared" si="251"/>
        <v>0</v>
      </c>
      <c r="O419" s="84">
        <f t="shared" si="240"/>
        <v>0</v>
      </c>
      <c r="P419" s="31">
        <f t="shared" si="241"/>
        <v>0</v>
      </c>
      <c r="Q419" s="5"/>
      <c r="R419">
        <f t="shared" ca="1" si="252"/>
        <v>536</v>
      </c>
      <c r="S419" s="133">
        <f t="shared" ca="1" si="253"/>
        <v>112.2</v>
      </c>
      <c r="T419" s="132">
        <f t="shared" ca="1" si="242"/>
        <v>0</v>
      </c>
      <c r="U419" s="133">
        <f t="shared" ca="1" si="260"/>
        <v>1.9008342029825436E-4</v>
      </c>
      <c r="V419" s="31">
        <f t="shared" ca="1" si="254"/>
        <v>0</v>
      </c>
      <c r="W419" s="31">
        <f t="shared" ca="1" si="243"/>
        <v>0</v>
      </c>
      <c r="X419" s="163">
        <f t="shared" ca="1" si="261"/>
        <v>0</v>
      </c>
      <c r="Y419" s="163">
        <f t="shared" ca="1" si="262"/>
        <v>0</v>
      </c>
      <c r="Z419" s="163">
        <f t="shared" ca="1" si="255"/>
        <v>0</v>
      </c>
      <c r="AA419" s="163">
        <f t="shared" ca="1" si="263"/>
        <v>0</v>
      </c>
      <c r="AB419" s="84">
        <f t="shared" ca="1" si="244"/>
        <v>0</v>
      </c>
      <c r="AC419" s="160">
        <f t="shared" si="245"/>
        <v>0</v>
      </c>
      <c r="AD419" s="31">
        <f t="shared" ca="1" si="246"/>
        <v>0</v>
      </c>
      <c r="AE419" s="5"/>
      <c r="AF419" s="151">
        <f t="shared" ca="1" si="247"/>
        <v>0</v>
      </c>
      <c r="AG419" s="151">
        <f t="shared" ca="1" si="248"/>
        <v>0</v>
      </c>
      <c r="AH419" s="5"/>
      <c r="AI419" s="5"/>
      <c r="AS419" s="55">
        <f t="shared" si="256"/>
        <v>35</v>
      </c>
      <c r="AT419" s="56">
        <f t="shared" si="264"/>
        <v>416</v>
      </c>
      <c r="AU419" s="57">
        <f t="shared" si="268"/>
        <v>0.13135584821871046</v>
      </c>
      <c r="AV419" s="58">
        <f t="shared" si="257"/>
        <v>4.8675505653430484E-3</v>
      </c>
      <c r="AW419" s="59">
        <f t="shared" si="258"/>
        <v>1.004867550565343</v>
      </c>
      <c r="AX419" s="60">
        <f>PRODUCT(AW$4:AW419)</f>
        <v>7.5382406177014563</v>
      </c>
    </row>
    <row r="420" spans="5:50">
      <c r="E420">
        <f t="shared" si="266"/>
        <v>417</v>
      </c>
      <c r="F420" s="9">
        <f t="shared" si="259"/>
        <v>103.6666666666647</v>
      </c>
      <c r="G420" s="132">
        <f t="shared" si="237"/>
        <v>0</v>
      </c>
      <c r="H420" s="133">
        <f t="shared" si="265"/>
        <v>1</v>
      </c>
      <c r="I420" s="31">
        <f t="shared" si="249"/>
        <v>0</v>
      </c>
      <c r="J420" s="31">
        <f t="shared" si="238"/>
        <v>0</v>
      </c>
      <c r="K420" s="163">
        <f t="shared" si="239"/>
        <v>0</v>
      </c>
      <c r="L420" s="163">
        <f t="shared" si="250"/>
        <v>0</v>
      </c>
      <c r="M420" s="163">
        <f t="shared" si="267"/>
        <v>0</v>
      </c>
      <c r="N420" s="163">
        <f t="shared" si="251"/>
        <v>0</v>
      </c>
      <c r="O420" s="84">
        <f t="shared" si="240"/>
        <v>0</v>
      </c>
      <c r="P420" s="31">
        <f t="shared" si="241"/>
        <v>0</v>
      </c>
      <c r="Q420" s="5"/>
      <c r="R420">
        <f t="shared" ca="1" si="252"/>
        <v>537</v>
      </c>
      <c r="S420" s="133">
        <f t="shared" ca="1" si="253"/>
        <v>112.28</v>
      </c>
      <c r="T420" s="132">
        <f t="shared" ca="1" si="242"/>
        <v>0</v>
      </c>
      <c r="U420" s="133">
        <f t="shared" ca="1" si="260"/>
        <v>1.9008342029825436E-4</v>
      </c>
      <c r="V420" s="31">
        <f t="shared" ca="1" si="254"/>
        <v>0</v>
      </c>
      <c r="W420" s="31">
        <f t="shared" ca="1" si="243"/>
        <v>0</v>
      </c>
      <c r="X420" s="163">
        <f t="shared" ca="1" si="261"/>
        <v>0</v>
      </c>
      <c r="Y420" s="163">
        <f t="shared" ca="1" si="262"/>
        <v>0</v>
      </c>
      <c r="Z420" s="163">
        <f t="shared" ca="1" si="255"/>
        <v>0</v>
      </c>
      <c r="AA420" s="163">
        <f t="shared" ca="1" si="263"/>
        <v>0</v>
      </c>
      <c r="AB420" s="84">
        <f t="shared" ca="1" si="244"/>
        <v>0</v>
      </c>
      <c r="AC420" s="160">
        <f t="shared" si="245"/>
        <v>0</v>
      </c>
      <c r="AD420" s="31">
        <f t="shared" ca="1" si="246"/>
        <v>0</v>
      </c>
      <c r="AE420" s="5"/>
      <c r="AF420" s="151">
        <f t="shared" ca="1" si="247"/>
        <v>0</v>
      </c>
      <c r="AG420" s="151">
        <f t="shared" ca="1" si="248"/>
        <v>0</v>
      </c>
      <c r="AH420" s="5"/>
      <c r="AI420" s="5"/>
      <c r="AS420" s="55">
        <f t="shared" si="256"/>
        <v>35</v>
      </c>
      <c r="AT420" s="56">
        <f t="shared" si="264"/>
        <v>417</v>
      </c>
      <c r="AU420" s="57">
        <f t="shared" si="268"/>
        <v>0.13071646698545236</v>
      </c>
      <c r="AV420" s="58">
        <f t="shared" si="257"/>
        <v>4.8675505653430484E-3</v>
      </c>
      <c r="AW420" s="59">
        <f t="shared" si="258"/>
        <v>1.004867550565343</v>
      </c>
      <c r="AX420" s="60">
        <f>PRODUCT(AW$4:AW420)</f>
        <v>7.5749333850818408</v>
      </c>
    </row>
    <row r="421" spans="5:50">
      <c r="E421">
        <f t="shared" si="266"/>
        <v>418</v>
      </c>
      <c r="F421" s="9">
        <f t="shared" si="259"/>
        <v>103.74999999999802</v>
      </c>
      <c r="G421" s="132">
        <f t="shared" si="237"/>
        <v>0</v>
      </c>
      <c r="H421" s="133">
        <f t="shared" si="265"/>
        <v>1</v>
      </c>
      <c r="I421" s="31">
        <f t="shared" si="249"/>
        <v>0</v>
      </c>
      <c r="J421" s="31">
        <f t="shared" si="238"/>
        <v>0</v>
      </c>
      <c r="K421" s="163">
        <f t="shared" si="239"/>
        <v>0</v>
      </c>
      <c r="L421" s="163">
        <f t="shared" si="250"/>
        <v>0</v>
      </c>
      <c r="M421" s="163">
        <f t="shared" si="267"/>
        <v>0</v>
      </c>
      <c r="N421" s="163">
        <f t="shared" si="251"/>
        <v>0</v>
      </c>
      <c r="O421" s="84">
        <f t="shared" si="240"/>
        <v>0</v>
      </c>
      <c r="P421" s="31">
        <f t="shared" si="241"/>
        <v>0</v>
      </c>
      <c r="Q421" s="5"/>
      <c r="R421">
        <f t="shared" ca="1" si="252"/>
        <v>538</v>
      </c>
      <c r="S421" s="133">
        <f t="shared" ca="1" si="253"/>
        <v>112.36</v>
      </c>
      <c r="T421" s="132">
        <f t="shared" ca="1" si="242"/>
        <v>0</v>
      </c>
      <c r="U421" s="133">
        <f t="shared" ca="1" si="260"/>
        <v>1.9008342029825436E-4</v>
      </c>
      <c r="V421" s="31">
        <f t="shared" ca="1" si="254"/>
        <v>0</v>
      </c>
      <c r="W421" s="31">
        <f t="shared" ca="1" si="243"/>
        <v>0</v>
      </c>
      <c r="X421" s="163">
        <f t="shared" ca="1" si="261"/>
        <v>0</v>
      </c>
      <c r="Y421" s="163">
        <f t="shared" ca="1" si="262"/>
        <v>0</v>
      </c>
      <c r="Z421" s="163">
        <f t="shared" ca="1" si="255"/>
        <v>0</v>
      </c>
      <c r="AA421" s="163">
        <f t="shared" ca="1" si="263"/>
        <v>0</v>
      </c>
      <c r="AB421" s="84">
        <f t="shared" ca="1" si="244"/>
        <v>0</v>
      </c>
      <c r="AC421" s="160">
        <f t="shared" si="245"/>
        <v>0</v>
      </c>
      <c r="AD421" s="31">
        <f t="shared" ca="1" si="246"/>
        <v>0</v>
      </c>
      <c r="AE421" s="5"/>
      <c r="AF421" s="151">
        <f t="shared" ca="1" si="247"/>
        <v>0</v>
      </c>
      <c r="AG421" s="151">
        <f t="shared" ca="1" si="248"/>
        <v>0</v>
      </c>
      <c r="AH421" s="5"/>
      <c r="AI421" s="5"/>
      <c r="AS421" s="55">
        <f t="shared" si="256"/>
        <v>35</v>
      </c>
      <c r="AT421" s="56">
        <f t="shared" si="264"/>
        <v>418</v>
      </c>
      <c r="AU421" s="57">
        <f t="shared" si="268"/>
        <v>0.13008019797267767</v>
      </c>
      <c r="AV421" s="58">
        <f t="shared" si="257"/>
        <v>4.8675505653430484E-3</v>
      </c>
      <c r="AW421" s="59">
        <f t="shared" si="258"/>
        <v>1.004867550565343</v>
      </c>
      <c r="AX421" s="60">
        <f>PRODUCT(AW$4:AW421)</f>
        <v>7.6118047563628322</v>
      </c>
    </row>
    <row r="422" spans="5:50">
      <c r="E422">
        <f t="shared" si="266"/>
        <v>419</v>
      </c>
      <c r="F422" s="9">
        <f t="shared" si="259"/>
        <v>103.83333333333135</v>
      </c>
      <c r="G422" s="132">
        <f t="shared" si="237"/>
        <v>0</v>
      </c>
      <c r="H422" s="133">
        <f t="shared" si="265"/>
        <v>1</v>
      </c>
      <c r="I422" s="31">
        <f t="shared" si="249"/>
        <v>0</v>
      </c>
      <c r="J422" s="31">
        <f t="shared" si="238"/>
        <v>0</v>
      </c>
      <c r="K422" s="163">
        <f t="shared" si="239"/>
        <v>0</v>
      </c>
      <c r="L422" s="163">
        <f t="shared" si="250"/>
        <v>0</v>
      </c>
      <c r="M422" s="163">
        <f t="shared" si="267"/>
        <v>0</v>
      </c>
      <c r="N422" s="163">
        <f t="shared" si="251"/>
        <v>0</v>
      </c>
      <c r="O422" s="84">
        <f t="shared" si="240"/>
        <v>0</v>
      </c>
      <c r="P422" s="31">
        <f t="shared" si="241"/>
        <v>0</v>
      </c>
      <c r="Q422" s="5"/>
      <c r="R422">
        <f t="shared" ca="1" si="252"/>
        <v>539</v>
      </c>
      <c r="S422" s="133">
        <f t="shared" ca="1" si="253"/>
        <v>112.44</v>
      </c>
      <c r="T422" s="132">
        <f t="shared" ca="1" si="242"/>
        <v>0</v>
      </c>
      <c r="U422" s="133">
        <f t="shared" ca="1" si="260"/>
        <v>1.9008342029825436E-4</v>
      </c>
      <c r="V422" s="31">
        <f t="shared" ca="1" si="254"/>
        <v>0</v>
      </c>
      <c r="W422" s="31">
        <f t="shared" ca="1" si="243"/>
        <v>0</v>
      </c>
      <c r="X422" s="163">
        <f t="shared" ca="1" si="261"/>
        <v>0</v>
      </c>
      <c r="Y422" s="163">
        <f t="shared" ca="1" si="262"/>
        <v>0</v>
      </c>
      <c r="Z422" s="163">
        <f t="shared" ca="1" si="255"/>
        <v>0</v>
      </c>
      <c r="AA422" s="163">
        <f t="shared" ca="1" si="263"/>
        <v>0</v>
      </c>
      <c r="AB422" s="84">
        <f t="shared" ca="1" si="244"/>
        <v>0</v>
      </c>
      <c r="AC422" s="160">
        <f t="shared" si="245"/>
        <v>0</v>
      </c>
      <c r="AD422" s="31">
        <f t="shared" ca="1" si="246"/>
        <v>0</v>
      </c>
      <c r="AE422" s="5"/>
      <c r="AF422" s="151">
        <f t="shared" ca="1" si="247"/>
        <v>0</v>
      </c>
      <c r="AG422" s="151">
        <f t="shared" ca="1" si="248"/>
        <v>0</v>
      </c>
      <c r="AH422" s="5"/>
      <c r="AI422" s="5"/>
      <c r="AS422" s="55">
        <f t="shared" si="256"/>
        <v>35</v>
      </c>
      <c r="AT422" s="56">
        <f t="shared" si="264"/>
        <v>419</v>
      </c>
      <c r="AU422" s="57">
        <f t="shared" si="268"/>
        <v>0.12944702603149583</v>
      </c>
      <c r="AV422" s="58">
        <f t="shared" si="257"/>
        <v>4.8675505653430484E-3</v>
      </c>
      <c r="AW422" s="59">
        <f t="shared" si="258"/>
        <v>1.004867550565343</v>
      </c>
      <c r="AX422" s="60">
        <f>PRODUCT(AW$4:AW422)</f>
        <v>7.6488556009079467</v>
      </c>
    </row>
    <row r="423" spans="5:50">
      <c r="E423">
        <f t="shared" si="266"/>
        <v>420</v>
      </c>
      <c r="F423" s="9">
        <f t="shared" si="259"/>
        <v>103.91666666666468</v>
      </c>
      <c r="G423" s="132">
        <f t="shared" si="237"/>
        <v>0</v>
      </c>
      <c r="H423" s="133">
        <f t="shared" si="265"/>
        <v>1</v>
      </c>
      <c r="I423" s="31">
        <f t="shared" si="249"/>
        <v>0</v>
      </c>
      <c r="J423" s="31">
        <f t="shared" si="238"/>
        <v>0</v>
      </c>
      <c r="K423" s="163">
        <f t="shared" si="239"/>
        <v>0</v>
      </c>
      <c r="L423" s="163">
        <f t="shared" si="250"/>
        <v>0</v>
      </c>
      <c r="M423" s="163">
        <f t="shared" si="267"/>
        <v>0</v>
      </c>
      <c r="N423" s="163">
        <f t="shared" si="251"/>
        <v>0</v>
      </c>
      <c r="O423" s="84">
        <f t="shared" si="240"/>
        <v>0</v>
      </c>
      <c r="P423" s="31">
        <f t="shared" si="241"/>
        <v>0</v>
      </c>
      <c r="Q423" s="5"/>
      <c r="R423">
        <f t="shared" ca="1" si="252"/>
        <v>540</v>
      </c>
      <c r="S423" s="133">
        <f t="shared" ca="1" si="253"/>
        <v>112.52</v>
      </c>
      <c r="T423" s="132">
        <f t="shared" ca="1" si="242"/>
        <v>0</v>
      </c>
      <c r="U423" s="133">
        <f t="shared" ca="1" si="260"/>
        <v>1.9008342029825436E-4</v>
      </c>
      <c r="V423" s="31">
        <f t="shared" ca="1" si="254"/>
        <v>0</v>
      </c>
      <c r="W423" s="31">
        <f t="shared" ca="1" si="243"/>
        <v>0</v>
      </c>
      <c r="X423" s="163">
        <f t="shared" ca="1" si="261"/>
        <v>0</v>
      </c>
      <c r="Y423" s="163">
        <f t="shared" ca="1" si="262"/>
        <v>0</v>
      </c>
      <c r="Z423" s="163">
        <f t="shared" ca="1" si="255"/>
        <v>0</v>
      </c>
      <c r="AA423" s="163">
        <f t="shared" ca="1" si="263"/>
        <v>0</v>
      </c>
      <c r="AB423" s="84">
        <f t="shared" ca="1" si="244"/>
        <v>0</v>
      </c>
      <c r="AC423" s="160">
        <f t="shared" si="245"/>
        <v>0</v>
      </c>
      <c r="AD423" s="31">
        <f t="shared" ca="1" si="246"/>
        <v>0</v>
      </c>
      <c r="AE423" s="5"/>
      <c r="AF423" s="151">
        <f t="shared" ca="1" si="247"/>
        <v>0</v>
      </c>
      <c r="AG423" s="151">
        <f t="shared" ca="1" si="248"/>
        <v>0</v>
      </c>
      <c r="AH423" s="5"/>
      <c r="AI423" s="5"/>
      <c r="AS423" s="55">
        <f t="shared" si="256"/>
        <v>35</v>
      </c>
      <c r="AT423" s="56">
        <f t="shared" si="264"/>
        <v>420</v>
      </c>
      <c r="AU423" s="57">
        <f t="shared" si="268"/>
        <v>0.12881693608675424</v>
      </c>
      <c r="AV423" s="58">
        <f t="shared" si="257"/>
        <v>4.8675505653430484E-3</v>
      </c>
      <c r="AW423" s="59">
        <f t="shared" si="258"/>
        <v>1.004867550565343</v>
      </c>
      <c r="AX423" s="60">
        <f>PRODUCT(AW$4:AW423)</f>
        <v>7.6860867923123735</v>
      </c>
    </row>
    <row r="424" spans="5:50">
      <c r="E424">
        <f t="shared" si="266"/>
        <v>421</v>
      </c>
      <c r="F424" s="9">
        <f t="shared" si="259"/>
        <v>103.99999999999801</v>
      </c>
      <c r="G424" s="132">
        <f t="shared" si="237"/>
        <v>0</v>
      </c>
      <c r="H424" s="133">
        <f t="shared" si="265"/>
        <v>1</v>
      </c>
      <c r="I424" s="31">
        <f t="shared" si="249"/>
        <v>0</v>
      </c>
      <c r="J424" s="31">
        <f t="shared" si="238"/>
        <v>0</v>
      </c>
      <c r="K424" s="163">
        <f t="shared" si="239"/>
        <v>0</v>
      </c>
      <c r="L424" s="163">
        <f t="shared" si="250"/>
        <v>0</v>
      </c>
      <c r="M424" s="163">
        <f t="shared" si="267"/>
        <v>0</v>
      </c>
      <c r="N424" s="163">
        <f t="shared" si="251"/>
        <v>0</v>
      </c>
      <c r="O424" s="84">
        <f t="shared" si="240"/>
        <v>0</v>
      </c>
      <c r="P424" s="31">
        <f t="shared" si="241"/>
        <v>0</v>
      </c>
      <c r="Q424" s="5"/>
      <c r="R424">
        <f t="shared" ca="1" si="252"/>
        <v>541</v>
      </c>
      <c r="S424" s="133">
        <f t="shared" ca="1" si="253"/>
        <v>112.6</v>
      </c>
      <c r="T424" s="132">
        <f t="shared" ca="1" si="242"/>
        <v>0</v>
      </c>
      <c r="U424" s="133">
        <f t="shared" ca="1" si="260"/>
        <v>1.9008342029825436E-4</v>
      </c>
      <c r="V424" s="31">
        <f t="shared" ca="1" si="254"/>
        <v>0</v>
      </c>
      <c r="W424" s="31">
        <f t="shared" ca="1" si="243"/>
        <v>0</v>
      </c>
      <c r="X424" s="163">
        <f t="shared" ca="1" si="261"/>
        <v>0</v>
      </c>
      <c r="Y424" s="163">
        <f t="shared" ca="1" si="262"/>
        <v>0</v>
      </c>
      <c r="Z424" s="163">
        <f t="shared" ca="1" si="255"/>
        <v>0</v>
      </c>
      <c r="AA424" s="163">
        <f t="shared" ca="1" si="263"/>
        <v>0</v>
      </c>
      <c r="AB424" s="84">
        <f t="shared" ca="1" si="244"/>
        <v>0</v>
      </c>
      <c r="AC424" s="160">
        <f t="shared" si="245"/>
        <v>0</v>
      </c>
      <c r="AD424" s="31">
        <f t="shared" ca="1" si="246"/>
        <v>0</v>
      </c>
      <c r="AE424" s="5"/>
      <c r="AF424" s="151">
        <f t="shared" ca="1" si="247"/>
        <v>0</v>
      </c>
      <c r="AG424" s="151">
        <f t="shared" ca="1" si="248"/>
        <v>0</v>
      </c>
      <c r="AH424" s="5"/>
      <c r="AI424" s="5"/>
      <c r="AS424" s="55">
        <f t="shared" si="256"/>
        <v>36</v>
      </c>
      <c r="AT424" s="56">
        <f t="shared" si="264"/>
        <v>421</v>
      </c>
      <c r="AU424" s="57">
        <f t="shared" si="268"/>
        <v>0.12818991313667941</v>
      </c>
      <c r="AV424" s="58">
        <f t="shared" si="257"/>
        <v>4.8675505653430484E-3</v>
      </c>
      <c r="AW424" s="59">
        <f t="shared" si="258"/>
        <v>1.004867550565343</v>
      </c>
      <c r="AX424" s="60">
        <f>PRODUCT(AW$4:AW424)</f>
        <v>7.7234992084235694</v>
      </c>
    </row>
    <row r="425" spans="5:50">
      <c r="E425">
        <f t="shared" si="266"/>
        <v>422</v>
      </c>
      <c r="F425" s="9">
        <f t="shared" si="259"/>
        <v>104.08333333333134</v>
      </c>
      <c r="G425" s="132">
        <f t="shared" si="237"/>
        <v>0</v>
      </c>
      <c r="H425" s="133">
        <f t="shared" si="265"/>
        <v>1</v>
      </c>
      <c r="I425" s="31">
        <f t="shared" si="249"/>
        <v>0</v>
      </c>
      <c r="J425" s="31">
        <f t="shared" si="238"/>
        <v>0</v>
      </c>
      <c r="K425" s="163">
        <f t="shared" si="239"/>
        <v>0</v>
      </c>
      <c r="L425" s="163">
        <f t="shared" si="250"/>
        <v>0</v>
      </c>
      <c r="M425" s="163">
        <f t="shared" si="267"/>
        <v>0</v>
      </c>
      <c r="N425" s="163">
        <f t="shared" si="251"/>
        <v>0</v>
      </c>
      <c r="O425" s="84">
        <f t="shared" si="240"/>
        <v>0</v>
      </c>
      <c r="P425" s="31">
        <f t="shared" si="241"/>
        <v>0</v>
      </c>
      <c r="Q425" s="5"/>
      <c r="R425">
        <f t="shared" ca="1" si="252"/>
        <v>542</v>
      </c>
      <c r="S425" s="133">
        <f t="shared" ca="1" si="253"/>
        <v>112.68</v>
      </c>
      <c r="T425" s="132">
        <f t="shared" ca="1" si="242"/>
        <v>0</v>
      </c>
      <c r="U425" s="133">
        <f t="shared" ca="1" si="260"/>
        <v>1.9008342029825436E-4</v>
      </c>
      <c r="V425" s="31">
        <f t="shared" ca="1" si="254"/>
        <v>0</v>
      </c>
      <c r="W425" s="31">
        <f t="shared" ca="1" si="243"/>
        <v>0</v>
      </c>
      <c r="X425" s="163">
        <f t="shared" ca="1" si="261"/>
        <v>0</v>
      </c>
      <c r="Y425" s="163">
        <f t="shared" ca="1" si="262"/>
        <v>0</v>
      </c>
      <c r="Z425" s="163">
        <f t="shared" ca="1" si="255"/>
        <v>0</v>
      </c>
      <c r="AA425" s="163">
        <f t="shared" ca="1" si="263"/>
        <v>0</v>
      </c>
      <c r="AB425" s="84">
        <f t="shared" ca="1" si="244"/>
        <v>0</v>
      </c>
      <c r="AC425" s="160">
        <f t="shared" si="245"/>
        <v>0</v>
      </c>
      <c r="AD425" s="31">
        <f t="shared" ca="1" si="246"/>
        <v>0</v>
      </c>
      <c r="AE425" s="5"/>
      <c r="AF425" s="151">
        <f t="shared" ca="1" si="247"/>
        <v>0</v>
      </c>
      <c r="AG425" s="151">
        <f t="shared" ca="1" si="248"/>
        <v>0</v>
      </c>
      <c r="AH425" s="5"/>
      <c r="AI425" s="5"/>
      <c r="AS425" s="55">
        <f t="shared" si="256"/>
        <v>36</v>
      </c>
      <c r="AT425" s="56">
        <f t="shared" si="264"/>
        <v>422</v>
      </c>
      <c r="AU425" s="57">
        <f t="shared" si="268"/>
        <v>0.12756594225251969</v>
      </c>
      <c r="AV425" s="58">
        <f t="shared" si="257"/>
        <v>4.8675505653430484E-3</v>
      </c>
      <c r="AW425" s="59">
        <f t="shared" si="258"/>
        <v>1.004867550565343</v>
      </c>
      <c r="AX425" s="60">
        <f>PRODUCT(AW$4:AW425)</f>
        <v>7.7610937313619583</v>
      </c>
    </row>
    <row r="426" spans="5:50">
      <c r="E426">
        <f t="shared" si="266"/>
        <v>423</v>
      </c>
      <c r="F426" s="9">
        <f t="shared" si="259"/>
        <v>104.16666666666467</v>
      </c>
      <c r="G426" s="132">
        <f t="shared" si="237"/>
        <v>0</v>
      </c>
      <c r="H426" s="133">
        <f t="shared" si="265"/>
        <v>1</v>
      </c>
      <c r="I426" s="31">
        <f t="shared" si="249"/>
        <v>0</v>
      </c>
      <c r="J426" s="31">
        <f t="shared" si="238"/>
        <v>0</v>
      </c>
      <c r="K426" s="163">
        <f t="shared" si="239"/>
        <v>0</v>
      </c>
      <c r="L426" s="163">
        <f t="shared" si="250"/>
        <v>0</v>
      </c>
      <c r="M426" s="163">
        <f t="shared" si="267"/>
        <v>0</v>
      </c>
      <c r="N426" s="163">
        <f t="shared" si="251"/>
        <v>0</v>
      </c>
      <c r="O426" s="84">
        <f t="shared" si="240"/>
        <v>0</v>
      </c>
      <c r="P426" s="31">
        <f t="shared" si="241"/>
        <v>0</v>
      </c>
      <c r="Q426" s="5"/>
      <c r="R426">
        <f t="shared" ca="1" si="252"/>
        <v>543</v>
      </c>
      <c r="S426" s="133">
        <f t="shared" ca="1" si="253"/>
        <v>112.76</v>
      </c>
      <c r="T426" s="132">
        <f t="shared" ca="1" si="242"/>
        <v>0</v>
      </c>
      <c r="U426" s="133">
        <f t="shared" ca="1" si="260"/>
        <v>1.9008342029825436E-4</v>
      </c>
      <c r="V426" s="31">
        <f t="shared" ca="1" si="254"/>
        <v>0</v>
      </c>
      <c r="W426" s="31">
        <f t="shared" ca="1" si="243"/>
        <v>0</v>
      </c>
      <c r="X426" s="163">
        <f t="shared" ca="1" si="261"/>
        <v>0</v>
      </c>
      <c r="Y426" s="163">
        <f t="shared" ca="1" si="262"/>
        <v>0</v>
      </c>
      <c r="Z426" s="163">
        <f t="shared" ca="1" si="255"/>
        <v>0</v>
      </c>
      <c r="AA426" s="163">
        <f t="shared" ca="1" si="263"/>
        <v>0</v>
      </c>
      <c r="AB426" s="84">
        <f t="shared" ca="1" si="244"/>
        <v>0</v>
      </c>
      <c r="AC426" s="160">
        <f t="shared" si="245"/>
        <v>0</v>
      </c>
      <c r="AD426" s="31">
        <f t="shared" ca="1" si="246"/>
        <v>0</v>
      </c>
      <c r="AE426" s="5"/>
      <c r="AF426" s="151">
        <f t="shared" ca="1" si="247"/>
        <v>0</v>
      </c>
      <c r="AG426" s="151">
        <f t="shared" ca="1" si="248"/>
        <v>0</v>
      </c>
      <c r="AH426" s="5"/>
      <c r="AI426" s="5"/>
      <c r="AS426" s="55">
        <f t="shared" si="256"/>
        <v>36</v>
      </c>
      <c r="AT426" s="56">
        <f t="shared" si="264"/>
        <v>423</v>
      </c>
      <c r="AU426" s="57">
        <f t="shared" si="268"/>
        <v>0.12694500857818991</v>
      </c>
      <c r="AV426" s="58">
        <f t="shared" si="257"/>
        <v>4.8675505653430484E-3</v>
      </c>
      <c r="AW426" s="59">
        <f t="shared" si="258"/>
        <v>1.004867550565343</v>
      </c>
      <c r="AX426" s="60">
        <f>PRODUCT(AW$4:AW426)</f>
        <v>7.7988712475417294</v>
      </c>
    </row>
    <row r="427" spans="5:50">
      <c r="E427">
        <f t="shared" si="266"/>
        <v>424</v>
      </c>
      <c r="F427" s="9">
        <f t="shared" si="259"/>
        <v>104.249999999998</v>
      </c>
      <c r="G427" s="132">
        <f t="shared" si="237"/>
        <v>0</v>
      </c>
      <c r="H427" s="133">
        <f t="shared" si="265"/>
        <v>1</v>
      </c>
      <c r="I427" s="31">
        <f t="shared" si="249"/>
        <v>0</v>
      </c>
      <c r="J427" s="31">
        <f t="shared" si="238"/>
        <v>0</v>
      </c>
      <c r="K427" s="163">
        <f t="shared" si="239"/>
        <v>0</v>
      </c>
      <c r="L427" s="163">
        <f t="shared" si="250"/>
        <v>0</v>
      </c>
      <c r="M427" s="163">
        <f t="shared" si="267"/>
        <v>0</v>
      </c>
      <c r="N427" s="163">
        <f t="shared" si="251"/>
        <v>0</v>
      </c>
      <c r="O427" s="84">
        <f t="shared" si="240"/>
        <v>0</v>
      </c>
      <c r="P427" s="31">
        <f t="shared" si="241"/>
        <v>0</v>
      </c>
      <c r="Q427" s="5"/>
      <c r="R427">
        <f t="shared" ca="1" si="252"/>
        <v>544</v>
      </c>
      <c r="S427" s="133">
        <f t="shared" ca="1" si="253"/>
        <v>112.84</v>
      </c>
      <c r="T427" s="132">
        <f t="shared" ca="1" si="242"/>
        <v>0</v>
      </c>
      <c r="U427" s="133">
        <f t="shared" ca="1" si="260"/>
        <v>1.9008342029825436E-4</v>
      </c>
      <c r="V427" s="31">
        <f t="shared" ca="1" si="254"/>
        <v>0</v>
      </c>
      <c r="W427" s="31">
        <f t="shared" ca="1" si="243"/>
        <v>0</v>
      </c>
      <c r="X427" s="163">
        <f t="shared" ca="1" si="261"/>
        <v>0</v>
      </c>
      <c r="Y427" s="163">
        <f t="shared" ca="1" si="262"/>
        <v>0</v>
      </c>
      <c r="Z427" s="163">
        <f t="shared" ca="1" si="255"/>
        <v>0</v>
      </c>
      <c r="AA427" s="163">
        <f t="shared" ca="1" si="263"/>
        <v>0</v>
      </c>
      <c r="AB427" s="84">
        <f t="shared" ca="1" si="244"/>
        <v>0</v>
      </c>
      <c r="AC427" s="160">
        <f t="shared" si="245"/>
        <v>0</v>
      </c>
      <c r="AD427" s="31">
        <f t="shared" ca="1" si="246"/>
        <v>0</v>
      </c>
      <c r="AE427" s="5"/>
      <c r="AF427" s="151">
        <f t="shared" ca="1" si="247"/>
        <v>0</v>
      </c>
      <c r="AG427" s="151">
        <f t="shared" ca="1" si="248"/>
        <v>0</v>
      </c>
      <c r="AH427" s="5"/>
      <c r="AI427" s="5"/>
      <c r="AS427" s="55">
        <f t="shared" si="256"/>
        <v>36</v>
      </c>
      <c r="AT427" s="56">
        <f t="shared" si="264"/>
        <v>424</v>
      </c>
      <c r="AU427" s="57">
        <f t="shared" si="268"/>
        <v>0.12632709732991768</v>
      </c>
      <c r="AV427" s="58">
        <f t="shared" si="257"/>
        <v>4.8675505653430484E-3</v>
      </c>
      <c r="AW427" s="59">
        <f t="shared" si="258"/>
        <v>1.004867550565343</v>
      </c>
      <c r="AX427" s="60">
        <f>PRODUCT(AW$4:AW427)</f>
        <v>7.8368326476917387</v>
      </c>
    </row>
    <row r="428" spans="5:50">
      <c r="E428">
        <f t="shared" si="266"/>
        <v>425</v>
      </c>
      <c r="F428" s="9">
        <f t="shared" si="259"/>
        <v>104.33333333333132</v>
      </c>
      <c r="G428" s="132">
        <f t="shared" si="237"/>
        <v>0</v>
      </c>
      <c r="H428" s="133">
        <f t="shared" si="265"/>
        <v>1</v>
      </c>
      <c r="I428" s="31">
        <f t="shared" si="249"/>
        <v>0</v>
      </c>
      <c r="J428" s="31">
        <f t="shared" si="238"/>
        <v>0</v>
      </c>
      <c r="K428" s="163">
        <f t="shared" si="239"/>
        <v>0</v>
      </c>
      <c r="L428" s="163">
        <f t="shared" si="250"/>
        <v>0</v>
      </c>
      <c r="M428" s="163">
        <f t="shared" si="267"/>
        <v>0</v>
      </c>
      <c r="N428" s="163">
        <f t="shared" si="251"/>
        <v>0</v>
      </c>
      <c r="O428" s="84">
        <f t="shared" si="240"/>
        <v>0</v>
      </c>
      <c r="P428" s="31">
        <f t="shared" si="241"/>
        <v>0</v>
      </c>
      <c r="Q428" s="5"/>
      <c r="R428">
        <f t="shared" ca="1" si="252"/>
        <v>545</v>
      </c>
      <c r="S428" s="133">
        <f t="shared" ca="1" si="253"/>
        <v>112.92</v>
      </c>
      <c r="T428" s="132">
        <f t="shared" ca="1" si="242"/>
        <v>0</v>
      </c>
      <c r="U428" s="133">
        <f t="shared" ca="1" si="260"/>
        <v>1.9008342029825436E-4</v>
      </c>
      <c r="V428" s="31">
        <f t="shared" ca="1" si="254"/>
        <v>0</v>
      </c>
      <c r="W428" s="31">
        <f t="shared" ca="1" si="243"/>
        <v>0</v>
      </c>
      <c r="X428" s="163">
        <f t="shared" ca="1" si="261"/>
        <v>0</v>
      </c>
      <c r="Y428" s="163">
        <f t="shared" ca="1" si="262"/>
        <v>0</v>
      </c>
      <c r="Z428" s="163">
        <f t="shared" ca="1" si="255"/>
        <v>0</v>
      </c>
      <c r="AA428" s="163">
        <f t="shared" ca="1" si="263"/>
        <v>0</v>
      </c>
      <c r="AB428" s="84">
        <f t="shared" ca="1" si="244"/>
        <v>0</v>
      </c>
      <c r="AC428" s="160">
        <f t="shared" si="245"/>
        <v>0</v>
      </c>
      <c r="AD428" s="31">
        <f t="shared" ca="1" si="246"/>
        <v>0</v>
      </c>
      <c r="AE428" s="5"/>
      <c r="AF428" s="151">
        <f t="shared" ca="1" si="247"/>
        <v>0</v>
      </c>
      <c r="AG428" s="151">
        <f t="shared" ca="1" si="248"/>
        <v>0</v>
      </c>
      <c r="AH428" s="5"/>
      <c r="AI428" s="5"/>
      <c r="AS428" s="55">
        <f t="shared" si="256"/>
        <v>36</v>
      </c>
      <c r="AT428" s="56">
        <f t="shared" si="264"/>
        <v>425</v>
      </c>
      <c r="AU428" s="57">
        <f t="shared" si="268"/>
        <v>0.1257121937958913</v>
      </c>
      <c r="AV428" s="58">
        <f t="shared" si="257"/>
        <v>4.8675505653430484E-3</v>
      </c>
      <c r="AW428" s="59">
        <f t="shared" si="258"/>
        <v>1.004867550565343</v>
      </c>
      <c r="AX428" s="60">
        <f>PRODUCT(AW$4:AW428)</f>
        <v>7.8749788268765091</v>
      </c>
    </row>
    <row r="429" spans="5:50">
      <c r="E429">
        <f t="shared" si="266"/>
        <v>426</v>
      </c>
      <c r="F429" s="9">
        <f t="shared" si="259"/>
        <v>104.41666666666465</v>
      </c>
      <c r="G429" s="132">
        <f t="shared" si="237"/>
        <v>0</v>
      </c>
      <c r="H429" s="133">
        <f t="shared" si="265"/>
        <v>1</v>
      </c>
      <c r="I429" s="31">
        <f t="shared" si="249"/>
        <v>0</v>
      </c>
      <c r="J429" s="31">
        <f t="shared" si="238"/>
        <v>0</v>
      </c>
      <c r="K429" s="163">
        <f t="shared" si="239"/>
        <v>0</v>
      </c>
      <c r="L429" s="163">
        <f t="shared" si="250"/>
        <v>0</v>
      </c>
      <c r="M429" s="163">
        <f t="shared" si="267"/>
        <v>0</v>
      </c>
      <c r="N429" s="163">
        <f t="shared" si="251"/>
        <v>0</v>
      </c>
      <c r="O429" s="84">
        <f t="shared" si="240"/>
        <v>0</v>
      </c>
      <c r="P429" s="31">
        <f t="shared" si="241"/>
        <v>0</v>
      </c>
      <c r="Q429" s="5"/>
      <c r="R429">
        <f t="shared" ca="1" si="252"/>
        <v>546</v>
      </c>
      <c r="S429" s="133">
        <f t="shared" ca="1" si="253"/>
        <v>113</v>
      </c>
      <c r="T429" s="132">
        <f t="shared" ca="1" si="242"/>
        <v>0</v>
      </c>
      <c r="U429" s="133">
        <f t="shared" ca="1" si="260"/>
        <v>1.9008342029825436E-4</v>
      </c>
      <c r="V429" s="31">
        <f t="shared" ca="1" si="254"/>
        <v>0</v>
      </c>
      <c r="W429" s="31">
        <f t="shared" ca="1" si="243"/>
        <v>0</v>
      </c>
      <c r="X429" s="163">
        <f t="shared" ca="1" si="261"/>
        <v>0</v>
      </c>
      <c r="Y429" s="163">
        <f t="shared" ca="1" si="262"/>
        <v>0</v>
      </c>
      <c r="Z429" s="163">
        <f t="shared" ca="1" si="255"/>
        <v>0</v>
      </c>
      <c r="AA429" s="163">
        <f t="shared" ca="1" si="263"/>
        <v>0</v>
      </c>
      <c r="AB429" s="84">
        <f t="shared" ca="1" si="244"/>
        <v>0</v>
      </c>
      <c r="AC429" s="160">
        <f t="shared" si="245"/>
        <v>0</v>
      </c>
      <c r="AD429" s="31">
        <f t="shared" ca="1" si="246"/>
        <v>0</v>
      </c>
      <c r="AE429" s="5"/>
      <c r="AF429" s="151">
        <f t="shared" ca="1" si="247"/>
        <v>0</v>
      </c>
      <c r="AG429" s="151">
        <f t="shared" ca="1" si="248"/>
        <v>0</v>
      </c>
      <c r="AH429" s="5"/>
      <c r="AI429" s="5"/>
      <c r="AS429" s="55">
        <f t="shared" si="256"/>
        <v>36</v>
      </c>
      <c r="AT429" s="56">
        <f t="shared" si="264"/>
        <v>426</v>
      </c>
      <c r="AU429" s="57">
        <f t="shared" si="268"/>
        <v>0.12510028333590958</v>
      </c>
      <c r="AV429" s="58">
        <f t="shared" si="257"/>
        <v>4.8675505653430484E-3</v>
      </c>
      <c r="AW429" s="59">
        <f t="shared" si="258"/>
        <v>1.004867550565343</v>
      </c>
      <c r="AX429" s="60">
        <f>PRODUCT(AW$4:AW429)</f>
        <v>7.9133106845173362</v>
      </c>
    </row>
    <row r="430" spans="5:50">
      <c r="E430">
        <f t="shared" si="266"/>
        <v>427</v>
      </c>
      <c r="F430" s="9">
        <f t="shared" si="259"/>
        <v>104.49999999999798</v>
      </c>
      <c r="G430" s="132">
        <f t="shared" si="237"/>
        <v>0</v>
      </c>
      <c r="H430" s="133">
        <f t="shared" si="265"/>
        <v>1</v>
      </c>
      <c r="I430" s="31">
        <f t="shared" si="249"/>
        <v>0</v>
      </c>
      <c r="J430" s="31">
        <f t="shared" si="238"/>
        <v>0</v>
      </c>
      <c r="K430" s="163">
        <f t="shared" si="239"/>
        <v>0</v>
      </c>
      <c r="L430" s="163">
        <f t="shared" si="250"/>
        <v>0</v>
      </c>
      <c r="M430" s="163">
        <f t="shared" si="267"/>
        <v>0</v>
      </c>
      <c r="N430" s="163">
        <f t="shared" si="251"/>
        <v>0</v>
      </c>
      <c r="O430" s="84">
        <f t="shared" si="240"/>
        <v>0</v>
      </c>
      <c r="P430" s="31">
        <f t="shared" si="241"/>
        <v>0</v>
      </c>
      <c r="Q430" s="5"/>
      <c r="R430">
        <f t="shared" ca="1" si="252"/>
        <v>547</v>
      </c>
      <c r="S430" s="133">
        <f t="shared" ca="1" si="253"/>
        <v>113.08</v>
      </c>
      <c r="T430" s="132">
        <f t="shared" ca="1" si="242"/>
        <v>0</v>
      </c>
      <c r="U430" s="133">
        <f t="shared" ca="1" si="260"/>
        <v>1.9008342029825436E-4</v>
      </c>
      <c r="V430" s="31">
        <f t="shared" ca="1" si="254"/>
        <v>0</v>
      </c>
      <c r="W430" s="31">
        <f t="shared" ca="1" si="243"/>
        <v>0</v>
      </c>
      <c r="X430" s="163">
        <f t="shared" ca="1" si="261"/>
        <v>0</v>
      </c>
      <c r="Y430" s="163">
        <f t="shared" ca="1" si="262"/>
        <v>0</v>
      </c>
      <c r="Z430" s="163">
        <f t="shared" ca="1" si="255"/>
        <v>0</v>
      </c>
      <c r="AA430" s="163">
        <f t="shared" ca="1" si="263"/>
        <v>0</v>
      </c>
      <c r="AB430" s="84">
        <f t="shared" ca="1" si="244"/>
        <v>0</v>
      </c>
      <c r="AC430" s="160">
        <f t="shared" si="245"/>
        <v>0</v>
      </c>
      <c r="AD430" s="31">
        <f t="shared" ca="1" si="246"/>
        <v>0</v>
      </c>
      <c r="AE430" s="5"/>
      <c r="AF430" s="151">
        <f t="shared" ca="1" si="247"/>
        <v>0</v>
      </c>
      <c r="AG430" s="151">
        <f t="shared" ca="1" si="248"/>
        <v>0</v>
      </c>
      <c r="AH430" s="5"/>
      <c r="AI430" s="5"/>
      <c r="AS430" s="55">
        <f t="shared" si="256"/>
        <v>36</v>
      </c>
      <c r="AT430" s="56">
        <f t="shared" si="264"/>
        <v>427</v>
      </c>
      <c r="AU430" s="57">
        <f t="shared" si="268"/>
        <v>0.1244913513810333</v>
      </c>
      <c r="AV430" s="58">
        <f t="shared" si="257"/>
        <v>4.8675505653430484E-3</v>
      </c>
      <c r="AW430" s="59">
        <f t="shared" si="258"/>
        <v>1.004867550565343</v>
      </c>
      <c r="AX430" s="60">
        <f>PRODUCT(AW$4:AW430)</f>
        <v>7.9518291244134938</v>
      </c>
    </row>
    <row r="431" spans="5:50">
      <c r="E431">
        <f t="shared" si="266"/>
        <v>428</v>
      </c>
      <c r="F431" s="9">
        <f t="shared" si="259"/>
        <v>104.58333333333131</v>
      </c>
      <c r="G431" s="132">
        <f t="shared" si="237"/>
        <v>0</v>
      </c>
      <c r="H431" s="133">
        <f t="shared" si="265"/>
        <v>1</v>
      </c>
      <c r="I431" s="31">
        <f t="shared" si="249"/>
        <v>0</v>
      </c>
      <c r="J431" s="31">
        <f t="shared" si="238"/>
        <v>0</v>
      </c>
      <c r="K431" s="163">
        <f t="shared" si="239"/>
        <v>0</v>
      </c>
      <c r="L431" s="163">
        <f t="shared" si="250"/>
        <v>0</v>
      </c>
      <c r="M431" s="163">
        <f t="shared" si="267"/>
        <v>0</v>
      </c>
      <c r="N431" s="163">
        <f t="shared" si="251"/>
        <v>0</v>
      </c>
      <c r="O431" s="84">
        <f t="shared" si="240"/>
        <v>0</v>
      </c>
      <c r="P431" s="31">
        <f t="shared" si="241"/>
        <v>0</v>
      </c>
      <c r="Q431" s="5"/>
      <c r="R431">
        <f t="shared" ca="1" si="252"/>
        <v>548</v>
      </c>
      <c r="S431" s="133">
        <f t="shared" ca="1" si="253"/>
        <v>113.16</v>
      </c>
      <c r="T431" s="132">
        <f t="shared" ca="1" si="242"/>
        <v>0</v>
      </c>
      <c r="U431" s="133">
        <f t="shared" ca="1" si="260"/>
        <v>1.9008342029825436E-4</v>
      </c>
      <c r="V431" s="31">
        <f t="shared" ca="1" si="254"/>
        <v>0</v>
      </c>
      <c r="W431" s="31">
        <f t="shared" ca="1" si="243"/>
        <v>0</v>
      </c>
      <c r="X431" s="163">
        <f t="shared" ca="1" si="261"/>
        <v>0</v>
      </c>
      <c r="Y431" s="163">
        <f t="shared" ca="1" si="262"/>
        <v>0</v>
      </c>
      <c r="Z431" s="163">
        <f t="shared" ca="1" si="255"/>
        <v>0</v>
      </c>
      <c r="AA431" s="163">
        <f t="shared" ca="1" si="263"/>
        <v>0</v>
      </c>
      <c r="AB431" s="84">
        <f t="shared" ca="1" si="244"/>
        <v>0</v>
      </c>
      <c r="AC431" s="160">
        <f t="shared" si="245"/>
        <v>0</v>
      </c>
      <c r="AD431" s="31">
        <f t="shared" ca="1" si="246"/>
        <v>0</v>
      </c>
      <c r="AE431" s="5"/>
      <c r="AF431" s="151">
        <f t="shared" ca="1" si="247"/>
        <v>0</v>
      </c>
      <c r="AG431" s="151">
        <f t="shared" ca="1" si="248"/>
        <v>0</v>
      </c>
      <c r="AH431" s="5"/>
      <c r="AI431" s="5"/>
      <c r="AS431" s="55">
        <f t="shared" si="256"/>
        <v>36</v>
      </c>
      <c r="AT431" s="56">
        <f t="shared" si="264"/>
        <v>428</v>
      </c>
      <c r="AU431" s="57">
        <f t="shared" si="268"/>
        <v>0.12388538343323824</v>
      </c>
      <c r="AV431" s="58">
        <f t="shared" si="257"/>
        <v>4.8675505653430484E-3</v>
      </c>
      <c r="AW431" s="59">
        <f t="shared" si="258"/>
        <v>1.004867550565343</v>
      </c>
      <c r="AX431" s="60">
        <f>PRODUCT(AW$4:AW431)</f>
        <v>7.9905350547635443</v>
      </c>
    </row>
    <row r="432" spans="5:50">
      <c r="E432">
        <f t="shared" si="266"/>
        <v>429</v>
      </c>
      <c r="F432" s="9">
        <f t="shared" si="259"/>
        <v>104.66666666666464</v>
      </c>
      <c r="G432" s="132">
        <f t="shared" si="237"/>
        <v>0</v>
      </c>
      <c r="H432" s="133">
        <f t="shared" si="265"/>
        <v>1</v>
      </c>
      <c r="I432" s="31">
        <f t="shared" si="249"/>
        <v>0</v>
      </c>
      <c r="J432" s="31">
        <f t="shared" si="238"/>
        <v>0</v>
      </c>
      <c r="K432" s="163">
        <f t="shared" si="239"/>
        <v>0</v>
      </c>
      <c r="L432" s="163">
        <f t="shared" si="250"/>
        <v>0</v>
      </c>
      <c r="M432" s="163">
        <f t="shared" si="267"/>
        <v>0</v>
      </c>
      <c r="N432" s="163">
        <f t="shared" si="251"/>
        <v>0</v>
      </c>
      <c r="O432" s="84">
        <f t="shared" si="240"/>
        <v>0</v>
      </c>
      <c r="P432" s="31">
        <f t="shared" si="241"/>
        <v>0</v>
      </c>
      <c r="Q432" s="5"/>
      <c r="R432">
        <f t="shared" ca="1" si="252"/>
        <v>549</v>
      </c>
      <c r="S432" s="133">
        <f t="shared" ca="1" si="253"/>
        <v>113.24</v>
      </c>
      <c r="T432" s="132">
        <f t="shared" ca="1" si="242"/>
        <v>0</v>
      </c>
      <c r="U432" s="133">
        <f t="shared" ca="1" si="260"/>
        <v>1.9008342029825436E-4</v>
      </c>
      <c r="V432" s="31">
        <f t="shared" ca="1" si="254"/>
        <v>0</v>
      </c>
      <c r="W432" s="31">
        <f t="shared" ca="1" si="243"/>
        <v>0</v>
      </c>
      <c r="X432" s="163">
        <f t="shared" ca="1" si="261"/>
        <v>0</v>
      </c>
      <c r="Y432" s="163">
        <f t="shared" ca="1" si="262"/>
        <v>0</v>
      </c>
      <c r="Z432" s="163">
        <f t="shared" ca="1" si="255"/>
        <v>0</v>
      </c>
      <c r="AA432" s="163">
        <f t="shared" ca="1" si="263"/>
        <v>0</v>
      </c>
      <c r="AB432" s="84">
        <f t="shared" ca="1" si="244"/>
        <v>0</v>
      </c>
      <c r="AC432" s="160">
        <f t="shared" si="245"/>
        <v>0</v>
      </c>
      <c r="AD432" s="31">
        <f t="shared" ca="1" si="246"/>
        <v>0</v>
      </c>
      <c r="AE432" s="5"/>
      <c r="AF432" s="151">
        <f t="shared" ca="1" si="247"/>
        <v>0</v>
      </c>
      <c r="AG432" s="151">
        <f t="shared" ca="1" si="248"/>
        <v>0</v>
      </c>
      <c r="AH432" s="5"/>
      <c r="AI432" s="5"/>
      <c r="AS432" s="55">
        <f t="shared" si="256"/>
        <v>36</v>
      </c>
      <c r="AT432" s="56">
        <f t="shared" si="264"/>
        <v>429</v>
      </c>
      <c r="AU432" s="57">
        <f t="shared" si="268"/>
        <v>0.12328236506507004</v>
      </c>
      <c r="AV432" s="58">
        <f t="shared" si="257"/>
        <v>4.8675505653430484E-3</v>
      </c>
      <c r="AW432" s="59">
        <f t="shared" si="258"/>
        <v>1.004867550565343</v>
      </c>
      <c r="AX432" s="60">
        <f>PRODUCT(AW$4:AW432)</f>
        <v>8.0294293881867524</v>
      </c>
    </row>
    <row r="433" spans="5:50">
      <c r="E433">
        <f t="shared" si="266"/>
        <v>430</v>
      </c>
      <c r="F433" s="9">
        <f t="shared" si="259"/>
        <v>104.74999999999797</v>
      </c>
      <c r="G433" s="132">
        <f t="shared" si="237"/>
        <v>0</v>
      </c>
      <c r="H433" s="133">
        <f t="shared" si="265"/>
        <v>1</v>
      </c>
      <c r="I433" s="31">
        <f t="shared" si="249"/>
        <v>0</v>
      </c>
      <c r="J433" s="31">
        <f t="shared" si="238"/>
        <v>0</v>
      </c>
      <c r="K433" s="163">
        <f t="shared" si="239"/>
        <v>0</v>
      </c>
      <c r="L433" s="163">
        <f t="shared" si="250"/>
        <v>0</v>
      </c>
      <c r="M433" s="163">
        <f t="shared" si="267"/>
        <v>0</v>
      </c>
      <c r="N433" s="163">
        <f t="shared" si="251"/>
        <v>0</v>
      </c>
      <c r="O433" s="84">
        <f t="shared" si="240"/>
        <v>0</v>
      </c>
      <c r="P433" s="31">
        <f t="shared" si="241"/>
        <v>0</v>
      </c>
      <c r="Q433" s="5"/>
      <c r="R433">
        <f t="shared" ca="1" si="252"/>
        <v>550</v>
      </c>
      <c r="S433" s="133">
        <f t="shared" ca="1" si="253"/>
        <v>113.32</v>
      </c>
      <c r="T433" s="132">
        <f t="shared" ca="1" si="242"/>
        <v>0</v>
      </c>
      <c r="U433" s="133">
        <f t="shared" ca="1" si="260"/>
        <v>1.9008342029825436E-4</v>
      </c>
      <c r="V433" s="31">
        <f t="shared" ca="1" si="254"/>
        <v>0</v>
      </c>
      <c r="W433" s="31">
        <f t="shared" ca="1" si="243"/>
        <v>0</v>
      </c>
      <c r="X433" s="163">
        <f t="shared" ca="1" si="261"/>
        <v>0</v>
      </c>
      <c r="Y433" s="163">
        <f t="shared" ca="1" si="262"/>
        <v>0</v>
      </c>
      <c r="Z433" s="163">
        <f t="shared" ca="1" si="255"/>
        <v>0</v>
      </c>
      <c r="AA433" s="163">
        <f t="shared" ca="1" si="263"/>
        <v>0</v>
      </c>
      <c r="AB433" s="84">
        <f t="shared" ca="1" si="244"/>
        <v>0</v>
      </c>
      <c r="AC433" s="160">
        <f t="shared" si="245"/>
        <v>0</v>
      </c>
      <c r="AD433" s="31">
        <f t="shared" ca="1" si="246"/>
        <v>0</v>
      </c>
      <c r="AE433" s="5"/>
      <c r="AF433" s="151">
        <f t="shared" ca="1" si="247"/>
        <v>0</v>
      </c>
      <c r="AG433" s="151">
        <f t="shared" ca="1" si="248"/>
        <v>0</v>
      </c>
      <c r="AH433" s="5"/>
      <c r="AI433" s="5"/>
      <c r="AS433" s="55">
        <f t="shared" si="256"/>
        <v>36</v>
      </c>
      <c r="AT433" s="56">
        <f t="shared" si="264"/>
        <v>430</v>
      </c>
      <c r="AU433" s="57">
        <f t="shared" si="268"/>
        <v>0.12268228191930072</v>
      </c>
      <c r="AV433" s="58">
        <f t="shared" si="257"/>
        <v>4.8675505653430484E-3</v>
      </c>
      <c r="AW433" s="59">
        <f t="shared" si="258"/>
        <v>1.004867550565343</v>
      </c>
      <c r="AX433" s="60">
        <f>PRODUCT(AW$4:AW433)</f>
        <v>8.0685130417446036</v>
      </c>
    </row>
    <row r="434" spans="5:50">
      <c r="E434">
        <f t="shared" si="266"/>
        <v>431</v>
      </c>
      <c r="F434" s="9">
        <f t="shared" si="259"/>
        <v>104.8333333333313</v>
      </c>
      <c r="G434" s="132">
        <f t="shared" si="237"/>
        <v>0</v>
      </c>
      <c r="H434" s="133">
        <f t="shared" si="265"/>
        <v>1</v>
      </c>
      <c r="I434" s="31">
        <f t="shared" si="249"/>
        <v>0</v>
      </c>
      <c r="J434" s="31">
        <f t="shared" si="238"/>
        <v>0</v>
      </c>
      <c r="K434" s="163">
        <f t="shared" si="239"/>
        <v>0</v>
      </c>
      <c r="L434" s="163">
        <f t="shared" si="250"/>
        <v>0</v>
      </c>
      <c r="M434" s="163">
        <f t="shared" si="267"/>
        <v>0</v>
      </c>
      <c r="N434" s="163">
        <f t="shared" si="251"/>
        <v>0</v>
      </c>
      <c r="O434" s="84">
        <f t="shared" si="240"/>
        <v>0</v>
      </c>
      <c r="P434" s="31">
        <f t="shared" si="241"/>
        <v>0</v>
      </c>
      <c r="Q434" s="5"/>
      <c r="R434">
        <f t="shared" ca="1" si="252"/>
        <v>551</v>
      </c>
      <c r="S434" s="133">
        <f t="shared" ca="1" si="253"/>
        <v>113.4</v>
      </c>
      <c r="T434" s="132">
        <f t="shared" ca="1" si="242"/>
        <v>0</v>
      </c>
      <c r="U434" s="133">
        <f t="shared" ca="1" si="260"/>
        <v>1.9008342029825436E-4</v>
      </c>
      <c r="V434" s="31">
        <f t="shared" ca="1" si="254"/>
        <v>0</v>
      </c>
      <c r="W434" s="31">
        <f t="shared" ca="1" si="243"/>
        <v>0</v>
      </c>
      <c r="X434" s="163">
        <f t="shared" ca="1" si="261"/>
        <v>0</v>
      </c>
      <c r="Y434" s="163">
        <f t="shared" ca="1" si="262"/>
        <v>0</v>
      </c>
      <c r="Z434" s="163">
        <f t="shared" ca="1" si="255"/>
        <v>0</v>
      </c>
      <c r="AA434" s="163">
        <f t="shared" ca="1" si="263"/>
        <v>0</v>
      </c>
      <c r="AB434" s="84">
        <f t="shared" ca="1" si="244"/>
        <v>0</v>
      </c>
      <c r="AC434" s="160">
        <f t="shared" si="245"/>
        <v>0</v>
      </c>
      <c r="AD434" s="31">
        <f t="shared" ca="1" si="246"/>
        <v>0</v>
      </c>
      <c r="AE434" s="5"/>
      <c r="AF434" s="151">
        <f t="shared" ca="1" si="247"/>
        <v>0</v>
      </c>
      <c r="AG434" s="151">
        <f t="shared" ca="1" si="248"/>
        <v>0</v>
      </c>
      <c r="AH434" s="5"/>
      <c r="AI434" s="5"/>
      <c r="AS434" s="55">
        <f t="shared" si="256"/>
        <v>36</v>
      </c>
      <c r="AT434" s="56">
        <f t="shared" si="264"/>
        <v>431</v>
      </c>
      <c r="AU434" s="57">
        <f t="shared" si="268"/>
        <v>0.12208511970858686</v>
      </c>
      <c r="AV434" s="58">
        <f t="shared" si="257"/>
        <v>4.8675505653430484E-3</v>
      </c>
      <c r="AW434" s="59">
        <f t="shared" si="258"/>
        <v>1.004867550565343</v>
      </c>
      <c r="AX434" s="60">
        <f>PRODUCT(AW$4:AW434)</f>
        <v>8.1077869369624249</v>
      </c>
    </row>
    <row r="435" spans="5:50">
      <c r="E435">
        <f t="shared" si="266"/>
        <v>432</v>
      </c>
      <c r="F435" s="9">
        <f t="shared" si="259"/>
        <v>104.91666666666463</v>
      </c>
      <c r="G435" s="132">
        <f t="shared" si="237"/>
        <v>0</v>
      </c>
      <c r="H435" s="133">
        <f t="shared" si="265"/>
        <v>1</v>
      </c>
      <c r="I435" s="31">
        <f t="shared" si="249"/>
        <v>0</v>
      </c>
      <c r="J435" s="31">
        <f t="shared" si="238"/>
        <v>0</v>
      </c>
      <c r="K435" s="163">
        <f t="shared" si="239"/>
        <v>0</v>
      </c>
      <c r="L435" s="163">
        <f t="shared" si="250"/>
        <v>0</v>
      </c>
      <c r="M435" s="163">
        <f t="shared" si="267"/>
        <v>0</v>
      </c>
      <c r="N435" s="163">
        <f t="shared" si="251"/>
        <v>0</v>
      </c>
      <c r="O435" s="84">
        <f t="shared" si="240"/>
        <v>0</v>
      </c>
      <c r="P435" s="31">
        <f t="shared" si="241"/>
        <v>0</v>
      </c>
      <c r="Q435" s="5"/>
      <c r="R435">
        <f t="shared" ca="1" si="252"/>
        <v>552</v>
      </c>
      <c r="S435" s="133">
        <f t="shared" ca="1" si="253"/>
        <v>113.48</v>
      </c>
      <c r="T435" s="132">
        <f t="shared" ca="1" si="242"/>
        <v>0</v>
      </c>
      <c r="U435" s="133">
        <f t="shared" ca="1" si="260"/>
        <v>1.9008342029825436E-4</v>
      </c>
      <c r="V435" s="31">
        <f t="shared" ca="1" si="254"/>
        <v>0</v>
      </c>
      <c r="W435" s="31">
        <f t="shared" ca="1" si="243"/>
        <v>0</v>
      </c>
      <c r="X435" s="163">
        <f t="shared" ca="1" si="261"/>
        <v>0</v>
      </c>
      <c r="Y435" s="163">
        <f t="shared" ca="1" si="262"/>
        <v>0</v>
      </c>
      <c r="Z435" s="163">
        <f t="shared" ca="1" si="255"/>
        <v>0</v>
      </c>
      <c r="AA435" s="163">
        <f t="shared" ca="1" si="263"/>
        <v>0</v>
      </c>
      <c r="AB435" s="84">
        <f t="shared" ca="1" si="244"/>
        <v>0</v>
      </c>
      <c r="AC435" s="160">
        <f t="shared" si="245"/>
        <v>0</v>
      </c>
      <c r="AD435" s="31">
        <f t="shared" ca="1" si="246"/>
        <v>0</v>
      </c>
      <c r="AE435" s="5"/>
      <c r="AF435" s="151">
        <f t="shared" ca="1" si="247"/>
        <v>0</v>
      </c>
      <c r="AG435" s="151">
        <f t="shared" ca="1" si="248"/>
        <v>0</v>
      </c>
      <c r="AH435" s="5"/>
      <c r="AI435" s="5"/>
      <c r="AS435" s="55">
        <f t="shared" si="256"/>
        <v>36</v>
      </c>
      <c r="AT435" s="56">
        <f t="shared" si="264"/>
        <v>432</v>
      </c>
      <c r="AU435" s="57">
        <f t="shared" si="268"/>
        <v>0.12149086421512936</v>
      </c>
      <c r="AV435" s="58">
        <f t="shared" si="257"/>
        <v>4.8675505653430484E-3</v>
      </c>
      <c r="AW435" s="59">
        <f t="shared" si="258"/>
        <v>1.004867550565343</v>
      </c>
      <c r="AX435" s="60">
        <f>PRODUCT(AW$4:AW435)</f>
        <v>8.1472519998511181</v>
      </c>
    </row>
    <row r="436" spans="5:50">
      <c r="E436">
        <f t="shared" si="266"/>
        <v>433</v>
      </c>
      <c r="F436" s="9">
        <f t="shared" si="259"/>
        <v>104.99999999999795</v>
      </c>
      <c r="G436" s="132">
        <f t="shared" si="237"/>
        <v>0</v>
      </c>
      <c r="H436" s="133">
        <f t="shared" si="265"/>
        <v>1</v>
      </c>
      <c r="I436" s="31">
        <f t="shared" si="249"/>
        <v>0</v>
      </c>
      <c r="J436" s="31">
        <f t="shared" si="238"/>
        <v>0</v>
      </c>
      <c r="K436" s="163">
        <f t="shared" si="239"/>
        <v>0</v>
      </c>
      <c r="L436" s="163">
        <f t="shared" si="250"/>
        <v>0</v>
      </c>
      <c r="M436" s="163">
        <f t="shared" si="267"/>
        <v>0</v>
      </c>
      <c r="N436" s="163">
        <f t="shared" si="251"/>
        <v>0</v>
      </c>
      <c r="O436" s="84">
        <f t="shared" si="240"/>
        <v>0</v>
      </c>
      <c r="P436" s="31">
        <f t="shared" si="241"/>
        <v>0</v>
      </c>
      <c r="Q436" s="5"/>
      <c r="R436">
        <f t="shared" ca="1" si="252"/>
        <v>553</v>
      </c>
      <c r="S436" s="133">
        <f t="shared" ca="1" si="253"/>
        <v>113.56</v>
      </c>
      <c r="T436" s="132">
        <f t="shared" ca="1" si="242"/>
        <v>0</v>
      </c>
      <c r="U436" s="133">
        <f t="shared" ca="1" si="260"/>
        <v>1.9008342029825436E-4</v>
      </c>
      <c r="V436" s="31">
        <f t="shared" ca="1" si="254"/>
        <v>0</v>
      </c>
      <c r="W436" s="31">
        <f t="shared" ca="1" si="243"/>
        <v>0</v>
      </c>
      <c r="X436" s="163">
        <f t="shared" ca="1" si="261"/>
        <v>0</v>
      </c>
      <c r="Y436" s="163">
        <f t="shared" ca="1" si="262"/>
        <v>0</v>
      </c>
      <c r="Z436" s="163">
        <f t="shared" ca="1" si="255"/>
        <v>0</v>
      </c>
      <c r="AA436" s="163">
        <f t="shared" ca="1" si="263"/>
        <v>0</v>
      </c>
      <c r="AB436" s="84">
        <f t="shared" ca="1" si="244"/>
        <v>0</v>
      </c>
      <c r="AC436" s="160">
        <f t="shared" si="245"/>
        <v>0</v>
      </c>
      <c r="AD436" s="31">
        <f t="shared" ca="1" si="246"/>
        <v>0</v>
      </c>
      <c r="AE436" s="5"/>
      <c r="AF436" s="151">
        <f t="shared" ca="1" si="247"/>
        <v>0</v>
      </c>
      <c r="AG436" s="151">
        <f t="shared" ca="1" si="248"/>
        <v>0</v>
      </c>
      <c r="AH436" s="5"/>
      <c r="AI436" s="5"/>
      <c r="AS436" s="55">
        <f t="shared" si="256"/>
        <v>37</v>
      </c>
      <c r="AT436" s="56">
        <f t="shared" si="264"/>
        <v>433</v>
      </c>
      <c r="AU436" s="57">
        <f t="shared" si="268"/>
        <v>0.120899501290335</v>
      </c>
      <c r="AV436" s="58">
        <f t="shared" si="257"/>
        <v>4.8675505653430484E-3</v>
      </c>
      <c r="AW436" s="59">
        <f t="shared" si="258"/>
        <v>1.004867550565343</v>
      </c>
      <c r="AX436" s="60">
        <f>PRODUCT(AW$4:AW436)</f>
        <v>8.1869091609289857</v>
      </c>
    </row>
    <row r="437" spans="5:50">
      <c r="E437">
        <f t="shared" si="266"/>
        <v>434</v>
      </c>
      <c r="F437" s="9">
        <f t="shared" si="259"/>
        <v>105.08333333333128</v>
      </c>
      <c r="G437" s="132">
        <f t="shared" si="237"/>
        <v>0</v>
      </c>
      <c r="H437" s="133">
        <f t="shared" si="265"/>
        <v>1</v>
      </c>
      <c r="I437" s="31">
        <f t="shared" si="249"/>
        <v>0</v>
      </c>
      <c r="J437" s="31">
        <f t="shared" si="238"/>
        <v>0</v>
      </c>
      <c r="K437" s="163">
        <f t="shared" si="239"/>
        <v>0</v>
      </c>
      <c r="L437" s="163">
        <f t="shared" si="250"/>
        <v>0</v>
      </c>
      <c r="M437" s="163">
        <f t="shared" si="267"/>
        <v>0</v>
      </c>
      <c r="N437" s="163">
        <f t="shared" si="251"/>
        <v>0</v>
      </c>
      <c r="O437" s="84">
        <f t="shared" si="240"/>
        <v>0</v>
      </c>
      <c r="P437" s="31">
        <f t="shared" si="241"/>
        <v>0</v>
      </c>
      <c r="Q437" s="5"/>
      <c r="R437">
        <f t="shared" ca="1" si="252"/>
        <v>554</v>
      </c>
      <c r="S437" s="133">
        <f t="shared" ca="1" si="253"/>
        <v>113.64</v>
      </c>
      <c r="T437" s="132">
        <f t="shared" ca="1" si="242"/>
        <v>0</v>
      </c>
      <c r="U437" s="133">
        <f t="shared" ca="1" si="260"/>
        <v>1.9008342029825436E-4</v>
      </c>
      <c r="V437" s="31">
        <f t="shared" ca="1" si="254"/>
        <v>0</v>
      </c>
      <c r="W437" s="31">
        <f t="shared" ca="1" si="243"/>
        <v>0</v>
      </c>
      <c r="X437" s="163">
        <f t="shared" ca="1" si="261"/>
        <v>0</v>
      </c>
      <c r="Y437" s="163">
        <f t="shared" ca="1" si="262"/>
        <v>0</v>
      </c>
      <c r="Z437" s="163">
        <f t="shared" ca="1" si="255"/>
        <v>0</v>
      </c>
      <c r="AA437" s="163">
        <f t="shared" ca="1" si="263"/>
        <v>0</v>
      </c>
      <c r="AB437" s="84">
        <f t="shared" ca="1" si="244"/>
        <v>0</v>
      </c>
      <c r="AC437" s="160">
        <f t="shared" si="245"/>
        <v>0</v>
      </c>
      <c r="AD437" s="31">
        <f t="shared" ca="1" si="246"/>
        <v>0</v>
      </c>
      <c r="AE437" s="5"/>
      <c r="AF437" s="151">
        <f t="shared" ca="1" si="247"/>
        <v>0</v>
      </c>
      <c r="AG437" s="151">
        <f t="shared" ca="1" si="248"/>
        <v>0</v>
      </c>
      <c r="AH437" s="5"/>
      <c r="AI437" s="5"/>
      <c r="AS437" s="55">
        <f t="shared" si="256"/>
        <v>37</v>
      </c>
      <c r="AT437" s="56">
        <f t="shared" si="264"/>
        <v>434</v>
      </c>
      <c r="AU437" s="57">
        <f t="shared" si="268"/>
        <v>0.12031101685447954</v>
      </c>
      <c r="AV437" s="58">
        <f t="shared" si="257"/>
        <v>4.8675505653430484E-3</v>
      </c>
      <c r="AW437" s="59">
        <f t="shared" si="258"/>
        <v>1.004867550565343</v>
      </c>
      <c r="AX437" s="60">
        <f>PRODUCT(AW$4:AW437)</f>
        <v>8.2267593552436775</v>
      </c>
    </row>
    <row r="438" spans="5:50">
      <c r="E438">
        <f t="shared" si="266"/>
        <v>435</v>
      </c>
      <c r="F438" s="9">
        <f t="shared" si="259"/>
        <v>105.16666666666461</v>
      </c>
      <c r="G438" s="132">
        <f t="shared" si="237"/>
        <v>0</v>
      </c>
      <c r="H438" s="133">
        <f t="shared" si="265"/>
        <v>1</v>
      </c>
      <c r="I438" s="31">
        <f t="shared" si="249"/>
        <v>0</v>
      </c>
      <c r="J438" s="31">
        <f t="shared" si="238"/>
        <v>0</v>
      </c>
      <c r="K438" s="163">
        <f t="shared" si="239"/>
        <v>0</v>
      </c>
      <c r="L438" s="163">
        <f t="shared" si="250"/>
        <v>0</v>
      </c>
      <c r="M438" s="163">
        <f t="shared" si="267"/>
        <v>0</v>
      </c>
      <c r="N438" s="163">
        <f t="shared" si="251"/>
        <v>0</v>
      </c>
      <c r="O438" s="84">
        <f t="shared" si="240"/>
        <v>0</v>
      </c>
      <c r="P438" s="31">
        <f t="shared" si="241"/>
        <v>0</v>
      </c>
      <c r="Q438" s="5"/>
      <c r="R438">
        <f t="shared" ca="1" si="252"/>
        <v>555</v>
      </c>
      <c r="S438" s="133">
        <f t="shared" ca="1" si="253"/>
        <v>113.72</v>
      </c>
      <c r="T438" s="132">
        <f t="shared" ca="1" si="242"/>
        <v>0</v>
      </c>
      <c r="U438" s="133">
        <f t="shared" ca="1" si="260"/>
        <v>1.9008342029825436E-4</v>
      </c>
      <c r="V438" s="31">
        <f t="shared" ca="1" si="254"/>
        <v>0</v>
      </c>
      <c r="W438" s="31">
        <f t="shared" ca="1" si="243"/>
        <v>0</v>
      </c>
      <c r="X438" s="163">
        <f t="shared" ca="1" si="261"/>
        <v>0</v>
      </c>
      <c r="Y438" s="163">
        <f t="shared" ca="1" si="262"/>
        <v>0</v>
      </c>
      <c r="Z438" s="163">
        <f t="shared" ca="1" si="255"/>
        <v>0</v>
      </c>
      <c r="AA438" s="163">
        <f t="shared" ca="1" si="263"/>
        <v>0</v>
      </c>
      <c r="AB438" s="84">
        <f t="shared" ca="1" si="244"/>
        <v>0</v>
      </c>
      <c r="AC438" s="160">
        <f t="shared" si="245"/>
        <v>0</v>
      </c>
      <c r="AD438" s="31">
        <f t="shared" ca="1" si="246"/>
        <v>0</v>
      </c>
      <c r="AE438" s="5"/>
      <c r="AF438" s="151">
        <f t="shared" ca="1" si="247"/>
        <v>0</v>
      </c>
      <c r="AG438" s="151">
        <f t="shared" ca="1" si="248"/>
        <v>0</v>
      </c>
      <c r="AH438" s="5"/>
      <c r="AI438" s="5"/>
      <c r="AS438" s="55">
        <f t="shared" si="256"/>
        <v>37</v>
      </c>
      <c r="AT438" s="56">
        <f t="shared" si="264"/>
        <v>435</v>
      </c>
      <c r="AU438" s="57">
        <f t="shared" si="268"/>
        <v>0.11972539689637252</v>
      </c>
      <c r="AV438" s="58">
        <f t="shared" si="257"/>
        <v>4.8675505653430484E-3</v>
      </c>
      <c r="AW438" s="59">
        <f t="shared" si="258"/>
        <v>1.004867550565343</v>
      </c>
      <c r="AX438" s="60">
        <f>PRODUCT(AW$4:AW438)</f>
        <v>8.2668035223942358</v>
      </c>
    </row>
    <row r="439" spans="5:50">
      <c r="E439">
        <f t="shared" si="266"/>
        <v>436</v>
      </c>
      <c r="F439" s="9">
        <f t="shared" si="259"/>
        <v>105.24999999999794</v>
      </c>
      <c r="G439" s="132">
        <f t="shared" si="237"/>
        <v>0</v>
      </c>
      <c r="H439" s="133">
        <f t="shared" si="265"/>
        <v>1</v>
      </c>
      <c r="I439" s="31">
        <f t="shared" si="249"/>
        <v>0</v>
      </c>
      <c r="J439" s="31">
        <f t="shared" si="238"/>
        <v>0</v>
      </c>
      <c r="K439" s="163">
        <f t="shared" si="239"/>
        <v>0</v>
      </c>
      <c r="L439" s="163">
        <f t="shared" si="250"/>
        <v>0</v>
      </c>
      <c r="M439" s="163">
        <f t="shared" si="267"/>
        <v>0</v>
      </c>
      <c r="N439" s="163">
        <f t="shared" si="251"/>
        <v>0</v>
      </c>
      <c r="O439" s="84">
        <f t="shared" si="240"/>
        <v>0</v>
      </c>
      <c r="P439" s="31">
        <f t="shared" si="241"/>
        <v>0</v>
      </c>
      <c r="Q439" s="5"/>
      <c r="R439">
        <f t="shared" ca="1" si="252"/>
        <v>556</v>
      </c>
      <c r="S439" s="133">
        <f t="shared" ca="1" si="253"/>
        <v>113.8</v>
      </c>
      <c r="T439" s="132">
        <f t="shared" ca="1" si="242"/>
        <v>0</v>
      </c>
      <c r="U439" s="133">
        <f t="shared" ca="1" si="260"/>
        <v>1.9008342029825436E-4</v>
      </c>
      <c r="V439" s="31">
        <f t="shared" ca="1" si="254"/>
        <v>0</v>
      </c>
      <c r="W439" s="31">
        <f t="shared" ca="1" si="243"/>
        <v>0</v>
      </c>
      <c r="X439" s="163">
        <f t="shared" ca="1" si="261"/>
        <v>0</v>
      </c>
      <c r="Y439" s="163">
        <f t="shared" ca="1" si="262"/>
        <v>0</v>
      </c>
      <c r="Z439" s="163">
        <f t="shared" ca="1" si="255"/>
        <v>0</v>
      </c>
      <c r="AA439" s="163">
        <f t="shared" ca="1" si="263"/>
        <v>0</v>
      </c>
      <c r="AB439" s="84">
        <f t="shared" ca="1" si="244"/>
        <v>0</v>
      </c>
      <c r="AC439" s="160">
        <f t="shared" si="245"/>
        <v>0</v>
      </c>
      <c r="AD439" s="31">
        <f t="shared" ca="1" si="246"/>
        <v>0</v>
      </c>
      <c r="AE439" s="5"/>
      <c r="AF439" s="151">
        <f t="shared" ca="1" si="247"/>
        <v>0</v>
      </c>
      <c r="AG439" s="151">
        <f t="shared" ca="1" si="248"/>
        <v>0</v>
      </c>
      <c r="AH439" s="5"/>
      <c r="AI439" s="5"/>
      <c r="AS439" s="55">
        <f t="shared" si="256"/>
        <v>37</v>
      </c>
      <c r="AT439" s="56">
        <f t="shared" si="264"/>
        <v>436</v>
      </c>
      <c r="AU439" s="57">
        <f t="shared" si="268"/>
        <v>0.11914262747302366</v>
      </c>
      <c r="AV439" s="58">
        <f t="shared" si="257"/>
        <v>4.8675505653430484E-3</v>
      </c>
      <c r="AW439" s="59">
        <f t="shared" si="258"/>
        <v>1.004867550565343</v>
      </c>
      <c r="AX439" s="60">
        <f>PRODUCT(AW$4:AW439)</f>
        <v>8.3070426065532459</v>
      </c>
    </row>
    <row r="440" spans="5:50">
      <c r="E440">
        <f t="shared" si="266"/>
        <v>437</v>
      </c>
      <c r="F440" s="9">
        <f t="shared" si="259"/>
        <v>105.33333333333127</v>
      </c>
      <c r="G440" s="132">
        <f t="shared" si="237"/>
        <v>0</v>
      </c>
      <c r="H440" s="133">
        <f t="shared" si="265"/>
        <v>1</v>
      </c>
      <c r="I440" s="31">
        <f t="shared" si="249"/>
        <v>0</v>
      </c>
      <c r="J440" s="31">
        <f t="shared" si="238"/>
        <v>0</v>
      </c>
      <c r="K440" s="163">
        <f t="shared" si="239"/>
        <v>0</v>
      </c>
      <c r="L440" s="163">
        <f t="shared" si="250"/>
        <v>0</v>
      </c>
      <c r="M440" s="163">
        <f t="shared" si="267"/>
        <v>0</v>
      </c>
      <c r="N440" s="163">
        <f t="shared" si="251"/>
        <v>0</v>
      </c>
      <c r="O440" s="84">
        <f t="shared" si="240"/>
        <v>0</v>
      </c>
      <c r="P440" s="31">
        <f t="shared" si="241"/>
        <v>0</v>
      </c>
      <c r="Q440" s="5"/>
      <c r="R440">
        <f t="shared" ca="1" si="252"/>
        <v>557</v>
      </c>
      <c r="S440" s="133">
        <f t="shared" ca="1" si="253"/>
        <v>113.88</v>
      </c>
      <c r="T440" s="132">
        <f t="shared" ca="1" si="242"/>
        <v>0</v>
      </c>
      <c r="U440" s="133">
        <f t="shared" ca="1" si="260"/>
        <v>1.9008342029825436E-4</v>
      </c>
      <c r="V440" s="31">
        <f t="shared" ca="1" si="254"/>
        <v>0</v>
      </c>
      <c r="W440" s="31">
        <f t="shared" ca="1" si="243"/>
        <v>0</v>
      </c>
      <c r="X440" s="163">
        <f t="shared" ca="1" si="261"/>
        <v>0</v>
      </c>
      <c r="Y440" s="163">
        <f t="shared" ca="1" si="262"/>
        <v>0</v>
      </c>
      <c r="Z440" s="163">
        <f t="shared" ca="1" si="255"/>
        <v>0</v>
      </c>
      <c r="AA440" s="163">
        <f t="shared" ca="1" si="263"/>
        <v>0</v>
      </c>
      <c r="AB440" s="84">
        <f t="shared" ca="1" si="244"/>
        <v>0</v>
      </c>
      <c r="AC440" s="160">
        <f t="shared" si="245"/>
        <v>0</v>
      </c>
      <c r="AD440" s="31">
        <f t="shared" ca="1" si="246"/>
        <v>0</v>
      </c>
      <c r="AE440" s="5"/>
      <c r="AF440" s="151">
        <f t="shared" ca="1" si="247"/>
        <v>0</v>
      </c>
      <c r="AG440" s="151">
        <f t="shared" ca="1" si="248"/>
        <v>0</v>
      </c>
      <c r="AH440" s="5"/>
      <c r="AI440" s="5"/>
      <c r="AS440" s="55">
        <f t="shared" si="256"/>
        <v>37</v>
      </c>
      <c r="AT440" s="56">
        <f t="shared" si="264"/>
        <v>437</v>
      </c>
      <c r="AU440" s="57">
        <f t="shared" si="268"/>
        <v>0.11856269470931088</v>
      </c>
      <c r="AV440" s="58">
        <f t="shared" si="257"/>
        <v>4.8675505653430484E-3</v>
      </c>
      <c r="AW440" s="59">
        <f t="shared" si="258"/>
        <v>1.004867550565343</v>
      </c>
      <c r="AX440" s="60">
        <f>PRODUCT(AW$4:AW440)</f>
        <v>8.3474775564891033</v>
      </c>
    </row>
    <row r="441" spans="5:50">
      <c r="E441">
        <f t="shared" si="266"/>
        <v>438</v>
      </c>
      <c r="F441" s="9">
        <f t="shared" si="259"/>
        <v>105.4166666666646</v>
      </c>
      <c r="G441" s="132">
        <f t="shared" si="237"/>
        <v>0</v>
      </c>
      <c r="H441" s="133">
        <f t="shared" si="265"/>
        <v>1</v>
      </c>
      <c r="I441" s="31">
        <f t="shared" si="249"/>
        <v>0</v>
      </c>
      <c r="J441" s="31">
        <f t="shared" si="238"/>
        <v>0</v>
      </c>
      <c r="K441" s="163">
        <f t="shared" si="239"/>
        <v>0</v>
      </c>
      <c r="L441" s="163">
        <f t="shared" si="250"/>
        <v>0</v>
      </c>
      <c r="M441" s="163">
        <f t="shared" si="267"/>
        <v>0</v>
      </c>
      <c r="N441" s="163">
        <f t="shared" si="251"/>
        <v>0</v>
      </c>
      <c r="O441" s="84">
        <f t="shared" si="240"/>
        <v>0</v>
      </c>
      <c r="P441" s="31">
        <f t="shared" si="241"/>
        <v>0</v>
      </c>
      <c r="Q441" s="5"/>
      <c r="R441">
        <f t="shared" ca="1" si="252"/>
        <v>558</v>
      </c>
      <c r="S441" s="133">
        <f t="shared" ca="1" si="253"/>
        <v>113.96</v>
      </c>
      <c r="T441" s="132">
        <f t="shared" ca="1" si="242"/>
        <v>0</v>
      </c>
      <c r="U441" s="133">
        <f t="shared" ca="1" si="260"/>
        <v>1.9008342029825436E-4</v>
      </c>
      <c r="V441" s="31">
        <f t="shared" ca="1" si="254"/>
        <v>0</v>
      </c>
      <c r="W441" s="31">
        <f t="shared" ca="1" si="243"/>
        <v>0</v>
      </c>
      <c r="X441" s="163">
        <f t="shared" ca="1" si="261"/>
        <v>0</v>
      </c>
      <c r="Y441" s="163">
        <f t="shared" ca="1" si="262"/>
        <v>0</v>
      </c>
      <c r="Z441" s="163">
        <f t="shared" ca="1" si="255"/>
        <v>0</v>
      </c>
      <c r="AA441" s="163">
        <f t="shared" ca="1" si="263"/>
        <v>0</v>
      </c>
      <c r="AB441" s="84">
        <f t="shared" ca="1" si="244"/>
        <v>0</v>
      </c>
      <c r="AC441" s="160">
        <f t="shared" si="245"/>
        <v>0</v>
      </c>
      <c r="AD441" s="31">
        <f t="shared" ca="1" si="246"/>
        <v>0</v>
      </c>
      <c r="AE441" s="5"/>
      <c r="AF441" s="151">
        <f t="shared" ca="1" si="247"/>
        <v>0</v>
      </c>
      <c r="AG441" s="151">
        <f t="shared" ca="1" si="248"/>
        <v>0</v>
      </c>
      <c r="AH441" s="5"/>
      <c r="AI441" s="5"/>
      <c r="AS441" s="55">
        <f t="shared" si="256"/>
        <v>37</v>
      </c>
      <c r="AT441" s="56">
        <f t="shared" si="264"/>
        <v>438</v>
      </c>
      <c r="AU441" s="57">
        <f t="shared" si="268"/>
        <v>0.11798558479764998</v>
      </c>
      <c r="AV441" s="58">
        <f t="shared" si="257"/>
        <v>4.8675505653430484E-3</v>
      </c>
      <c r="AW441" s="59">
        <f t="shared" si="258"/>
        <v>1.004867550565343</v>
      </c>
      <c r="AX441" s="60">
        <f>PRODUCT(AW$4:AW441)</f>
        <v>8.3881093255883794</v>
      </c>
    </row>
    <row r="442" spans="5:50">
      <c r="E442">
        <f t="shared" si="266"/>
        <v>439</v>
      </c>
      <c r="F442" s="9">
        <f t="shared" si="259"/>
        <v>105.49999999999793</v>
      </c>
      <c r="G442" s="132">
        <f t="shared" si="237"/>
        <v>0</v>
      </c>
      <c r="H442" s="133">
        <f t="shared" si="265"/>
        <v>1</v>
      </c>
      <c r="I442" s="31">
        <f t="shared" si="249"/>
        <v>0</v>
      </c>
      <c r="J442" s="31">
        <f t="shared" si="238"/>
        <v>0</v>
      </c>
      <c r="K442" s="163">
        <f t="shared" si="239"/>
        <v>0</v>
      </c>
      <c r="L442" s="163">
        <f t="shared" si="250"/>
        <v>0</v>
      </c>
      <c r="M442" s="163">
        <f t="shared" si="267"/>
        <v>0</v>
      </c>
      <c r="N442" s="163">
        <f t="shared" si="251"/>
        <v>0</v>
      </c>
      <c r="O442" s="84">
        <f t="shared" si="240"/>
        <v>0</v>
      </c>
      <c r="P442" s="31">
        <f t="shared" si="241"/>
        <v>0</v>
      </c>
      <c r="Q442" s="5"/>
      <c r="R442">
        <f t="shared" ca="1" si="252"/>
        <v>559</v>
      </c>
      <c r="S442" s="133">
        <f t="shared" ca="1" si="253"/>
        <v>114.04</v>
      </c>
      <c r="T442" s="132">
        <f t="shared" ca="1" si="242"/>
        <v>0</v>
      </c>
      <c r="U442" s="133">
        <f t="shared" ca="1" si="260"/>
        <v>1.9008342029825436E-4</v>
      </c>
      <c r="V442" s="31">
        <f t="shared" ca="1" si="254"/>
        <v>0</v>
      </c>
      <c r="W442" s="31">
        <f t="shared" ca="1" si="243"/>
        <v>0</v>
      </c>
      <c r="X442" s="163">
        <f t="shared" ca="1" si="261"/>
        <v>0</v>
      </c>
      <c r="Y442" s="163">
        <f t="shared" ca="1" si="262"/>
        <v>0</v>
      </c>
      <c r="Z442" s="163">
        <f t="shared" ca="1" si="255"/>
        <v>0</v>
      </c>
      <c r="AA442" s="163">
        <f t="shared" ca="1" si="263"/>
        <v>0</v>
      </c>
      <c r="AB442" s="84">
        <f t="shared" ca="1" si="244"/>
        <v>0</v>
      </c>
      <c r="AC442" s="160">
        <f t="shared" si="245"/>
        <v>0</v>
      </c>
      <c r="AD442" s="31">
        <f t="shared" ca="1" si="246"/>
        <v>0</v>
      </c>
      <c r="AE442" s="5"/>
      <c r="AF442" s="151">
        <f t="shared" ca="1" si="247"/>
        <v>0</v>
      </c>
      <c r="AG442" s="151">
        <f t="shared" ca="1" si="248"/>
        <v>0</v>
      </c>
      <c r="AH442" s="5"/>
      <c r="AI442" s="5"/>
      <c r="AS442" s="55">
        <f t="shared" si="256"/>
        <v>37</v>
      </c>
      <c r="AT442" s="56">
        <f t="shared" si="264"/>
        <v>439</v>
      </c>
      <c r="AU442" s="57">
        <f t="shared" si="268"/>
        <v>0.11741128399766584</v>
      </c>
      <c r="AV442" s="58">
        <f t="shared" si="257"/>
        <v>4.8675505653430484E-3</v>
      </c>
      <c r="AW442" s="59">
        <f t="shared" si="258"/>
        <v>1.004867550565343</v>
      </c>
      <c r="AX442" s="60">
        <f>PRODUCT(AW$4:AW442)</f>
        <v>8.4289388718783069</v>
      </c>
    </row>
    <row r="443" spans="5:50">
      <c r="E443">
        <f t="shared" si="266"/>
        <v>440</v>
      </c>
      <c r="F443" s="9">
        <f t="shared" si="259"/>
        <v>105.58333333333125</v>
      </c>
      <c r="G443" s="132">
        <f t="shared" si="237"/>
        <v>0</v>
      </c>
      <c r="H443" s="133">
        <f t="shared" si="265"/>
        <v>1</v>
      </c>
      <c r="I443" s="31">
        <f t="shared" si="249"/>
        <v>0</v>
      </c>
      <c r="J443" s="31">
        <f t="shared" si="238"/>
        <v>0</v>
      </c>
      <c r="K443" s="163">
        <f t="shared" si="239"/>
        <v>0</v>
      </c>
      <c r="L443" s="163">
        <f t="shared" si="250"/>
        <v>0</v>
      </c>
      <c r="M443" s="163">
        <f t="shared" si="267"/>
        <v>0</v>
      </c>
      <c r="N443" s="163">
        <f t="shared" si="251"/>
        <v>0</v>
      </c>
      <c r="O443" s="84">
        <f t="shared" si="240"/>
        <v>0</v>
      </c>
      <c r="P443" s="31">
        <f t="shared" si="241"/>
        <v>0</v>
      </c>
      <c r="Q443" s="5"/>
      <c r="R443">
        <f t="shared" ca="1" si="252"/>
        <v>560</v>
      </c>
      <c r="S443" s="133">
        <f t="shared" ca="1" si="253"/>
        <v>114.12</v>
      </c>
      <c r="T443" s="132">
        <f t="shared" ca="1" si="242"/>
        <v>0</v>
      </c>
      <c r="U443" s="133">
        <f t="shared" ca="1" si="260"/>
        <v>1.9008342029825436E-4</v>
      </c>
      <c r="V443" s="31">
        <f t="shared" ca="1" si="254"/>
        <v>0</v>
      </c>
      <c r="W443" s="31">
        <f t="shared" ca="1" si="243"/>
        <v>0</v>
      </c>
      <c r="X443" s="163">
        <f t="shared" ca="1" si="261"/>
        <v>0</v>
      </c>
      <c r="Y443" s="163">
        <f t="shared" ca="1" si="262"/>
        <v>0</v>
      </c>
      <c r="Z443" s="163">
        <f t="shared" ca="1" si="255"/>
        <v>0</v>
      </c>
      <c r="AA443" s="163">
        <f t="shared" ca="1" si="263"/>
        <v>0</v>
      </c>
      <c r="AB443" s="84">
        <f t="shared" ca="1" si="244"/>
        <v>0</v>
      </c>
      <c r="AC443" s="160">
        <f t="shared" si="245"/>
        <v>0</v>
      </c>
      <c r="AD443" s="31">
        <f t="shared" ca="1" si="246"/>
        <v>0</v>
      </c>
      <c r="AE443" s="5"/>
      <c r="AF443" s="151">
        <f t="shared" ca="1" si="247"/>
        <v>0</v>
      </c>
      <c r="AG443" s="151">
        <f t="shared" ca="1" si="248"/>
        <v>0</v>
      </c>
      <c r="AH443" s="5"/>
      <c r="AI443" s="5"/>
      <c r="AS443" s="55">
        <f t="shared" si="256"/>
        <v>37</v>
      </c>
      <c r="AT443" s="56">
        <f t="shared" si="264"/>
        <v>440</v>
      </c>
      <c r="AU443" s="57">
        <f t="shared" si="268"/>
        <v>0.11683977863586535</v>
      </c>
      <c r="AV443" s="58">
        <f t="shared" si="257"/>
        <v>4.8675505653430484E-3</v>
      </c>
      <c r="AW443" s="59">
        <f t="shared" si="258"/>
        <v>1.004867550565343</v>
      </c>
      <c r="AX443" s="60">
        <f>PRODUCT(AW$4:AW443)</f>
        <v>8.4699671580493607</v>
      </c>
    </row>
    <row r="444" spans="5:50">
      <c r="E444">
        <f t="shared" si="266"/>
        <v>441</v>
      </c>
      <c r="F444" s="9">
        <f t="shared" si="259"/>
        <v>105.66666666666458</v>
      </c>
      <c r="G444" s="132">
        <f t="shared" si="237"/>
        <v>0</v>
      </c>
      <c r="H444" s="133">
        <f t="shared" si="265"/>
        <v>1</v>
      </c>
      <c r="I444" s="31">
        <f t="shared" si="249"/>
        <v>0</v>
      </c>
      <c r="J444" s="31">
        <f t="shared" si="238"/>
        <v>0</v>
      </c>
      <c r="K444" s="163">
        <f t="shared" si="239"/>
        <v>0</v>
      </c>
      <c r="L444" s="163">
        <f t="shared" si="250"/>
        <v>0</v>
      </c>
      <c r="M444" s="163">
        <f t="shared" si="267"/>
        <v>0</v>
      </c>
      <c r="N444" s="163">
        <f t="shared" si="251"/>
        <v>0</v>
      </c>
      <c r="O444" s="84">
        <f t="shared" si="240"/>
        <v>0</v>
      </c>
      <c r="P444" s="31">
        <f t="shared" si="241"/>
        <v>0</v>
      </c>
      <c r="Q444" s="5"/>
      <c r="R444">
        <f t="shared" ca="1" si="252"/>
        <v>561</v>
      </c>
      <c r="S444" s="133">
        <f t="shared" ca="1" si="253"/>
        <v>114.2</v>
      </c>
      <c r="T444" s="132">
        <f t="shared" ca="1" si="242"/>
        <v>0</v>
      </c>
      <c r="U444" s="133">
        <f t="shared" ca="1" si="260"/>
        <v>1.9008342029825436E-4</v>
      </c>
      <c r="V444" s="31">
        <f t="shared" ca="1" si="254"/>
        <v>0</v>
      </c>
      <c r="W444" s="31">
        <f t="shared" ca="1" si="243"/>
        <v>0</v>
      </c>
      <c r="X444" s="163">
        <f t="shared" ca="1" si="261"/>
        <v>0</v>
      </c>
      <c r="Y444" s="163">
        <f t="shared" ca="1" si="262"/>
        <v>0</v>
      </c>
      <c r="Z444" s="163">
        <f t="shared" ca="1" si="255"/>
        <v>0</v>
      </c>
      <c r="AA444" s="163">
        <f t="shared" ca="1" si="263"/>
        <v>0</v>
      </c>
      <c r="AB444" s="84">
        <f t="shared" ca="1" si="244"/>
        <v>0</v>
      </c>
      <c r="AC444" s="160">
        <f t="shared" si="245"/>
        <v>0</v>
      </c>
      <c r="AD444" s="31">
        <f t="shared" ca="1" si="246"/>
        <v>0</v>
      </c>
      <c r="AE444" s="5"/>
      <c r="AF444" s="151">
        <f t="shared" ca="1" si="247"/>
        <v>0</v>
      </c>
      <c r="AG444" s="151">
        <f t="shared" ca="1" si="248"/>
        <v>0</v>
      </c>
      <c r="AH444" s="5"/>
      <c r="AI444" s="5"/>
      <c r="AS444" s="55">
        <f t="shared" si="256"/>
        <v>37</v>
      </c>
      <c r="AT444" s="56">
        <f t="shared" si="264"/>
        <v>441</v>
      </c>
      <c r="AU444" s="57">
        <f t="shared" si="268"/>
        <v>0.11627105510531179</v>
      </c>
      <c r="AV444" s="58">
        <f t="shared" si="257"/>
        <v>4.8675505653430484E-3</v>
      </c>
      <c r="AW444" s="59">
        <f t="shared" si="258"/>
        <v>1.004867550565343</v>
      </c>
      <c r="AX444" s="60">
        <f>PRODUCT(AW$4:AW444)</f>
        <v>8.5111951514779616</v>
      </c>
    </row>
    <row r="445" spans="5:50">
      <c r="E445">
        <f t="shared" si="266"/>
        <v>442</v>
      </c>
      <c r="F445" s="9">
        <f t="shared" si="259"/>
        <v>105.74999999999791</v>
      </c>
      <c r="G445" s="132">
        <f t="shared" si="237"/>
        <v>0</v>
      </c>
      <c r="H445" s="133">
        <f t="shared" si="265"/>
        <v>1</v>
      </c>
      <c r="I445" s="31">
        <f t="shared" si="249"/>
        <v>0</v>
      </c>
      <c r="J445" s="31">
        <f t="shared" si="238"/>
        <v>0</v>
      </c>
      <c r="K445" s="163">
        <f t="shared" si="239"/>
        <v>0</v>
      </c>
      <c r="L445" s="163">
        <f t="shared" si="250"/>
        <v>0</v>
      </c>
      <c r="M445" s="163">
        <f t="shared" si="267"/>
        <v>0</v>
      </c>
      <c r="N445" s="163">
        <f t="shared" si="251"/>
        <v>0</v>
      </c>
      <c r="O445" s="84">
        <f t="shared" si="240"/>
        <v>0</v>
      </c>
      <c r="P445" s="31">
        <f t="shared" si="241"/>
        <v>0</v>
      </c>
      <c r="Q445" s="5"/>
      <c r="R445">
        <f t="shared" ca="1" si="252"/>
        <v>562</v>
      </c>
      <c r="S445" s="133">
        <f t="shared" ca="1" si="253"/>
        <v>114.28</v>
      </c>
      <c r="T445" s="132">
        <f t="shared" ca="1" si="242"/>
        <v>0</v>
      </c>
      <c r="U445" s="133">
        <f t="shared" ca="1" si="260"/>
        <v>1.9008342029825436E-4</v>
      </c>
      <c r="V445" s="31">
        <f t="shared" ca="1" si="254"/>
        <v>0</v>
      </c>
      <c r="W445" s="31">
        <f t="shared" ca="1" si="243"/>
        <v>0</v>
      </c>
      <c r="X445" s="163">
        <f t="shared" ca="1" si="261"/>
        <v>0</v>
      </c>
      <c r="Y445" s="163">
        <f t="shared" ca="1" si="262"/>
        <v>0</v>
      </c>
      <c r="Z445" s="163">
        <f t="shared" ca="1" si="255"/>
        <v>0</v>
      </c>
      <c r="AA445" s="163">
        <f t="shared" ca="1" si="263"/>
        <v>0</v>
      </c>
      <c r="AB445" s="84">
        <f t="shared" ca="1" si="244"/>
        <v>0</v>
      </c>
      <c r="AC445" s="160">
        <f t="shared" si="245"/>
        <v>0</v>
      </c>
      <c r="AD445" s="31">
        <f t="shared" ca="1" si="246"/>
        <v>0</v>
      </c>
      <c r="AE445" s="5"/>
      <c r="AF445" s="151">
        <f t="shared" ca="1" si="247"/>
        <v>0</v>
      </c>
      <c r="AG445" s="151">
        <f t="shared" ca="1" si="248"/>
        <v>0</v>
      </c>
      <c r="AH445" s="5"/>
      <c r="AI445" s="5"/>
      <c r="AS445" s="55">
        <f t="shared" si="256"/>
        <v>37</v>
      </c>
      <c r="AT445" s="56">
        <f t="shared" si="264"/>
        <v>442</v>
      </c>
      <c r="AU445" s="57">
        <f t="shared" si="268"/>
        <v>0.11570509986530089</v>
      </c>
      <c r="AV445" s="58">
        <f t="shared" si="257"/>
        <v>4.8675505653430484E-3</v>
      </c>
      <c r="AW445" s="59">
        <f t="shared" si="258"/>
        <v>1.004867550565343</v>
      </c>
      <c r="AX445" s="60">
        <f>PRODUCT(AW$4:AW445)</f>
        <v>8.5526238242492827</v>
      </c>
    </row>
    <row r="446" spans="5:50">
      <c r="E446">
        <f t="shared" si="266"/>
        <v>443</v>
      </c>
      <c r="F446" s="9">
        <f t="shared" si="259"/>
        <v>105.83333333333124</v>
      </c>
      <c r="G446" s="132">
        <f t="shared" si="237"/>
        <v>0</v>
      </c>
      <c r="H446" s="133">
        <f t="shared" si="265"/>
        <v>1</v>
      </c>
      <c r="I446" s="31">
        <f t="shared" si="249"/>
        <v>0</v>
      </c>
      <c r="J446" s="31">
        <f t="shared" si="238"/>
        <v>0</v>
      </c>
      <c r="K446" s="163">
        <f t="shared" si="239"/>
        <v>0</v>
      </c>
      <c r="L446" s="163">
        <f t="shared" si="250"/>
        <v>0</v>
      </c>
      <c r="M446" s="163">
        <f t="shared" si="267"/>
        <v>0</v>
      </c>
      <c r="N446" s="163">
        <f t="shared" si="251"/>
        <v>0</v>
      </c>
      <c r="O446" s="84">
        <f t="shared" si="240"/>
        <v>0</v>
      </c>
      <c r="P446" s="31">
        <f t="shared" si="241"/>
        <v>0</v>
      </c>
      <c r="Q446" s="5"/>
      <c r="R446">
        <f t="shared" ca="1" si="252"/>
        <v>563</v>
      </c>
      <c r="S446" s="133">
        <f t="shared" ca="1" si="253"/>
        <v>114.36</v>
      </c>
      <c r="T446" s="132">
        <f t="shared" ca="1" si="242"/>
        <v>0</v>
      </c>
      <c r="U446" s="133">
        <f t="shared" ca="1" si="260"/>
        <v>1.9008342029825436E-4</v>
      </c>
      <c r="V446" s="31">
        <f t="shared" ca="1" si="254"/>
        <v>0</v>
      </c>
      <c r="W446" s="31">
        <f t="shared" ca="1" si="243"/>
        <v>0</v>
      </c>
      <c r="X446" s="163">
        <f t="shared" ca="1" si="261"/>
        <v>0</v>
      </c>
      <c r="Y446" s="163">
        <f t="shared" ca="1" si="262"/>
        <v>0</v>
      </c>
      <c r="Z446" s="163">
        <f t="shared" ca="1" si="255"/>
        <v>0</v>
      </c>
      <c r="AA446" s="163">
        <f t="shared" ca="1" si="263"/>
        <v>0</v>
      </c>
      <c r="AB446" s="84">
        <f t="shared" ca="1" si="244"/>
        <v>0</v>
      </c>
      <c r="AC446" s="160">
        <f t="shared" si="245"/>
        <v>0</v>
      </c>
      <c r="AD446" s="31">
        <f t="shared" ca="1" si="246"/>
        <v>0</v>
      </c>
      <c r="AE446" s="5"/>
      <c r="AF446" s="151">
        <f t="shared" ca="1" si="247"/>
        <v>0</v>
      </c>
      <c r="AG446" s="151">
        <f t="shared" ca="1" si="248"/>
        <v>0</v>
      </c>
      <c r="AH446" s="5"/>
      <c r="AI446" s="5"/>
      <c r="AS446" s="55">
        <f t="shared" si="256"/>
        <v>37</v>
      </c>
      <c r="AT446" s="56">
        <f t="shared" si="264"/>
        <v>443</v>
      </c>
      <c r="AU446" s="57">
        <f t="shared" si="268"/>
        <v>0.11514189944103848</v>
      </c>
      <c r="AV446" s="58">
        <f t="shared" si="257"/>
        <v>4.8675505653430484E-3</v>
      </c>
      <c r="AW446" s="59">
        <f t="shared" si="258"/>
        <v>1.004867550565343</v>
      </c>
      <c r="AX446" s="60">
        <f>PRODUCT(AW$4:AW446)</f>
        <v>8.5942541531801737</v>
      </c>
    </row>
    <row r="447" spans="5:50">
      <c r="E447">
        <f t="shared" si="266"/>
        <v>444</v>
      </c>
      <c r="F447" s="9">
        <f t="shared" si="259"/>
        <v>105.91666666666457</v>
      </c>
      <c r="G447" s="132">
        <f t="shared" si="237"/>
        <v>0</v>
      </c>
      <c r="H447" s="133">
        <f t="shared" si="265"/>
        <v>1</v>
      </c>
      <c r="I447" s="31">
        <f t="shared" si="249"/>
        <v>0</v>
      </c>
      <c r="J447" s="31">
        <f t="shared" si="238"/>
        <v>0</v>
      </c>
      <c r="K447" s="163">
        <f t="shared" si="239"/>
        <v>0</v>
      </c>
      <c r="L447" s="163">
        <f t="shared" si="250"/>
        <v>0</v>
      </c>
      <c r="M447" s="163">
        <f t="shared" si="267"/>
        <v>0</v>
      </c>
      <c r="N447" s="163">
        <f t="shared" si="251"/>
        <v>0</v>
      </c>
      <c r="O447" s="84">
        <f t="shared" si="240"/>
        <v>0</v>
      </c>
      <c r="P447" s="31">
        <f t="shared" si="241"/>
        <v>0</v>
      </c>
      <c r="Q447" s="5"/>
      <c r="R447">
        <f t="shared" ca="1" si="252"/>
        <v>564</v>
      </c>
      <c r="S447" s="133">
        <f t="shared" ca="1" si="253"/>
        <v>114.44</v>
      </c>
      <c r="T447" s="132">
        <f t="shared" ca="1" si="242"/>
        <v>0</v>
      </c>
      <c r="U447" s="133">
        <f t="shared" ca="1" si="260"/>
        <v>1.9008342029825436E-4</v>
      </c>
      <c r="V447" s="31">
        <f t="shared" ca="1" si="254"/>
        <v>0</v>
      </c>
      <c r="W447" s="31">
        <f t="shared" ca="1" si="243"/>
        <v>0</v>
      </c>
      <c r="X447" s="163">
        <f t="shared" ca="1" si="261"/>
        <v>0</v>
      </c>
      <c r="Y447" s="163">
        <f t="shared" ca="1" si="262"/>
        <v>0</v>
      </c>
      <c r="Z447" s="163">
        <f t="shared" ca="1" si="255"/>
        <v>0</v>
      </c>
      <c r="AA447" s="163">
        <f t="shared" ca="1" si="263"/>
        <v>0</v>
      </c>
      <c r="AB447" s="84">
        <f t="shared" ca="1" si="244"/>
        <v>0</v>
      </c>
      <c r="AC447" s="160">
        <f t="shared" si="245"/>
        <v>0</v>
      </c>
      <c r="AD447" s="31">
        <f t="shared" ca="1" si="246"/>
        <v>0</v>
      </c>
      <c r="AE447" s="5"/>
      <c r="AF447" s="151">
        <f t="shared" ca="1" si="247"/>
        <v>0</v>
      </c>
      <c r="AG447" s="151">
        <f t="shared" ca="1" si="248"/>
        <v>0</v>
      </c>
      <c r="AH447" s="5"/>
      <c r="AI447" s="5"/>
      <c r="AS447" s="55">
        <f t="shared" si="256"/>
        <v>37</v>
      </c>
      <c r="AT447" s="56">
        <f t="shared" si="264"/>
        <v>444</v>
      </c>
      <c r="AU447" s="57">
        <f t="shared" si="268"/>
        <v>0.11458144042331958</v>
      </c>
      <c r="AV447" s="58">
        <f t="shared" si="257"/>
        <v>4.8675505653430484E-3</v>
      </c>
      <c r="AW447" s="59">
        <f t="shared" si="258"/>
        <v>1.004867550565343</v>
      </c>
      <c r="AX447" s="60">
        <f>PRODUCT(AW$4:AW447)</f>
        <v>8.6360871198421876</v>
      </c>
    </row>
    <row r="448" spans="5:50">
      <c r="E448">
        <f t="shared" si="266"/>
        <v>445</v>
      </c>
      <c r="F448" s="9">
        <f t="shared" si="259"/>
        <v>105.9999999999979</v>
      </c>
      <c r="G448" s="132">
        <f t="shared" si="237"/>
        <v>0</v>
      </c>
      <c r="H448" s="133">
        <f t="shared" si="265"/>
        <v>1</v>
      </c>
      <c r="I448" s="31">
        <f t="shared" si="249"/>
        <v>0</v>
      </c>
      <c r="J448" s="31">
        <f t="shared" si="238"/>
        <v>0</v>
      </c>
      <c r="K448" s="163">
        <f t="shared" si="239"/>
        <v>0</v>
      </c>
      <c r="L448" s="163">
        <f t="shared" si="250"/>
        <v>0</v>
      </c>
      <c r="M448" s="163">
        <f t="shared" si="267"/>
        <v>0</v>
      </c>
      <c r="N448" s="163">
        <f t="shared" si="251"/>
        <v>0</v>
      </c>
      <c r="O448" s="84">
        <f t="shared" si="240"/>
        <v>0</v>
      </c>
      <c r="P448" s="31">
        <f t="shared" si="241"/>
        <v>0</v>
      </c>
      <c r="Q448" s="5"/>
      <c r="R448">
        <f t="shared" ca="1" si="252"/>
        <v>565</v>
      </c>
      <c r="S448" s="133">
        <f t="shared" ca="1" si="253"/>
        <v>114.52</v>
      </c>
      <c r="T448" s="132">
        <f t="shared" ca="1" si="242"/>
        <v>0</v>
      </c>
      <c r="U448" s="133">
        <f t="shared" ca="1" si="260"/>
        <v>1.9008342029825436E-4</v>
      </c>
      <c r="V448" s="31">
        <f t="shared" ca="1" si="254"/>
        <v>0</v>
      </c>
      <c r="W448" s="31">
        <f t="shared" ca="1" si="243"/>
        <v>0</v>
      </c>
      <c r="X448" s="163">
        <f t="shared" ca="1" si="261"/>
        <v>0</v>
      </c>
      <c r="Y448" s="163">
        <f t="shared" ca="1" si="262"/>
        <v>0</v>
      </c>
      <c r="Z448" s="163">
        <f t="shared" ca="1" si="255"/>
        <v>0</v>
      </c>
      <c r="AA448" s="163">
        <f t="shared" ca="1" si="263"/>
        <v>0</v>
      </c>
      <c r="AB448" s="84">
        <f t="shared" ca="1" si="244"/>
        <v>0</v>
      </c>
      <c r="AC448" s="160">
        <f t="shared" si="245"/>
        <v>0</v>
      </c>
      <c r="AD448" s="31">
        <f t="shared" ca="1" si="246"/>
        <v>0</v>
      </c>
      <c r="AE448" s="5"/>
      <c r="AF448" s="151">
        <f t="shared" ca="1" si="247"/>
        <v>0</v>
      </c>
      <c r="AG448" s="151">
        <f t="shared" ca="1" si="248"/>
        <v>0</v>
      </c>
      <c r="AH448" s="5"/>
      <c r="AI448" s="5"/>
      <c r="AS448" s="55">
        <f t="shared" si="256"/>
        <v>38</v>
      </c>
      <c r="AT448" s="56">
        <f t="shared" si="264"/>
        <v>445</v>
      </c>
      <c r="AU448" s="57">
        <f t="shared" si="268"/>
        <v>0.11402370946820924</v>
      </c>
      <c r="AV448" s="58">
        <f t="shared" si="257"/>
        <v>4.8675505653430484E-3</v>
      </c>
      <c r="AW448" s="59">
        <f t="shared" si="258"/>
        <v>1.004867550565343</v>
      </c>
      <c r="AX448" s="60">
        <f>PRODUCT(AW$4:AW448)</f>
        <v>8.6781237105847264</v>
      </c>
    </row>
    <row r="449" spans="5:50">
      <c r="E449">
        <f t="shared" si="266"/>
        <v>446</v>
      </c>
      <c r="F449" s="9">
        <f t="shared" si="259"/>
        <v>106.08333333333123</v>
      </c>
      <c r="G449" s="132">
        <f t="shared" si="237"/>
        <v>0</v>
      </c>
      <c r="H449" s="133">
        <f t="shared" si="265"/>
        <v>1</v>
      </c>
      <c r="I449" s="31">
        <f t="shared" si="249"/>
        <v>0</v>
      </c>
      <c r="J449" s="31">
        <f t="shared" si="238"/>
        <v>0</v>
      </c>
      <c r="K449" s="163">
        <f t="shared" si="239"/>
        <v>0</v>
      </c>
      <c r="L449" s="163">
        <f t="shared" si="250"/>
        <v>0</v>
      </c>
      <c r="M449" s="163">
        <f t="shared" si="267"/>
        <v>0</v>
      </c>
      <c r="N449" s="163">
        <f t="shared" si="251"/>
        <v>0</v>
      </c>
      <c r="O449" s="84">
        <f t="shared" si="240"/>
        <v>0</v>
      </c>
      <c r="P449" s="31">
        <f t="shared" si="241"/>
        <v>0</v>
      </c>
      <c r="Q449" s="5"/>
      <c r="R449">
        <f t="shared" ca="1" si="252"/>
        <v>566</v>
      </c>
      <c r="S449" s="133">
        <f t="shared" ca="1" si="253"/>
        <v>114.6</v>
      </c>
      <c r="T449" s="132">
        <f t="shared" ca="1" si="242"/>
        <v>0</v>
      </c>
      <c r="U449" s="133">
        <f t="shared" ca="1" si="260"/>
        <v>1.9008342029825436E-4</v>
      </c>
      <c r="V449" s="31">
        <f t="shared" ca="1" si="254"/>
        <v>0</v>
      </c>
      <c r="W449" s="31">
        <f t="shared" ca="1" si="243"/>
        <v>0</v>
      </c>
      <c r="X449" s="163">
        <f t="shared" ca="1" si="261"/>
        <v>0</v>
      </c>
      <c r="Y449" s="163">
        <f t="shared" ca="1" si="262"/>
        <v>0</v>
      </c>
      <c r="Z449" s="163">
        <f t="shared" ca="1" si="255"/>
        <v>0</v>
      </c>
      <c r="AA449" s="163">
        <f t="shared" ca="1" si="263"/>
        <v>0</v>
      </c>
      <c r="AB449" s="84">
        <f t="shared" ca="1" si="244"/>
        <v>0</v>
      </c>
      <c r="AC449" s="160">
        <f t="shared" si="245"/>
        <v>0</v>
      </c>
      <c r="AD449" s="31">
        <f t="shared" ca="1" si="246"/>
        <v>0</v>
      </c>
      <c r="AE449" s="5"/>
      <c r="AF449" s="151">
        <f t="shared" ca="1" si="247"/>
        <v>0</v>
      </c>
      <c r="AG449" s="151">
        <f t="shared" ca="1" si="248"/>
        <v>0</v>
      </c>
      <c r="AH449" s="5"/>
      <c r="AI449" s="5"/>
      <c r="AS449" s="55">
        <f t="shared" si="256"/>
        <v>38</v>
      </c>
      <c r="AT449" s="56">
        <f t="shared" si="264"/>
        <v>446</v>
      </c>
      <c r="AU449" s="57">
        <f t="shared" si="268"/>
        <v>0.11346869329672474</v>
      </c>
      <c r="AV449" s="58">
        <f t="shared" si="257"/>
        <v>4.8675505653430484E-3</v>
      </c>
      <c r="AW449" s="59">
        <f t="shared" si="258"/>
        <v>1.004867550565343</v>
      </c>
      <c r="AX449" s="60">
        <f>PRODUCT(AW$4:AW449)</f>
        <v>8.7203649165582995</v>
      </c>
    </row>
    <row r="450" spans="5:50">
      <c r="E450">
        <f t="shared" si="266"/>
        <v>447</v>
      </c>
      <c r="F450" s="9">
        <f t="shared" si="259"/>
        <v>106.16666666666455</v>
      </c>
      <c r="G450" s="132">
        <f t="shared" si="237"/>
        <v>0</v>
      </c>
      <c r="H450" s="133">
        <f t="shared" si="265"/>
        <v>1</v>
      </c>
      <c r="I450" s="31">
        <f t="shared" si="249"/>
        <v>0</v>
      </c>
      <c r="J450" s="31">
        <f t="shared" si="238"/>
        <v>0</v>
      </c>
      <c r="K450" s="163">
        <f t="shared" si="239"/>
        <v>0</v>
      </c>
      <c r="L450" s="163">
        <f t="shared" si="250"/>
        <v>0</v>
      </c>
      <c r="M450" s="163">
        <f t="shared" si="267"/>
        <v>0</v>
      </c>
      <c r="N450" s="163">
        <f t="shared" si="251"/>
        <v>0</v>
      </c>
      <c r="O450" s="84">
        <f t="shared" si="240"/>
        <v>0</v>
      </c>
      <c r="P450" s="31">
        <f t="shared" si="241"/>
        <v>0</v>
      </c>
      <c r="Q450" s="5"/>
      <c r="R450">
        <f t="shared" ca="1" si="252"/>
        <v>567</v>
      </c>
      <c r="S450" s="133">
        <f t="shared" ca="1" si="253"/>
        <v>114.68</v>
      </c>
      <c r="T450" s="132">
        <f t="shared" ca="1" si="242"/>
        <v>0</v>
      </c>
      <c r="U450" s="133">
        <f t="shared" ca="1" si="260"/>
        <v>1.9008342029825436E-4</v>
      </c>
      <c r="V450" s="31">
        <f t="shared" ca="1" si="254"/>
        <v>0</v>
      </c>
      <c r="W450" s="31">
        <f t="shared" ca="1" si="243"/>
        <v>0</v>
      </c>
      <c r="X450" s="163">
        <f t="shared" ca="1" si="261"/>
        <v>0</v>
      </c>
      <c r="Y450" s="163">
        <f t="shared" ca="1" si="262"/>
        <v>0</v>
      </c>
      <c r="Z450" s="163">
        <f t="shared" ca="1" si="255"/>
        <v>0</v>
      </c>
      <c r="AA450" s="163">
        <f t="shared" ca="1" si="263"/>
        <v>0</v>
      </c>
      <c r="AB450" s="84">
        <f t="shared" ca="1" si="244"/>
        <v>0</v>
      </c>
      <c r="AC450" s="160">
        <f t="shared" si="245"/>
        <v>0</v>
      </c>
      <c r="AD450" s="31">
        <f t="shared" ca="1" si="246"/>
        <v>0</v>
      </c>
      <c r="AE450" s="5"/>
      <c r="AF450" s="151">
        <f t="shared" ca="1" si="247"/>
        <v>0</v>
      </c>
      <c r="AG450" s="151">
        <f t="shared" ca="1" si="248"/>
        <v>0</v>
      </c>
      <c r="AH450" s="5"/>
      <c r="AI450" s="5"/>
      <c r="AS450" s="55">
        <f t="shared" si="256"/>
        <v>38</v>
      </c>
      <c r="AT450" s="56">
        <f t="shared" si="264"/>
        <v>447</v>
      </c>
      <c r="AU450" s="57">
        <f t="shared" si="268"/>
        <v>0.11291637869451952</v>
      </c>
      <c r="AV450" s="58">
        <f t="shared" si="257"/>
        <v>4.8675505653430484E-3</v>
      </c>
      <c r="AW450" s="59">
        <f t="shared" si="258"/>
        <v>1.004867550565343</v>
      </c>
      <c r="AX450" s="60">
        <f>PRODUCT(AW$4:AW450)</f>
        <v>8.762811733737891</v>
      </c>
    </row>
    <row r="451" spans="5:50">
      <c r="E451">
        <f t="shared" si="266"/>
        <v>448</v>
      </c>
      <c r="F451" s="9">
        <f t="shared" si="259"/>
        <v>106.24999999999788</v>
      </c>
      <c r="G451" s="132">
        <f t="shared" si="237"/>
        <v>0</v>
      </c>
      <c r="H451" s="133">
        <f t="shared" si="265"/>
        <v>1</v>
      </c>
      <c r="I451" s="31">
        <f t="shared" si="249"/>
        <v>0</v>
      </c>
      <c r="J451" s="31">
        <f t="shared" si="238"/>
        <v>0</v>
      </c>
      <c r="K451" s="163">
        <f t="shared" si="239"/>
        <v>0</v>
      </c>
      <c r="L451" s="163">
        <f t="shared" si="250"/>
        <v>0</v>
      </c>
      <c r="M451" s="163">
        <f t="shared" si="267"/>
        <v>0</v>
      </c>
      <c r="N451" s="163">
        <f t="shared" si="251"/>
        <v>0</v>
      </c>
      <c r="O451" s="84">
        <f t="shared" si="240"/>
        <v>0</v>
      </c>
      <c r="P451" s="31">
        <f t="shared" si="241"/>
        <v>0</v>
      </c>
      <c r="Q451" s="5"/>
      <c r="R451">
        <f t="shared" ca="1" si="252"/>
        <v>568</v>
      </c>
      <c r="S451" s="133">
        <f t="shared" ca="1" si="253"/>
        <v>114.76</v>
      </c>
      <c r="T451" s="132">
        <f t="shared" ca="1" si="242"/>
        <v>0</v>
      </c>
      <c r="U451" s="133">
        <f t="shared" ca="1" si="260"/>
        <v>1.9008342029825436E-4</v>
      </c>
      <c r="V451" s="31">
        <f t="shared" ca="1" si="254"/>
        <v>0</v>
      </c>
      <c r="W451" s="31">
        <f t="shared" ca="1" si="243"/>
        <v>0</v>
      </c>
      <c r="X451" s="163">
        <f t="shared" ca="1" si="261"/>
        <v>0</v>
      </c>
      <c r="Y451" s="163">
        <f t="shared" ca="1" si="262"/>
        <v>0</v>
      </c>
      <c r="Z451" s="163">
        <f t="shared" ca="1" si="255"/>
        <v>0</v>
      </c>
      <c r="AA451" s="163">
        <f t="shared" ca="1" si="263"/>
        <v>0</v>
      </c>
      <c r="AB451" s="84">
        <f t="shared" ca="1" si="244"/>
        <v>0</v>
      </c>
      <c r="AC451" s="160">
        <f t="shared" si="245"/>
        <v>0</v>
      </c>
      <c r="AD451" s="31">
        <f t="shared" ca="1" si="246"/>
        <v>0</v>
      </c>
      <c r="AE451" s="5"/>
      <c r="AF451" s="151">
        <f t="shared" ca="1" si="247"/>
        <v>0</v>
      </c>
      <c r="AG451" s="151">
        <f t="shared" ca="1" si="248"/>
        <v>0</v>
      </c>
      <c r="AH451" s="5"/>
      <c r="AI451" s="5"/>
      <c r="AS451" s="55">
        <f t="shared" si="256"/>
        <v>38</v>
      </c>
      <c r="AT451" s="56">
        <f t="shared" si="264"/>
        <v>448</v>
      </c>
      <c r="AU451" s="57">
        <f t="shared" si="268"/>
        <v>0.11236675251156852</v>
      </c>
      <c r="AV451" s="58">
        <f t="shared" si="257"/>
        <v>4.8675505653430484E-3</v>
      </c>
      <c r="AW451" s="59">
        <f t="shared" si="258"/>
        <v>1.004867550565343</v>
      </c>
      <c r="AX451" s="60">
        <f>PRODUCT(AW$4:AW451)</f>
        <v>8.805465162946442</v>
      </c>
    </row>
    <row r="452" spans="5:50">
      <c r="E452">
        <f t="shared" si="266"/>
        <v>449</v>
      </c>
      <c r="F452" s="9">
        <f t="shared" si="259"/>
        <v>106.33333333333121</v>
      </c>
      <c r="G452" s="132">
        <f t="shared" ref="G452:G515" si="269">(1-(1-IF(F452&gt;$AK$90,0,VLOOKUP(ROUND(F452,0),$AK$4:$AL$90,2,FALSE)))^(1/12))*0</f>
        <v>0</v>
      </c>
      <c r="H452" s="133">
        <f t="shared" si="265"/>
        <v>1</v>
      </c>
      <c r="I452" s="31">
        <f t="shared" si="249"/>
        <v>0</v>
      </c>
      <c r="J452" s="31">
        <f t="shared" ref="J452:J515" si="270">(I452)*$AV452</f>
        <v>0</v>
      </c>
      <c r="K452" s="163">
        <f t="shared" ref="K452:K515" si="271">IF(I452=0,0,-$C$19)*H452</f>
        <v>0</v>
      </c>
      <c r="L452" s="163">
        <f t="shared" si="250"/>
        <v>0</v>
      </c>
      <c r="M452" s="163">
        <f t="shared" si="267"/>
        <v>0</v>
      </c>
      <c r="N452" s="163">
        <f t="shared" si="251"/>
        <v>0</v>
      </c>
      <c r="O452" s="84">
        <f t="shared" ref="O452:O515" si="272">-MIN(
IF(MOD(E452-1,IF($C$7="Annual",12,1))=0,1,0)
*IF(F452&lt;=$C$6,H452*$C$5*$C$4/IF($C$7="Monthly",12,1),$C$12),I452)</f>
        <v>0</v>
      </c>
      <c r="P452" s="31">
        <f t="shared" ref="P452:P515" si="273">SUM(I452:O452)</f>
        <v>0</v>
      </c>
      <c r="Q452" s="5"/>
      <c r="R452">
        <f t="shared" ca="1" si="252"/>
        <v>569</v>
      </c>
      <c r="S452" s="133">
        <f t="shared" ca="1" si="253"/>
        <v>114.84</v>
      </c>
      <c r="T452" s="132">
        <f t="shared" ref="T452:T515" ca="1" si="274">(1-(1-IF(S452&gt;$AK$90,0,VLOOKUP(ROUND(S452,0),$AK$4:$AL$90,2,FALSE)))^(1/12))</f>
        <v>0</v>
      </c>
      <c r="U452" s="133">
        <f t="shared" ca="1" si="260"/>
        <v>1.9008342029825436E-4</v>
      </c>
      <c r="V452" s="31">
        <f t="shared" ca="1" si="254"/>
        <v>0</v>
      </c>
      <c r="W452" s="31">
        <f t="shared" ref="W452:W515" ca="1" si="275">(V452)*$AV452</f>
        <v>0</v>
      </c>
      <c r="X452" s="163">
        <f t="shared" ca="1" si="261"/>
        <v>0</v>
      </c>
      <c r="Y452" s="163">
        <f t="shared" ca="1" si="262"/>
        <v>0</v>
      </c>
      <c r="Z452" s="163">
        <f t="shared" ca="1" si="255"/>
        <v>0</v>
      </c>
      <c r="AA452" s="163">
        <f t="shared" ca="1" si="263"/>
        <v>0</v>
      </c>
      <c r="AB452" s="84">
        <f t="shared" ref="AB452:AB515" ca="1" si="276">-MIN(IF(MOD(R452,IF($C$7="Annual",12,1))=0,1,0)*$C$39*U452/IF($C$7="Monthly",12,1),V452)</f>
        <v>0</v>
      </c>
      <c r="AC452" s="160">
        <f t="shared" ref="AC452:AC515" si="277">IF($C$8="Yes",-V452*T452,0)</f>
        <v>0</v>
      </c>
      <c r="AD452" s="31">
        <f t="shared" ref="AD452:AD515" ca="1" si="278">SUM(V452:AC452)</f>
        <v>0</v>
      </c>
      <c r="AE452" s="5"/>
      <c r="AF452" s="151">
        <f t="shared" ref="AF452:AF503" ca="1" si="279">AB452/U452</f>
        <v>0</v>
      </c>
      <c r="AG452" s="151">
        <f t="shared" ref="AG452:AG506" ca="1" si="280">AD452/U452</f>
        <v>0</v>
      </c>
      <c r="AH452" s="5"/>
      <c r="AI452" s="5"/>
      <c r="AS452" s="55">
        <f t="shared" si="256"/>
        <v>38</v>
      </c>
      <c r="AT452" s="56">
        <f t="shared" si="264"/>
        <v>449</v>
      </c>
      <c r="AU452" s="57">
        <f t="shared" si="268"/>
        <v>0.11181980166185508</v>
      </c>
      <c r="AV452" s="58">
        <f t="shared" si="257"/>
        <v>4.8675505653430484E-3</v>
      </c>
      <c r="AW452" s="59">
        <f t="shared" si="258"/>
        <v>1.004867550565343</v>
      </c>
      <c r="AX452" s="60">
        <f>PRODUCT(AW$4:AW452)</f>
        <v>8.8483262098784508</v>
      </c>
    </row>
    <row r="453" spans="5:50">
      <c r="E453">
        <f t="shared" si="266"/>
        <v>450</v>
      </c>
      <c r="F453" s="9">
        <f t="shared" si="259"/>
        <v>106.41666666666454</v>
      </c>
      <c r="G453" s="132">
        <f t="shared" si="269"/>
        <v>0</v>
      </c>
      <c r="H453" s="133">
        <f t="shared" si="265"/>
        <v>1</v>
      </c>
      <c r="I453" s="31">
        <f t="shared" ref="I453:I516" si="281">MAX(P452,0)*(1-G453)</f>
        <v>0</v>
      </c>
      <c r="J453" s="31">
        <f t="shared" si="270"/>
        <v>0</v>
      </c>
      <c r="K453" s="163">
        <f t="shared" si="271"/>
        <v>0</v>
      </c>
      <c r="L453" s="163">
        <f t="shared" ref="L453:L516" si="282">IF(OR(I452+O452=0,K452=0),0,-I453*($C$16/12))</f>
        <v>0</v>
      </c>
      <c r="M453" s="163">
        <f t="shared" si="267"/>
        <v>0</v>
      </c>
      <c r="N453" s="163">
        <f t="shared" ref="N453:N516" si="283">IF(OR(I452+O452=0,K452=0),0,-I453*($C$18*(1+$C$20))/12)</f>
        <v>0</v>
      </c>
      <c r="O453" s="84">
        <f t="shared" si="272"/>
        <v>0</v>
      </c>
      <c r="P453" s="31">
        <f t="shared" si="273"/>
        <v>0</v>
      </c>
      <c r="Q453" s="5"/>
      <c r="R453">
        <f t="shared" ref="R453:R516" ca="1" si="284">R452+1</f>
        <v>570</v>
      </c>
      <c r="S453" s="133">
        <f t="shared" ref="S453:S516" ca="1" si="285">ROUND((R453-R452)/12+S452,2)</f>
        <v>114.92</v>
      </c>
      <c r="T453" s="132">
        <f t="shared" ca="1" si="274"/>
        <v>0</v>
      </c>
      <c r="U453" s="133">
        <f t="shared" ca="1" si="260"/>
        <v>1.9008342029825436E-4</v>
      </c>
      <c r="V453" s="31">
        <f t="shared" ref="V453:V516" ca="1" si="286">MAX(AD452,0)*(1-T453)</f>
        <v>0</v>
      </c>
      <c r="W453" s="31">
        <f t="shared" ca="1" si="275"/>
        <v>0</v>
      </c>
      <c r="X453" s="163">
        <f t="shared" ca="1" si="261"/>
        <v>0</v>
      </c>
      <c r="Y453" s="163">
        <f t="shared" ca="1" si="262"/>
        <v>0</v>
      </c>
      <c r="Z453" s="163">
        <f t="shared" ref="Z453:Z516" ca="1" si="287">IF(OR(V452+AB452=0,X452=0),0,-IF(MOD(E453,12)=0,1,0)*V453*($C$17))</f>
        <v>0</v>
      </c>
      <c r="AA453" s="163">
        <f t="shared" ca="1" si="263"/>
        <v>0</v>
      </c>
      <c r="AB453" s="84">
        <f t="shared" ca="1" si="276"/>
        <v>0</v>
      </c>
      <c r="AC453" s="160">
        <f t="shared" si="277"/>
        <v>0</v>
      </c>
      <c r="AD453" s="31">
        <f t="shared" ca="1" si="278"/>
        <v>0</v>
      </c>
      <c r="AE453" s="5"/>
      <c r="AF453" s="151">
        <f t="shared" ca="1" si="279"/>
        <v>0</v>
      </c>
      <c r="AG453" s="151">
        <f t="shared" ca="1" si="280"/>
        <v>0</v>
      </c>
      <c r="AH453" s="5"/>
      <c r="AI453" s="5"/>
      <c r="AS453" s="55">
        <f t="shared" ref="AS453:AS516" si="288">ROUNDDOWN((AT453-1)/12,0)+1</f>
        <v>38</v>
      </c>
      <c r="AT453" s="56">
        <f t="shared" si="264"/>
        <v>450</v>
      </c>
      <c r="AU453" s="57">
        <f t="shared" si="268"/>
        <v>0.11127551312305937</v>
      </c>
      <c r="AV453" s="58">
        <f t="shared" ref="AV453:AV516" si="289">((1+$AV$1)^(1/12))-1</f>
        <v>4.8675505653430484E-3</v>
      </c>
      <c r="AW453" s="59">
        <f t="shared" ref="AW453:AW516" si="290">(1+AV453)</f>
        <v>1.004867550565343</v>
      </c>
      <c r="AX453" s="60">
        <f>PRODUCT(AW$4:AW453)</f>
        <v>8.8913958851236838</v>
      </c>
    </row>
    <row r="454" spans="5:50">
      <c r="E454">
        <f t="shared" si="266"/>
        <v>451</v>
      </c>
      <c r="F454" s="9">
        <f t="shared" ref="F454:F517" si="291">1/12+F453</f>
        <v>106.49999999999787</v>
      </c>
      <c r="G454" s="132">
        <f t="shared" si="269"/>
        <v>0</v>
      </c>
      <c r="H454" s="133">
        <f t="shared" si="265"/>
        <v>1</v>
      </c>
      <c r="I454" s="31">
        <f t="shared" si="281"/>
        <v>0</v>
      </c>
      <c r="J454" s="31">
        <f t="shared" si="270"/>
        <v>0</v>
      </c>
      <c r="K454" s="163">
        <f t="shared" si="271"/>
        <v>0</v>
      </c>
      <c r="L454" s="163">
        <f t="shared" si="282"/>
        <v>0</v>
      </c>
      <c r="M454" s="163">
        <f t="shared" si="267"/>
        <v>0</v>
      </c>
      <c r="N454" s="163">
        <f t="shared" si="283"/>
        <v>0</v>
      </c>
      <c r="O454" s="84">
        <f t="shared" si="272"/>
        <v>0</v>
      </c>
      <c r="P454" s="31">
        <f t="shared" si="273"/>
        <v>0</v>
      </c>
      <c r="Q454" s="5"/>
      <c r="R454">
        <f t="shared" ca="1" si="284"/>
        <v>571</v>
      </c>
      <c r="S454" s="133">
        <f t="shared" ca="1" si="285"/>
        <v>115</v>
      </c>
      <c r="T454" s="132">
        <f t="shared" ca="1" si="274"/>
        <v>0</v>
      </c>
      <c r="U454" s="133">
        <f t="shared" ref="U454:U517" ca="1" si="292">U453*(1-T454)</f>
        <v>1.9008342029825436E-4</v>
      </c>
      <c r="V454" s="31">
        <f t="shared" ca="1" si="286"/>
        <v>0</v>
      </c>
      <c r="W454" s="31">
        <f t="shared" ca="1" si="275"/>
        <v>0</v>
      </c>
      <c r="X454" s="163">
        <f t="shared" ref="X454:X517" ca="1" si="293">IF(V454=0,0,-$C$19)*U454</f>
        <v>0</v>
      </c>
      <c r="Y454" s="163">
        <f t="shared" ref="Y454:Y517" ca="1" si="294">IF(OR(V453+AB453=0,X453=0),0,-V454*($C$16/12))</f>
        <v>0</v>
      </c>
      <c r="Z454" s="163">
        <f t="shared" ca="1" si="287"/>
        <v>0</v>
      </c>
      <c r="AA454" s="163">
        <f t="shared" ref="AA454:AA517" ca="1" si="295">IF(OR(V453+AB453=0,X453=0),0,-V454*($C$18*(1+$C$20))/12)</f>
        <v>0</v>
      </c>
      <c r="AB454" s="84">
        <f t="shared" ca="1" si="276"/>
        <v>0</v>
      </c>
      <c r="AC454" s="160">
        <f t="shared" si="277"/>
        <v>0</v>
      </c>
      <c r="AD454" s="31">
        <f t="shared" ca="1" si="278"/>
        <v>0</v>
      </c>
      <c r="AE454" s="5"/>
      <c r="AF454" s="151">
        <f t="shared" ca="1" si="279"/>
        <v>0</v>
      </c>
      <c r="AG454" s="151">
        <f t="shared" ca="1" si="280"/>
        <v>0</v>
      </c>
      <c r="AH454" s="5"/>
      <c r="AI454" s="5"/>
      <c r="AS454" s="55">
        <f t="shared" si="288"/>
        <v>38</v>
      </c>
      <c r="AT454" s="56">
        <f t="shared" ref="AT454:AT517" si="296">AT453+1</f>
        <v>451</v>
      </c>
      <c r="AU454" s="57">
        <f t="shared" si="268"/>
        <v>0.11073387393624839</v>
      </c>
      <c r="AV454" s="58">
        <f t="shared" si="289"/>
        <v>4.8675505653430484E-3</v>
      </c>
      <c r="AW454" s="59">
        <f t="shared" si="290"/>
        <v>1.004867550565343</v>
      </c>
      <c r="AX454" s="60">
        <f>PRODUCT(AW$4:AW454)</f>
        <v>8.9346752041910058</v>
      </c>
    </row>
    <row r="455" spans="5:50">
      <c r="E455">
        <f t="shared" si="266"/>
        <v>452</v>
      </c>
      <c r="F455" s="9">
        <f t="shared" si="291"/>
        <v>106.5833333333312</v>
      </c>
      <c r="G455" s="132">
        <f t="shared" si="269"/>
        <v>0</v>
      </c>
      <c r="H455" s="133">
        <f t="shared" ref="H455:H518" si="297">H454*(1-G455)</f>
        <v>1</v>
      </c>
      <c r="I455" s="31">
        <f t="shared" si="281"/>
        <v>0</v>
      </c>
      <c r="J455" s="31">
        <f t="shared" si="270"/>
        <v>0</v>
      </c>
      <c r="K455" s="163">
        <f t="shared" si="271"/>
        <v>0</v>
      </c>
      <c r="L455" s="163">
        <f t="shared" si="282"/>
        <v>0</v>
      </c>
      <c r="M455" s="163">
        <f t="shared" si="267"/>
        <v>0</v>
      </c>
      <c r="N455" s="163">
        <f t="shared" si="283"/>
        <v>0</v>
      </c>
      <c r="O455" s="84">
        <f t="shared" si="272"/>
        <v>0</v>
      </c>
      <c r="P455" s="31">
        <f t="shared" si="273"/>
        <v>0</v>
      </c>
      <c r="Q455" s="5"/>
      <c r="R455">
        <f t="shared" ca="1" si="284"/>
        <v>572</v>
      </c>
      <c r="S455" s="133">
        <f t="shared" ca="1" si="285"/>
        <v>115.08</v>
      </c>
      <c r="T455" s="132">
        <f t="shared" ca="1" si="274"/>
        <v>0</v>
      </c>
      <c r="U455" s="133">
        <f t="shared" ca="1" si="292"/>
        <v>1.9008342029825436E-4</v>
      </c>
      <c r="V455" s="31">
        <f t="shared" ca="1" si="286"/>
        <v>0</v>
      </c>
      <c r="W455" s="31">
        <f t="shared" ca="1" si="275"/>
        <v>0</v>
      </c>
      <c r="X455" s="163">
        <f t="shared" ca="1" si="293"/>
        <v>0</v>
      </c>
      <c r="Y455" s="163">
        <f t="shared" ca="1" si="294"/>
        <v>0</v>
      </c>
      <c r="Z455" s="163">
        <f t="shared" ca="1" si="287"/>
        <v>0</v>
      </c>
      <c r="AA455" s="163">
        <f t="shared" ca="1" si="295"/>
        <v>0</v>
      </c>
      <c r="AB455" s="84">
        <f t="shared" ca="1" si="276"/>
        <v>0</v>
      </c>
      <c r="AC455" s="160">
        <f t="shared" si="277"/>
        <v>0</v>
      </c>
      <c r="AD455" s="31">
        <f t="shared" ca="1" si="278"/>
        <v>0</v>
      </c>
      <c r="AE455" s="5"/>
      <c r="AF455" s="151">
        <f t="shared" ca="1" si="279"/>
        <v>0</v>
      </c>
      <c r="AG455" s="151">
        <f t="shared" ca="1" si="280"/>
        <v>0</v>
      </c>
      <c r="AH455" s="5"/>
      <c r="AI455" s="5"/>
      <c r="AS455" s="55">
        <f t="shared" si="288"/>
        <v>38</v>
      </c>
      <c r="AT455" s="56">
        <f t="shared" si="296"/>
        <v>452</v>
      </c>
      <c r="AU455" s="57">
        <f t="shared" si="268"/>
        <v>0.11019487120556738</v>
      </c>
      <c r="AV455" s="58">
        <f t="shared" si="289"/>
        <v>4.8675505653430484E-3</v>
      </c>
      <c r="AW455" s="59">
        <f t="shared" si="290"/>
        <v>1.004867550565343</v>
      </c>
      <c r="AX455" s="60">
        <f>PRODUCT(AW$4:AW455)</f>
        <v>8.9781651875323227</v>
      </c>
    </row>
    <row r="456" spans="5:50">
      <c r="E456">
        <f t="shared" si="266"/>
        <v>453</v>
      </c>
      <c r="F456" s="9">
        <f t="shared" si="291"/>
        <v>106.66666666666453</v>
      </c>
      <c r="G456" s="132">
        <f t="shared" si="269"/>
        <v>0</v>
      </c>
      <c r="H456" s="133">
        <f t="shared" si="297"/>
        <v>1</v>
      </c>
      <c r="I456" s="31">
        <f t="shared" si="281"/>
        <v>0</v>
      </c>
      <c r="J456" s="31">
        <f t="shared" si="270"/>
        <v>0</v>
      </c>
      <c r="K456" s="163">
        <f t="shared" si="271"/>
        <v>0</v>
      </c>
      <c r="L456" s="163">
        <f t="shared" si="282"/>
        <v>0</v>
      </c>
      <c r="M456" s="163">
        <f t="shared" si="267"/>
        <v>0</v>
      </c>
      <c r="N456" s="163">
        <f t="shared" si="283"/>
        <v>0</v>
      </c>
      <c r="O456" s="84">
        <f t="shared" si="272"/>
        <v>0</v>
      </c>
      <c r="P456" s="31">
        <f t="shared" si="273"/>
        <v>0</v>
      </c>
      <c r="Q456" s="5"/>
      <c r="R456">
        <f t="shared" ca="1" si="284"/>
        <v>573</v>
      </c>
      <c r="S456" s="133">
        <f t="shared" ca="1" si="285"/>
        <v>115.16</v>
      </c>
      <c r="T456" s="132">
        <f t="shared" ca="1" si="274"/>
        <v>0</v>
      </c>
      <c r="U456" s="133">
        <f t="shared" ca="1" si="292"/>
        <v>1.9008342029825436E-4</v>
      </c>
      <c r="V456" s="31">
        <f t="shared" ca="1" si="286"/>
        <v>0</v>
      </c>
      <c r="W456" s="31">
        <f t="shared" ca="1" si="275"/>
        <v>0</v>
      </c>
      <c r="X456" s="163">
        <f t="shared" ca="1" si="293"/>
        <v>0</v>
      </c>
      <c r="Y456" s="163">
        <f t="shared" ca="1" si="294"/>
        <v>0</v>
      </c>
      <c r="Z456" s="163">
        <f t="shared" ca="1" si="287"/>
        <v>0</v>
      </c>
      <c r="AA456" s="163">
        <f t="shared" ca="1" si="295"/>
        <v>0</v>
      </c>
      <c r="AB456" s="84">
        <f t="shared" ca="1" si="276"/>
        <v>0</v>
      </c>
      <c r="AC456" s="160">
        <f t="shared" si="277"/>
        <v>0</v>
      </c>
      <c r="AD456" s="31">
        <f t="shared" ca="1" si="278"/>
        <v>0</v>
      </c>
      <c r="AE456" s="5"/>
      <c r="AF456" s="151">
        <f t="shared" ca="1" si="279"/>
        <v>0</v>
      </c>
      <c r="AG456" s="151">
        <f t="shared" ca="1" si="280"/>
        <v>0</v>
      </c>
      <c r="AH456" s="5"/>
      <c r="AI456" s="5"/>
      <c r="AS456" s="55">
        <f t="shared" si="288"/>
        <v>38</v>
      </c>
      <c r="AT456" s="56">
        <f t="shared" si="296"/>
        <v>453</v>
      </c>
      <c r="AU456" s="57">
        <f t="shared" si="268"/>
        <v>0.10965849209793282</v>
      </c>
      <c r="AV456" s="58">
        <f t="shared" si="289"/>
        <v>4.8675505653430484E-3</v>
      </c>
      <c r="AW456" s="59">
        <f t="shared" si="290"/>
        <v>1.004867550565343</v>
      </c>
      <c r="AX456" s="60">
        <f>PRODUCT(AW$4:AW456)</f>
        <v>9.0218668605666394</v>
      </c>
    </row>
    <row r="457" spans="5:50">
      <c r="E457">
        <f t="shared" si="266"/>
        <v>454</v>
      </c>
      <c r="F457" s="9">
        <f t="shared" si="291"/>
        <v>106.74999999999785</v>
      </c>
      <c r="G457" s="132">
        <f t="shared" si="269"/>
        <v>0</v>
      </c>
      <c r="H457" s="133">
        <f t="shared" si="297"/>
        <v>1</v>
      </c>
      <c r="I457" s="31">
        <f t="shared" si="281"/>
        <v>0</v>
      </c>
      <c r="J457" s="31">
        <f t="shared" si="270"/>
        <v>0</v>
      </c>
      <c r="K457" s="163">
        <f t="shared" si="271"/>
        <v>0</v>
      </c>
      <c r="L457" s="163">
        <f t="shared" si="282"/>
        <v>0</v>
      </c>
      <c r="M457" s="163">
        <f t="shared" si="267"/>
        <v>0</v>
      </c>
      <c r="N457" s="163">
        <f t="shared" si="283"/>
        <v>0</v>
      </c>
      <c r="O457" s="84">
        <f t="shared" si="272"/>
        <v>0</v>
      </c>
      <c r="P457" s="31">
        <f t="shared" si="273"/>
        <v>0</v>
      </c>
      <c r="Q457" s="5"/>
      <c r="R457">
        <f t="shared" ca="1" si="284"/>
        <v>574</v>
      </c>
      <c r="S457" s="133">
        <f t="shared" ca="1" si="285"/>
        <v>115.24</v>
      </c>
      <c r="T457" s="132">
        <f t="shared" ca="1" si="274"/>
        <v>0</v>
      </c>
      <c r="U457" s="133">
        <f t="shared" ca="1" si="292"/>
        <v>1.9008342029825436E-4</v>
      </c>
      <c r="V457" s="31">
        <f t="shared" ca="1" si="286"/>
        <v>0</v>
      </c>
      <c r="W457" s="31">
        <f t="shared" ca="1" si="275"/>
        <v>0</v>
      </c>
      <c r="X457" s="163">
        <f t="shared" ca="1" si="293"/>
        <v>0</v>
      </c>
      <c r="Y457" s="163">
        <f t="shared" ca="1" si="294"/>
        <v>0</v>
      </c>
      <c r="Z457" s="163">
        <f t="shared" ca="1" si="287"/>
        <v>0</v>
      </c>
      <c r="AA457" s="163">
        <f t="shared" ca="1" si="295"/>
        <v>0</v>
      </c>
      <c r="AB457" s="84">
        <f t="shared" ca="1" si="276"/>
        <v>0</v>
      </c>
      <c r="AC457" s="160">
        <f t="shared" si="277"/>
        <v>0</v>
      </c>
      <c r="AD457" s="31">
        <f t="shared" ca="1" si="278"/>
        <v>0</v>
      </c>
      <c r="AE457" s="5"/>
      <c r="AF457" s="151">
        <f t="shared" ca="1" si="279"/>
        <v>0</v>
      </c>
      <c r="AG457" s="151">
        <f t="shared" ca="1" si="280"/>
        <v>0</v>
      </c>
      <c r="AH457" s="5"/>
      <c r="AI457" s="5"/>
      <c r="AS457" s="55">
        <f t="shared" si="288"/>
        <v>38</v>
      </c>
      <c r="AT457" s="56">
        <f t="shared" si="296"/>
        <v>454</v>
      </c>
      <c r="AU457" s="57">
        <f t="shared" si="268"/>
        <v>0.10912472384272687</v>
      </c>
      <c r="AV457" s="58">
        <f t="shared" si="289"/>
        <v>4.8675505653430484E-3</v>
      </c>
      <c r="AW457" s="59">
        <f t="shared" si="290"/>
        <v>1.004867550565343</v>
      </c>
      <c r="AX457" s="60">
        <f>PRODUCT(AW$4:AW457)</f>
        <v>9.065781253704241</v>
      </c>
    </row>
    <row r="458" spans="5:50">
      <c r="E458">
        <f t="shared" si="266"/>
        <v>455</v>
      </c>
      <c r="F458" s="9">
        <f t="shared" si="291"/>
        <v>106.83333333333118</v>
      </c>
      <c r="G458" s="132">
        <f t="shared" si="269"/>
        <v>0</v>
      </c>
      <c r="H458" s="133">
        <f t="shared" si="297"/>
        <v>1</v>
      </c>
      <c r="I458" s="31">
        <f t="shared" si="281"/>
        <v>0</v>
      </c>
      <c r="J458" s="31">
        <f t="shared" si="270"/>
        <v>0</v>
      </c>
      <c r="K458" s="163">
        <f t="shared" si="271"/>
        <v>0</v>
      </c>
      <c r="L458" s="163">
        <f t="shared" si="282"/>
        <v>0</v>
      </c>
      <c r="M458" s="163">
        <f t="shared" si="267"/>
        <v>0</v>
      </c>
      <c r="N458" s="163">
        <f t="shared" si="283"/>
        <v>0</v>
      </c>
      <c r="O458" s="84">
        <f t="shared" si="272"/>
        <v>0</v>
      </c>
      <c r="P458" s="31">
        <f t="shared" si="273"/>
        <v>0</v>
      </c>
      <c r="Q458" s="5"/>
      <c r="R458">
        <f t="shared" ca="1" si="284"/>
        <v>575</v>
      </c>
      <c r="S458" s="133">
        <f t="shared" ca="1" si="285"/>
        <v>115.32</v>
      </c>
      <c r="T458" s="132">
        <f t="shared" ca="1" si="274"/>
        <v>0</v>
      </c>
      <c r="U458" s="133">
        <f t="shared" ca="1" si="292"/>
        <v>1.9008342029825436E-4</v>
      </c>
      <c r="V458" s="31">
        <f t="shared" ca="1" si="286"/>
        <v>0</v>
      </c>
      <c r="W458" s="31">
        <f t="shared" ca="1" si="275"/>
        <v>0</v>
      </c>
      <c r="X458" s="163">
        <f t="shared" ca="1" si="293"/>
        <v>0</v>
      </c>
      <c r="Y458" s="163">
        <f t="shared" ca="1" si="294"/>
        <v>0</v>
      </c>
      <c r="Z458" s="163">
        <f t="shared" ca="1" si="287"/>
        <v>0</v>
      </c>
      <c r="AA458" s="163">
        <f t="shared" ca="1" si="295"/>
        <v>0</v>
      </c>
      <c r="AB458" s="84">
        <f t="shared" ca="1" si="276"/>
        <v>0</v>
      </c>
      <c r="AC458" s="160">
        <f t="shared" si="277"/>
        <v>0</v>
      </c>
      <c r="AD458" s="31">
        <f t="shared" ca="1" si="278"/>
        <v>0</v>
      </c>
      <c r="AE458" s="5"/>
      <c r="AF458" s="151">
        <f t="shared" ca="1" si="279"/>
        <v>0</v>
      </c>
      <c r="AG458" s="151">
        <f t="shared" ca="1" si="280"/>
        <v>0</v>
      </c>
      <c r="AH458" s="5"/>
      <c r="AI458" s="5"/>
      <c r="AS458" s="55">
        <f t="shared" si="288"/>
        <v>38</v>
      </c>
      <c r="AT458" s="56">
        <f t="shared" si="296"/>
        <v>455</v>
      </c>
      <c r="AU458" s="57">
        <f t="shared" si="268"/>
        <v>0.10859355373149329</v>
      </c>
      <c r="AV458" s="58">
        <f t="shared" si="289"/>
        <v>4.8675505653430484E-3</v>
      </c>
      <c r="AW458" s="59">
        <f t="shared" si="290"/>
        <v>1.004867550565343</v>
      </c>
      <c r="AX458" s="60">
        <f>PRODUCT(AW$4:AW458)</f>
        <v>9.1099094023709863</v>
      </c>
    </row>
    <row r="459" spans="5:50">
      <c r="E459">
        <f t="shared" si="266"/>
        <v>456</v>
      </c>
      <c r="F459" s="9">
        <f t="shared" si="291"/>
        <v>106.91666666666451</v>
      </c>
      <c r="G459" s="132">
        <f t="shared" si="269"/>
        <v>0</v>
      </c>
      <c r="H459" s="133">
        <f t="shared" si="297"/>
        <v>1</v>
      </c>
      <c r="I459" s="31">
        <f t="shared" si="281"/>
        <v>0</v>
      </c>
      <c r="J459" s="31">
        <f t="shared" si="270"/>
        <v>0</v>
      </c>
      <c r="K459" s="163">
        <f t="shared" si="271"/>
        <v>0</v>
      </c>
      <c r="L459" s="163">
        <f t="shared" si="282"/>
        <v>0</v>
      </c>
      <c r="M459" s="163">
        <f t="shared" si="267"/>
        <v>0</v>
      </c>
      <c r="N459" s="163">
        <f t="shared" si="283"/>
        <v>0</v>
      </c>
      <c r="O459" s="84">
        <f t="shared" si="272"/>
        <v>0</v>
      </c>
      <c r="P459" s="31">
        <f t="shared" si="273"/>
        <v>0</v>
      </c>
      <c r="Q459" s="5"/>
      <c r="R459">
        <f t="shared" ca="1" si="284"/>
        <v>576</v>
      </c>
      <c r="S459" s="133">
        <f t="shared" ca="1" si="285"/>
        <v>115.4</v>
      </c>
      <c r="T459" s="132">
        <f t="shared" ca="1" si="274"/>
        <v>0</v>
      </c>
      <c r="U459" s="133">
        <f t="shared" ca="1" si="292"/>
        <v>1.9008342029825436E-4</v>
      </c>
      <c r="V459" s="31">
        <f t="shared" ca="1" si="286"/>
        <v>0</v>
      </c>
      <c r="W459" s="31">
        <f t="shared" ca="1" si="275"/>
        <v>0</v>
      </c>
      <c r="X459" s="163">
        <f t="shared" ca="1" si="293"/>
        <v>0</v>
      </c>
      <c r="Y459" s="163">
        <f t="shared" ca="1" si="294"/>
        <v>0</v>
      </c>
      <c r="Z459" s="163">
        <f t="shared" ca="1" si="287"/>
        <v>0</v>
      </c>
      <c r="AA459" s="163">
        <f t="shared" ca="1" si="295"/>
        <v>0</v>
      </c>
      <c r="AB459" s="84">
        <f t="shared" ca="1" si="276"/>
        <v>0</v>
      </c>
      <c r="AC459" s="160">
        <f t="shared" si="277"/>
        <v>0</v>
      </c>
      <c r="AD459" s="31">
        <f t="shared" ca="1" si="278"/>
        <v>0</v>
      </c>
      <c r="AE459" s="5"/>
      <c r="AF459" s="151">
        <f t="shared" ca="1" si="279"/>
        <v>0</v>
      </c>
      <c r="AG459" s="151">
        <f t="shared" ca="1" si="280"/>
        <v>0</v>
      </c>
      <c r="AH459" s="5"/>
      <c r="AI459" s="5"/>
      <c r="AS459" s="55">
        <f t="shared" si="288"/>
        <v>38</v>
      </c>
      <c r="AT459" s="56">
        <f t="shared" si="296"/>
        <v>456</v>
      </c>
      <c r="AU459" s="57">
        <f t="shared" si="268"/>
        <v>0.10806496911763495</v>
      </c>
      <c r="AV459" s="58">
        <f t="shared" si="289"/>
        <v>4.8675505653430484E-3</v>
      </c>
      <c r="AW459" s="59">
        <f t="shared" si="290"/>
        <v>1.004867550565343</v>
      </c>
      <c r="AX459" s="60">
        <f>PRODUCT(AW$4:AW459)</f>
        <v>9.1542523470327204</v>
      </c>
    </row>
    <row r="460" spans="5:50">
      <c r="E460">
        <f t="shared" si="266"/>
        <v>457</v>
      </c>
      <c r="F460" s="9">
        <f t="shared" si="291"/>
        <v>106.99999999999784</v>
      </c>
      <c r="G460" s="132">
        <f t="shared" si="269"/>
        <v>0</v>
      </c>
      <c r="H460" s="133">
        <f t="shared" si="297"/>
        <v>1</v>
      </c>
      <c r="I460" s="31">
        <f t="shared" si="281"/>
        <v>0</v>
      </c>
      <c r="J460" s="31">
        <f t="shared" si="270"/>
        <v>0</v>
      </c>
      <c r="K460" s="163">
        <f t="shared" si="271"/>
        <v>0</v>
      </c>
      <c r="L460" s="163">
        <f t="shared" si="282"/>
        <v>0</v>
      </c>
      <c r="M460" s="163">
        <f t="shared" si="267"/>
        <v>0</v>
      </c>
      <c r="N460" s="163">
        <f t="shared" si="283"/>
        <v>0</v>
      </c>
      <c r="O460" s="84">
        <f t="shared" si="272"/>
        <v>0</v>
      </c>
      <c r="P460" s="31">
        <f t="shared" si="273"/>
        <v>0</v>
      </c>
      <c r="Q460" s="5"/>
      <c r="R460">
        <f t="shared" ca="1" si="284"/>
        <v>577</v>
      </c>
      <c r="S460" s="133">
        <f t="shared" ca="1" si="285"/>
        <v>115.48</v>
      </c>
      <c r="T460" s="132">
        <f t="shared" ca="1" si="274"/>
        <v>0</v>
      </c>
      <c r="U460" s="133">
        <f t="shared" ca="1" si="292"/>
        <v>1.9008342029825436E-4</v>
      </c>
      <c r="V460" s="31">
        <f t="shared" ca="1" si="286"/>
        <v>0</v>
      </c>
      <c r="W460" s="31">
        <f t="shared" ca="1" si="275"/>
        <v>0</v>
      </c>
      <c r="X460" s="163">
        <f t="shared" ca="1" si="293"/>
        <v>0</v>
      </c>
      <c r="Y460" s="163">
        <f t="shared" ca="1" si="294"/>
        <v>0</v>
      </c>
      <c r="Z460" s="163">
        <f t="shared" ca="1" si="287"/>
        <v>0</v>
      </c>
      <c r="AA460" s="163">
        <f t="shared" ca="1" si="295"/>
        <v>0</v>
      </c>
      <c r="AB460" s="84">
        <f t="shared" ca="1" si="276"/>
        <v>0</v>
      </c>
      <c r="AC460" s="160">
        <f t="shared" si="277"/>
        <v>0</v>
      </c>
      <c r="AD460" s="31">
        <f t="shared" ca="1" si="278"/>
        <v>0</v>
      </c>
      <c r="AE460" s="5"/>
      <c r="AF460" s="151">
        <f t="shared" ca="1" si="279"/>
        <v>0</v>
      </c>
      <c r="AG460" s="151">
        <f t="shared" ca="1" si="280"/>
        <v>0</v>
      </c>
      <c r="AH460" s="5"/>
      <c r="AI460" s="5"/>
      <c r="AS460" s="55">
        <f t="shared" si="288"/>
        <v>39</v>
      </c>
      <c r="AT460" s="56">
        <f t="shared" si="296"/>
        <v>457</v>
      </c>
      <c r="AU460" s="57">
        <f t="shared" si="268"/>
        <v>0.10753895741611263</v>
      </c>
      <c r="AV460" s="58">
        <f t="shared" si="289"/>
        <v>4.8675505653430484E-3</v>
      </c>
      <c r="AW460" s="59">
        <f t="shared" si="290"/>
        <v>1.004867550565343</v>
      </c>
      <c r="AX460" s="60">
        <f>PRODUCT(AW$4:AW460)</f>
        <v>9.198811133219813</v>
      </c>
    </row>
    <row r="461" spans="5:50">
      <c r="E461">
        <f t="shared" si="266"/>
        <v>458</v>
      </c>
      <c r="F461" s="9">
        <f t="shared" si="291"/>
        <v>107.08333333333117</v>
      </c>
      <c r="G461" s="132">
        <f t="shared" si="269"/>
        <v>0</v>
      </c>
      <c r="H461" s="133">
        <f t="shared" si="297"/>
        <v>1</v>
      </c>
      <c r="I461" s="31">
        <f t="shared" si="281"/>
        <v>0</v>
      </c>
      <c r="J461" s="31">
        <f t="shared" si="270"/>
        <v>0</v>
      </c>
      <c r="K461" s="163">
        <f t="shared" si="271"/>
        <v>0</v>
      </c>
      <c r="L461" s="163">
        <f t="shared" si="282"/>
        <v>0</v>
      </c>
      <c r="M461" s="163">
        <f t="shared" si="267"/>
        <v>0</v>
      </c>
      <c r="N461" s="163">
        <f t="shared" si="283"/>
        <v>0</v>
      </c>
      <c r="O461" s="84">
        <f t="shared" si="272"/>
        <v>0</v>
      </c>
      <c r="P461" s="31">
        <f t="shared" si="273"/>
        <v>0</v>
      </c>
      <c r="Q461" s="5"/>
      <c r="R461">
        <f t="shared" ca="1" si="284"/>
        <v>578</v>
      </c>
      <c r="S461" s="133">
        <f t="shared" ca="1" si="285"/>
        <v>115.56</v>
      </c>
      <c r="T461" s="132">
        <f t="shared" ca="1" si="274"/>
        <v>0</v>
      </c>
      <c r="U461" s="133">
        <f t="shared" ca="1" si="292"/>
        <v>1.9008342029825436E-4</v>
      </c>
      <c r="V461" s="31">
        <f t="shared" ca="1" si="286"/>
        <v>0</v>
      </c>
      <c r="W461" s="31">
        <f t="shared" ca="1" si="275"/>
        <v>0</v>
      </c>
      <c r="X461" s="163">
        <f t="shared" ca="1" si="293"/>
        <v>0</v>
      </c>
      <c r="Y461" s="163">
        <f t="shared" ca="1" si="294"/>
        <v>0</v>
      </c>
      <c r="Z461" s="163">
        <f t="shared" ca="1" si="287"/>
        <v>0</v>
      </c>
      <c r="AA461" s="163">
        <f t="shared" ca="1" si="295"/>
        <v>0</v>
      </c>
      <c r="AB461" s="84">
        <f t="shared" ca="1" si="276"/>
        <v>0</v>
      </c>
      <c r="AC461" s="160">
        <f t="shared" si="277"/>
        <v>0</v>
      </c>
      <c r="AD461" s="31">
        <f t="shared" ca="1" si="278"/>
        <v>0</v>
      </c>
      <c r="AE461" s="5"/>
      <c r="AF461" s="151">
        <f t="shared" ca="1" si="279"/>
        <v>0</v>
      </c>
      <c r="AG461" s="151">
        <f t="shared" ca="1" si="280"/>
        <v>0</v>
      </c>
      <c r="AH461" s="5"/>
      <c r="AI461" s="5"/>
      <c r="AS461" s="55">
        <f t="shared" si="288"/>
        <v>39</v>
      </c>
      <c r="AT461" s="56">
        <f t="shared" si="296"/>
        <v>458</v>
      </c>
      <c r="AU461" s="57">
        <f t="shared" si="268"/>
        <v>0.10701550610314543</v>
      </c>
      <c r="AV461" s="58">
        <f t="shared" si="289"/>
        <v>4.8675505653430484E-3</v>
      </c>
      <c r="AW461" s="59">
        <f t="shared" si="290"/>
        <v>1.004867550565343</v>
      </c>
      <c r="AX461" s="60">
        <f>PRODUCT(AW$4:AW461)</f>
        <v>9.2435868115518005</v>
      </c>
    </row>
    <row r="462" spans="5:50">
      <c r="E462">
        <f t="shared" si="266"/>
        <v>459</v>
      </c>
      <c r="F462" s="9">
        <f t="shared" si="291"/>
        <v>107.1666666666645</v>
      </c>
      <c r="G462" s="132">
        <f t="shared" si="269"/>
        <v>0</v>
      </c>
      <c r="H462" s="133">
        <f t="shared" si="297"/>
        <v>1</v>
      </c>
      <c r="I462" s="31">
        <f t="shared" si="281"/>
        <v>0</v>
      </c>
      <c r="J462" s="31">
        <f t="shared" si="270"/>
        <v>0</v>
      </c>
      <c r="K462" s="163">
        <f t="shared" si="271"/>
        <v>0</v>
      </c>
      <c r="L462" s="163">
        <f t="shared" si="282"/>
        <v>0</v>
      </c>
      <c r="M462" s="163">
        <f t="shared" si="267"/>
        <v>0</v>
      </c>
      <c r="N462" s="163">
        <f t="shared" si="283"/>
        <v>0</v>
      </c>
      <c r="O462" s="84">
        <f t="shared" si="272"/>
        <v>0</v>
      </c>
      <c r="P462" s="31">
        <f t="shared" si="273"/>
        <v>0</v>
      </c>
      <c r="Q462" s="5"/>
      <c r="R462">
        <f t="shared" ca="1" si="284"/>
        <v>579</v>
      </c>
      <c r="S462" s="133">
        <f t="shared" ca="1" si="285"/>
        <v>115.64</v>
      </c>
      <c r="T462" s="132">
        <f t="shared" ca="1" si="274"/>
        <v>0</v>
      </c>
      <c r="U462" s="133">
        <f t="shared" ca="1" si="292"/>
        <v>1.9008342029825436E-4</v>
      </c>
      <c r="V462" s="31">
        <f t="shared" ca="1" si="286"/>
        <v>0</v>
      </c>
      <c r="W462" s="31">
        <f t="shared" ca="1" si="275"/>
        <v>0</v>
      </c>
      <c r="X462" s="163">
        <f t="shared" ca="1" si="293"/>
        <v>0</v>
      </c>
      <c r="Y462" s="163">
        <f t="shared" ca="1" si="294"/>
        <v>0</v>
      </c>
      <c r="Z462" s="163">
        <f t="shared" ca="1" si="287"/>
        <v>0</v>
      </c>
      <c r="AA462" s="163">
        <f t="shared" ca="1" si="295"/>
        <v>0</v>
      </c>
      <c r="AB462" s="84">
        <f t="shared" ca="1" si="276"/>
        <v>0</v>
      </c>
      <c r="AC462" s="160">
        <f t="shared" si="277"/>
        <v>0</v>
      </c>
      <c r="AD462" s="31">
        <f t="shared" ca="1" si="278"/>
        <v>0</v>
      </c>
      <c r="AE462" s="5"/>
      <c r="AF462" s="151">
        <f t="shared" ca="1" si="279"/>
        <v>0</v>
      </c>
      <c r="AG462" s="151">
        <f t="shared" ca="1" si="280"/>
        <v>0</v>
      </c>
      <c r="AH462" s="5"/>
      <c r="AI462" s="5"/>
      <c r="AS462" s="55">
        <f t="shared" si="288"/>
        <v>39</v>
      </c>
      <c r="AT462" s="56">
        <f t="shared" si="296"/>
        <v>459</v>
      </c>
      <c r="AU462" s="57">
        <f t="shared" si="268"/>
        <v>0.1064946027159126</v>
      </c>
      <c r="AV462" s="58">
        <f t="shared" si="289"/>
        <v>4.8675505653430484E-3</v>
      </c>
      <c r="AW462" s="59">
        <f t="shared" si="290"/>
        <v>1.004867550565343</v>
      </c>
      <c r="AX462" s="60">
        <f>PRODUCT(AW$4:AW462)</f>
        <v>9.2885804377621675</v>
      </c>
    </row>
    <row r="463" spans="5:50">
      <c r="E463">
        <f t="shared" si="266"/>
        <v>460</v>
      </c>
      <c r="F463" s="9">
        <f t="shared" si="291"/>
        <v>107.24999999999783</v>
      </c>
      <c r="G463" s="132">
        <f t="shared" si="269"/>
        <v>0</v>
      </c>
      <c r="H463" s="133">
        <f t="shared" si="297"/>
        <v>1</v>
      </c>
      <c r="I463" s="31">
        <f t="shared" si="281"/>
        <v>0</v>
      </c>
      <c r="J463" s="31">
        <f t="shared" si="270"/>
        <v>0</v>
      </c>
      <c r="K463" s="163">
        <f t="shared" si="271"/>
        <v>0</v>
      </c>
      <c r="L463" s="163">
        <f t="shared" si="282"/>
        <v>0</v>
      </c>
      <c r="M463" s="163">
        <f t="shared" si="267"/>
        <v>0</v>
      </c>
      <c r="N463" s="163">
        <f t="shared" si="283"/>
        <v>0</v>
      </c>
      <c r="O463" s="84">
        <f t="shared" si="272"/>
        <v>0</v>
      </c>
      <c r="P463" s="31">
        <f t="shared" si="273"/>
        <v>0</v>
      </c>
      <c r="Q463" s="5"/>
      <c r="R463">
        <f t="shared" ca="1" si="284"/>
        <v>580</v>
      </c>
      <c r="S463" s="133">
        <f t="shared" ca="1" si="285"/>
        <v>115.72</v>
      </c>
      <c r="T463" s="132">
        <f t="shared" ca="1" si="274"/>
        <v>0</v>
      </c>
      <c r="U463" s="133">
        <f t="shared" ca="1" si="292"/>
        <v>1.9008342029825436E-4</v>
      </c>
      <c r="V463" s="31">
        <f t="shared" ca="1" si="286"/>
        <v>0</v>
      </c>
      <c r="W463" s="31">
        <f t="shared" ca="1" si="275"/>
        <v>0</v>
      </c>
      <c r="X463" s="163">
        <f t="shared" ca="1" si="293"/>
        <v>0</v>
      </c>
      <c r="Y463" s="163">
        <f t="shared" ca="1" si="294"/>
        <v>0</v>
      </c>
      <c r="Z463" s="163">
        <f t="shared" ca="1" si="287"/>
        <v>0</v>
      </c>
      <c r="AA463" s="163">
        <f t="shared" ca="1" si="295"/>
        <v>0</v>
      </c>
      <c r="AB463" s="84">
        <f t="shared" ca="1" si="276"/>
        <v>0</v>
      </c>
      <c r="AC463" s="160">
        <f t="shared" si="277"/>
        <v>0</v>
      </c>
      <c r="AD463" s="31">
        <f t="shared" ca="1" si="278"/>
        <v>0</v>
      </c>
      <c r="AE463" s="5"/>
      <c r="AF463" s="151">
        <f t="shared" ca="1" si="279"/>
        <v>0</v>
      </c>
      <c r="AG463" s="151">
        <f t="shared" ca="1" si="280"/>
        <v>0</v>
      </c>
      <c r="AH463" s="5"/>
      <c r="AI463" s="5"/>
      <c r="AS463" s="55">
        <f t="shared" si="288"/>
        <v>39</v>
      </c>
      <c r="AT463" s="56">
        <f t="shared" si="296"/>
        <v>460</v>
      </c>
      <c r="AU463" s="57">
        <f t="shared" si="268"/>
        <v>0.10597623485225678</v>
      </c>
      <c r="AV463" s="58">
        <f t="shared" si="289"/>
        <v>4.8675505653430484E-3</v>
      </c>
      <c r="AW463" s="59">
        <f t="shared" si="290"/>
        <v>1.004867550565343</v>
      </c>
      <c r="AX463" s="60">
        <f>PRODUCT(AW$4:AW463)</f>
        <v>9.3337930727232319</v>
      </c>
    </row>
    <row r="464" spans="5:50">
      <c r="E464">
        <f t="shared" ref="E464:E527" si="298">E463+1</f>
        <v>461</v>
      </c>
      <c r="F464" s="9">
        <f t="shared" si="291"/>
        <v>107.33333333333115</v>
      </c>
      <c r="G464" s="132">
        <f t="shared" si="269"/>
        <v>0</v>
      </c>
      <c r="H464" s="133">
        <f t="shared" si="297"/>
        <v>1</v>
      </c>
      <c r="I464" s="31">
        <f t="shared" si="281"/>
        <v>0</v>
      </c>
      <c r="J464" s="31">
        <f t="shared" si="270"/>
        <v>0</v>
      </c>
      <c r="K464" s="163">
        <f t="shared" si="271"/>
        <v>0</v>
      </c>
      <c r="L464" s="163">
        <f t="shared" si="282"/>
        <v>0</v>
      </c>
      <c r="M464" s="163">
        <f t="shared" ref="M464:M527" si="299">IF(OR(I463+O463=0,K463=0),0,-IF(MOD(E464-1,12)=0,1,0)*I464*($C$17))</f>
        <v>0</v>
      </c>
      <c r="N464" s="163">
        <f t="shared" si="283"/>
        <v>0</v>
      </c>
      <c r="O464" s="84">
        <f t="shared" si="272"/>
        <v>0</v>
      </c>
      <c r="P464" s="31">
        <f t="shared" si="273"/>
        <v>0</v>
      </c>
      <c r="Q464" s="5"/>
      <c r="R464">
        <f t="shared" ca="1" si="284"/>
        <v>581</v>
      </c>
      <c r="S464" s="133">
        <f t="shared" ca="1" si="285"/>
        <v>115.8</v>
      </c>
      <c r="T464" s="132">
        <f t="shared" ca="1" si="274"/>
        <v>0</v>
      </c>
      <c r="U464" s="133">
        <f t="shared" ca="1" si="292"/>
        <v>1.9008342029825436E-4</v>
      </c>
      <c r="V464" s="31">
        <f t="shared" ca="1" si="286"/>
        <v>0</v>
      </c>
      <c r="W464" s="31">
        <f t="shared" ca="1" si="275"/>
        <v>0</v>
      </c>
      <c r="X464" s="163">
        <f t="shared" ca="1" si="293"/>
        <v>0</v>
      </c>
      <c r="Y464" s="163">
        <f t="shared" ca="1" si="294"/>
        <v>0</v>
      </c>
      <c r="Z464" s="163">
        <f t="shared" ca="1" si="287"/>
        <v>0</v>
      </c>
      <c r="AA464" s="163">
        <f t="shared" ca="1" si="295"/>
        <v>0</v>
      </c>
      <c r="AB464" s="84">
        <f t="shared" ca="1" si="276"/>
        <v>0</v>
      </c>
      <c r="AC464" s="160">
        <f t="shared" si="277"/>
        <v>0</v>
      </c>
      <c r="AD464" s="31">
        <f t="shared" ca="1" si="278"/>
        <v>0</v>
      </c>
      <c r="AE464" s="5"/>
      <c r="AF464" s="151">
        <f t="shared" ca="1" si="279"/>
        <v>0</v>
      </c>
      <c r="AG464" s="151">
        <f t="shared" ca="1" si="280"/>
        <v>0</v>
      </c>
      <c r="AH464" s="5"/>
      <c r="AI464" s="5"/>
      <c r="AS464" s="55">
        <f t="shared" si="288"/>
        <v>39</v>
      </c>
      <c r="AT464" s="56">
        <f t="shared" si="296"/>
        <v>461</v>
      </c>
      <c r="AU464" s="57">
        <f t="shared" si="268"/>
        <v>0.10546039017038875</v>
      </c>
      <c r="AV464" s="58">
        <f t="shared" si="289"/>
        <v>4.8675505653430484E-3</v>
      </c>
      <c r="AW464" s="59">
        <f t="shared" si="290"/>
        <v>1.004867550565343</v>
      </c>
      <c r="AX464" s="60">
        <f>PRODUCT(AW$4:AW464)</f>
        <v>9.3792257824711616</v>
      </c>
    </row>
    <row r="465" spans="5:50">
      <c r="E465">
        <f t="shared" si="298"/>
        <v>462</v>
      </c>
      <c r="F465" s="9">
        <f t="shared" si="291"/>
        <v>107.41666666666448</v>
      </c>
      <c r="G465" s="132">
        <f t="shared" si="269"/>
        <v>0</v>
      </c>
      <c r="H465" s="133">
        <f t="shared" si="297"/>
        <v>1</v>
      </c>
      <c r="I465" s="31">
        <f t="shared" si="281"/>
        <v>0</v>
      </c>
      <c r="J465" s="31">
        <f t="shared" si="270"/>
        <v>0</v>
      </c>
      <c r="K465" s="163">
        <f t="shared" si="271"/>
        <v>0</v>
      </c>
      <c r="L465" s="163">
        <f t="shared" si="282"/>
        <v>0</v>
      </c>
      <c r="M465" s="163">
        <f t="shared" si="299"/>
        <v>0</v>
      </c>
      <c r="N465" s="163">
        <f t="shared" si="283"/>
        <v>0</v>
      </c>
      <c r="O465" s="84">
        <f t="shared" si="272"/>
        <v>0</v>
      </c>
      <c r="P465" s="31">
        <f t="shared" si="273"/>
        <v>0</v>
      </c>
      <c r="Q465" s="5"/>
      <c r="R465">
        <f t="shared" ca="1" si="284"/>
        <v>582</v>
      </c>
      <c r="S465" s="133">
        <f t="shared" ca="1" si="285"/>
        <v>115.88</v>
      </c>
      <c r="T465" s="132">
        <f t="shared" ca="1" si="274"/>
        <v>0</v>
      </c>
      <c r="U465" s="133">
        <f t="shared" ca="1" si="292"/>
        <v>1.9008342029825436E-4</v>
      </c>
      <c r="V465" s="31">
        <f t="shared" ca="1" si="286"/>
        <v>0</v>
      </c>
      <c r="W465" s="31">
        <f t="shared" ca="1" si="275"/>
        <v>0</v>
      </c>
      <c r="X465" s="163">
        <f t="shared" ca="1" si="293"/>
        <v>0</v>
      </c>
      <c r="Y465" s="163">
        <f t="shared" ca="1" si="294"/>
        <v>0</v>
      </c>
      <c r="Z465" s="163">
        <f t="shared" ca="1" si="287"/>
        <v>0</v>
      </c>
      <c r="AA465" s="163">
        <f t="shared" ca="1" si="295"/>
        <v>0</v>
      </c>
      <c r="AB465" s="84">
        <f t="shared" ca="1" si="276"/>
        <v>0</v>
      </c>
      <c r="AC465" s="160">
        <f t="shared" si="277"/>
        <v>0</v>
      </c>
      <c r="AD465" s="31">
        <f t="shared" ca="1" si="278"/>
        <v>0</v>
      </c>
      <c r="AE465" s="5"/>
      <c r="AF465" s="151">
        <f t="shared" ca="1" si="279"/>
        <v>0</v>
      </c>
      <c r="AG465" s="151">
        <f t="shared" ca="1" si="280"/>
        <v>0</v>
      </c>
      <c r="AH465" s="5"/>
      <c r="AI465" s="5"/>
      <c r="AS465" s="55">
        <f t="shared" si="288"/>
        <v>39</v>
      </c>
      <c r="AT465" s="56">
        <f t="shared" si="296"/>
        <v>462</v>
      </c>
      <c r="AU465" s="57">
        <f t="shared" si="268"/>
        <v>0.10494705638859357</v>
      </c>
      <c r="AV465" s="58">
        <f t="shared" si="289"/>
        <v>4.8675505653430484E-3</v>
      </c>
      <c r="AW465" s="59">
        <f t="shared" si="290"/>
        <v>1.004867550565343</v>
      </c>
      <c r="AX465" s="60">
        <f>PRODUCT(AW$4:AW465)</f>
        <v>9.4248796382311095</v>
      </c>
    </row>
    <row r="466" spans="5:50">
      <c r="E466">
        <f t="shared" si="298"/>
        <v>463</v>
      </c>
      <c r="F466" s="9">
        <f t="shared" si="291"/>
        <v>107.49999999999781</v>
      </c>
      <c r="G466" s="132">
        <f t="shared" si="269"/>
        <v>0</v>
      </c>
      <c r="H466" s="133">
        <f t="shared" si="297"/>
        <v>1</v>
      </c>
      <c r="I466" s="31">
        <f t="shared" si="281"/>
        <v>0</v>
      </c>
      <c r="J466" s="31">
        <f t="shared" si="270"/>
        <v>0</v>
      </c>
      <c r="K466" s="163">
        <f t="shared" si="271"/>
        <v>0</v>
      </c>
      <c r="L466" s="163">
        <f t="shared" si="282"/>
        <v>0</v>
      </c>
      <c r="M466" s="163">
        <f t="shared" si="299"/>
        <v>0</v>
      </c>
      <c r="N466" s="163">
        <f t="shared" si="283"/>
        <v>0</v>
      </c>
      <c r="O466" s="84">
        <f t="shared" si="272"/>
        <v>0</v>
      </c>
      <c r="P466" s="31">
        <f t="shared" si="273"/>
        <v>0</v>
      </c>
      <c r="Q466" s="5"/>
      <c r="R466">
        <f t="shared" ca="1" si="284"/>
        <v>583</v>
      </c>
      <c r="S466" s="133">
        <f t="shared" ca="1" si="285"/>
        <v>115.96</v>
      </c>
      <c r="T466" s="132">
        <f t="shared" ca="1" si="274"/>
        <v>0</v>
      </c>
      <c r="U466" s="133">
        <f t="shared" ca="1" si="292"/>
        <v>1.9008342029825436E-4</v>
      </c>
      <c r="V466" s="31">
        <f t="shared" ca="1" si="286"/>
        <v>0</v>
      </c>
      <c r="W466" s="31">
        <f t="shared" ca="1" si="275"/>
        <v>0</v>
      </c>
      <c r="X466" s="163">
        <f t="shared" ca="1" si="293"/>
        <v>0</v>
      </c>
      <c r="Y466" s="163">
        <f t="shared" ca="1" si="294"/>
        <v>0</v>
      </c>
      <c r="Z466" s="163">
        <f t="shared" ca="1" si="287"/>
        <v>0</v>
      </c>
      <c r="AA466" s="163">
        <f t="shared" ca="1" si="295"/>
        <v>0</v>
      </c>
      <c r="AB466" s="84">
        <f t="shared" ca="1" si="276"/>
        <v>0</v>
      </c>
      <c r="AC466" s="160">
        <f t="shared" si="277"/>
        <v>0</v>
      </c>
      <c r="AD466" s="31">
        <f t="shared" ca="1" si="278"/>
        <v>0</v>
      </c>
      <c r="AE466" s="5"/>
      <c r="AF466" s="151">
        <f t="shared" ca="1" si="279"/>
        <v>0</v>
      </c>
      <c r="AG466" s="151">
        <f t="shared" ca="1" si="280"/>
        <v>0</v>
      </c>
      <c r="AH466" s="5"/>
      <c r="AI466" s="5"/>
      <c r="AS466" s="55">
        <f t="shared" si="288"/>
        <v>39</v>
      </c>
      <c r="AT466" s="56">
        <f t="shared" si="296"/>
        <v>463</v>
      </c>
      <c r="AU466" s="57">
        <f t="shared" si="268"/>
        <v>0.10443622128493818</v>
      </c>
      <c r="AV466" s="58">
        <f t="shared" si="289"/>
        <v>4.8675505653430484E-3</v>
      </c>
      <c r="AW466" s="59">
        <f t="shared" si="290"/>
        <v>1.004867550565343</v>
      </c>
      <c r="AX466" s="60">
        <f>PRODUCT(AW$4:AW466)</f>
        <v>9.470755716442472</v>
      </c>
    </row>
    <row r="467" spans="5:50">
      <c r="E467">
        <f t="shared" si="298"/>
        <v>464</v>
      </c>
      <c r="F467" s="9">
        <f t="shared" si="291"/>
        <v>107.58333333333114</v>
      </c>
      <c r="G467" s="132">
        <f t="shared" si="269"/>
        <v>0</v>
      </c>
      <c r="H467" s="133">
        <f t="shared" si="297"/>
        <v>1</v>
      </c>
      <c r="I467" s="31">
        <f t="shared" si="281"/>
        <v>0</v>
      </c>
      <c r="J467" s="31">
        <f t="shared" si="270"/>
        <v>0</v>
      </c>
      <c r="K467" s="163">
        <f t="shared" si="271"/>
        <v>0</v>
      </c>
      <c r="L467" s="163">
        <f t="shared" si="282"/>
        <v>0</v>
      </c>
      <c r="M467" s="163">
        <f t="shared" si="299"/>
        <v>0</v>
      </c>
      <c r="N467" s="163">
        <f t="shared" si="283"/>
        <v>0</v>
      </c>
      <c r="O467" s="84">
        <f t="shared" si="272"/>
        <v>0</v>
      </c>
      <c r="P467" s="31">
        <f t="shared" si="273"/>
        <v>0</v>
      </c>
      <c r="Q467" s="5"/>
      <c r="R467">
        <f t="shared" ca="1" si="284"/>
        <v>584</v>
      </c>
      <c r="S467" s="133">
        <f t="shared" ca="1" si="285"/>
        <v>116.04</v>
      </c>
      <c r="T467" s="132">
        <f t="shared" ca="1" si="274"/>
        <v>0</v>
      </c>
      <c r="U467" s="133">
        <f t="shared" ca="1" si="292"/>
        <v>1.9008342029825436E-4</v>
      </c>
      <c r="V467" s="31">
        <f t="shared" ca="1" si="286"/>
        <v>0</v>
      </c>
      <c r="W467" s="31">
        <f t="shared" ca="1" si="275"/>
        <v>0</v>
      </c>
      <c r="X467" s="163">
        <f t="shared" ca="1" si="293"/>
        <v>0</v>
      </c>
      <c r="Y467" s="163">
        <f t="shared" ca="1" si="294"/>
        <v>0</v>
      </c>
      <c r="Z467" s="163">
        <f t="shared" ca="1" si="287"/>
        <v>0</v>
      </c>
      <c r="AA467" s="163">
        <f t="shared" ca="1" si="295"/>
        <v>0</v>
      </c>
      <c r="AB467" s="84">
        <f t="shared" ca="1" si="276"/>
        <v>0</v>
      </c>
      <c r="AC467" s="160">
        <f t="shared" si="277"/>
        <v>0</v>
      </c>
      <c r="AD467" s="31">
        <f t="shared" ca="1" si="278"/>
        <v>0</v>
      </c>
      <c r="AE467" s="5"/>
      <c r="AF467" s="151">
        <f t="shared" ca="1" si="279"/>
        <v>0</v>
      </c>
      <c r="AG467" s="151">
        <f t="shared" ca="1" si="280"/>
        <v>0</v>
      </c>
      <c r="AH467" s="5"/>
      <c r="AI467" s="5"/>
      <c r="AS467" s="55">
        <f t="shared" si="288"/>
        <v>39</v>
      </c>
      <c r="AT467" s="56">
        <f t="shared" si="296"/>
        <v>464</v>
      </c>
      <c r="AU467" s="57">
        <f t="shared" si="268"/>
        <v>0.10392787269698038</v>
      </c>
      <c r="AV467" s="58">
        <f t="shared" si="289"/>
        <v>4.8675505653430484E-3</v>
      </c>
      <c r="AW467" s="59">
        <f t="shared" si="290"/>
        <v>1.004867550565343</v>
      </c>
      <c r="AX467" s="60">
        <f>PRODUCT(AW$4:AW467)</f>
        <v>9.5168550987842675</v>
      </c>
    </row>
    <row r="468" spans="5:50">
      <c r="E468">
        <f t="shared" si="298"/>
        <v>465</v>
      </c>
      <c r="F468" s="9">
        <f t="shared" si="291"/>
        <v>107.66666666666447</v>
      </c>
      <c r="G468" s="132">
        <f t="shared" si="269"/>
        <v>0</v>
      </c>
      <c r="H468" s="133">
        <f t="shared" si="297"/>
        <v>1</v>
      </c>
      <c r="I468" s="31">
        <f t="shared" si="281"/>
        <v>0</v>
      </c>
      <c r="J468" s="31">
        <f t="shared" si="270"/>
        <v>0</v>
      </c>
      <c r="K468" s="163">
        <f t="shared" si="271"/>
        <v>0</v>
      </c>
      <c r="L468" s="163">
        <f t="shared" si="282"/>
        <v>0</v>
      </c>
      <c r="M468" s="163">
        <f t="shared" si="299"/>
        <v>0</v>
      </c>
      <c r="N468" s="163">
        <f t="shared" si="283"/>
        <v>0</v>
      </c>
      <c r="O468" s="84">
        <f t="shared" si="272"/>
        <v>0</v>
      </c>
      <c r="P468" s="31">
        <f t="shared" si="273"/>
        <v>0</v>
      </c>
      <c r="Q468" s="5"/>
      <c r="R468">
        <f t="shared" ca="1" si="284"/>
        <v>585</v>
      </c>
      <c r="S468" s="133">
        <f t="shared" ca="1" si="285"/>
        <v>116.12</v>
      </c>
      <c r="T468" s="132">
        <f t="shared" ca="1" si="274"/>
        <v>0</v>
      </c>
      <c r="U468" s="133">
        <f t="shared" ca="1" si="292"/>
        <v>1.9008342029825436E-4</v>
      </c>
      <c r="V468" s="31">
        <f t="shared" ca="1" si="286"/>
        <v>0</v>
      </c>
      <c r="W468" s="31">
        <f t="shared" ca="1" si="275"/>
        <v>0</v>
      </c>
      <c r="X468" s="163">
        <f t="shared" ca="1" si="293"/>
        <v>0</v>
      </c>
      <c r="Y468" s="163">
        <f t="shared" ca="1" si="294"/>
        <v>0</v>
      </c>
      <c r="Z468" s="163">
        <f t="shared" ca="1" si="287"/>
        <v>0</v>
      </c>
      <c r="AA468" s="163">
        <f t="shared" ca="1" si="295"/>
        <v>0</v>
      </c>
      <c r="AB468" s="84">
        <f t="shared" ca="1" si="276"/>
        <v>0</v>
      </c>
      <c r="AC468" s="160">
        <f t="shared" si="277"/>
        <v>0</v>
      </c>
      <c r="AD468" s="31">
        <f t="shared" ca="1" si="278"/>
        <v>0</v>
      </c>
      <c r="AE468" s="5"/>
      <c r="AF468" s="151">
        <f t="shared" ca="1" si="279"/>
        <v>0</v>
      </c>
      <c r="AG468" s="151">
        <f t="shared" ca="1" si="280"/>
        <v>0</v>
      </c>
      <c r="AH468" s="5"/>
      <c r="AI468" s="5"/>
      <c r="AS468" s="55">
        <f t="shared" si="288"/>
        <v>39</v>
      </c>
      <c r="AT468" s="56">
        <f t="shared" si="296"/>
        <v>465</v>
      </c>
      <c r="AU468" s="57">
        <f t="shared" si="268"/>
        <v>0.10342199852147929</v>
      </c>
      <c r="AV468" s="58">
        <f t="shared" si="289"/>
        <v>4.8675505653430484E-3</v>
      </c>
      <c r="AW468" s="59">
        <f t="shared" si="290"/>
        <v>1.004867550565343</v>
      </c>
      <c r="AX468" s="60">
        <f>PRODUCT(AW$4:AW468)</f>
        <v>9.563178872200643</v>
      </c>
    </row>
    <row r="469" spans="5:50">
      <c r="E469">
        <f t="shared" si="298"/>
        <v>466</v>
      </c>
      <c r="F469" s="9">
        <f t="shared" si="291"/>
        <v>107.7499999999978</v>
      </c>
      <c r="G469" s="132">
        <f t="shared" si="269"/>
        <v>0</v>
      </c>
      <c r="H469" s="133">
        <f t="shared" si="297"/>
        <v>1</v>
      </c>
      <c r="I469" s="31">
        <f t="shared" si="281"/>
        <v>0</v>
      </c>
      <c r="J469" s="31">
        <f t="shared" si="270"/>
        <v>0</v>
      </c>
      <c r="K469" s="163">
        <f t="shared" si="271"/>
        <v>0</v>
      </c>
      <c r="L469" s="163">
        <f t="shared" si="282"/>
        <v>0</v>
      </c>
      <c r="M469" s="163">
        <f t="shared" si="299"/>
        <v>0</v>
      </c>
      <c r="N469" s="163">
        <f t="shared" si="283"/>
        <v>0</v>
      </c>
      <c r="O469" s="84">
        <f t="shared" si="272"/>
        <v>0</v>
      </c>
      <c r="P469" s="31">
        <f t="shared" si="273"/>
        <v>0</v>
      </c>
      <c r="Q469" s="5"/>
      <c r="R469">
        <f t="shared" ca="1" si="284"/>
        <v>586</v>
      </c>
      <c r="S469" s="133">
        <f t="shared" ca="1" si="285"/>
        <v>116.2</v>
      </c>
      <c r="T469" s="132">
        <f t="shared" ca="1" si="274"/>
        <v>0</v>
      </c>
      <c r="U469" s="133">
        <f t="shared" ca="1" si="292"/>
        <v>1.9008342029825436E-4</v>
      </c>
      <c r="V469" s="31">
        <f t="shared" ca="1" si="286"/>
        <v>0</v>
      </c>
      <c r="W469" s="31">
        <f t="shared" ca="1" si="275"/>
        <v>0</v>
      </c>
      <c r="X469" s="163">
        <f t="shared" ca="1" si="293"/>
        <v>0</v>
      </c>
      <c r="Y469" s="163">
        <f t="shared" ca="1" si="294"/>
        <v>0</v>
      </c>
      <c r="Z469" s="163">
        <f t="shared" ca="1" si="287"/>
        <v>0</v>
      </c>
      <c r="AA469" s="163">
        <f t="shared" ca="1" si="295"/>
        <v>0</v>
      </c>
      <c r="AB469" s="84">
        <f t="shared" ca="1" si="276"/>
        <v>0</v>
      </c>
      <c r="AC469" s="160">
        <f t="shared" si="277"/>
        <v>0</v>
      </c>
      <c r="AD469" s="31">
        <f t="shared" ca="1" si="278"/>
        <v>0</v>
      </c>
      <c r="AE469" s="5"/>
      <c r="AF469" s="151">
        <f t="shared" ca="1" si="279"/>
        <v>0</v>
      </c>
      <c r="AG469" s="151">
        <f t="shared" ca="1" si="280"/>
        <v>0</v>
      </c>
      <c r="AH469" s="5"/>
      <c r="AI469" s="5"/>
      <c r="AS469" s="55">
        <f t="shared" si="288"/>
        <v>39</v>
      </c>
      <c r="AT469" s="56">
        <f t="shared" si="296"/>
        <v>466</v>
      </c>
      <c r="AU469" s="57">
        <f t="shared" si="268"/>
        <v>0.10291858671410715</v>
      </c>
      <c r="AV469" s="58">
        <f t="shared" si="289"/>
        <v>4.8675505653430484E-3</v>
      </c>
      <c r="AW469" s="59">
        <f t="shared" si="290"/>
        <v>1.004867550565343</v>
      </c>
      <c r="AX469" s="60">
        <f>PRODUCT(AW$4:AW469)</f>
        <v>9.6097281289265002</v>
      </c>
    </row>
    <row r="470" spans="5:50">
      <c r="E470">
        <f t="shared" si="298"/>
        <v>467</v>
      </c>
      <c r="F470" s="9">
        <f t="shared" si="291"/>
        <v>107.83333333333113</v>
      </c>
      <c r="G470" s="132">
        <f t="shared" si="269"/>
        <v>0</v>
      </c>
      <c r="H470" s="133">
        <f t="shared" si="297"/>
        <v>1</v>
      </c>
      <c r="I470" s="31">
        <f t="shared" si="281"/>
        <v>0</v>
      </c>
      <c r="J470" s="31">
        <f t="shared" si="270"/>
        <v>0</v>
      </c>
      <c r="K470" s="163">
        <f t="shared" si="271"/>
        <v>0</v>
      </c>
      <c r="L470" s="163">
        <f t="shared" si="282"/>
        <v>0</v>
      </c>
      <c r="M470" s="163">
        <f t="shared" si="299"/>
        <v>0</v>
      </c>
      <c r="N470" s="163">
        <f t="shared" si="283"/>
        <v>0</v>
      </c>
      <c r="O470" s="84">
        <f t="shared" si="272"/>
        <v>0</v>
      </c>
      <c r="P470" s="31">
        <f t="shared" si="273"/>
        <v>0</v>
      </c>
      <c r="Q470" s="5"/>
      <c r="R470">
        <f t="shared" ca="1" si="284"/>
        <v>587</v>
      </c>
      <c r="S470" s="133">
        <f t="shared" ca="1" si="285"/>
        <v>116.28</v>
      </c>
      <c r="T470" s="132">
        <f t="shared" ca="1" si="274"/>
        <v>0</v>
      </c>
      <c r="U470" s="133">
        <f t="shared" ca="1" si="292"/>
        <v>1.9008342029825436E-4</v>
      </c>
      <c r="V470" s="31">
        <f t="shared" ca="1" si="286"/>
        <v>0</v>
      </c>
      <c r="W470" s="31">
        <f t="shared" ca="1" si="275"/>
        <v>0</v>
      </c>
      <c r="X470" s="163">
        <f t="shared" ca="1" si="293"/>
        <v>0</v>
      </c>
      <c r="Y470" s="163">
        <f t="shared" ca="1" si="294"/>
        <v>0</v>
      </c>
      <c r="Z470" s="163">
        <f t="shared" ca="1" si="287"/>
        <v>0</v>
      </c>
      <c r="AA470" s="163">
        <f t="shared" ca="1" si="295"/>
        <v>0</v>
      </c>
      <c r="AB470" s="84">
        <f t="shared" ca="1" si="276"/>
        <v>0</v>
      </c>
      <c r="AC470" s="160">
        <f t="shared" si="277"/>
        <v>0</v>
      </c>
      <c r="AD470" s="31">
        <f t="shared" ca="1" si="278"/>
        <v>0</v>
      </c>
      <c r="AE470" s="5"/>
      <c r="AF470" s="151">
        <f t="shared" ca="1" si="279"/>
        <v>0</v>
      </c>
      <c r="AG470" s="151">
        <f t="shared" ca="1" si="280"/>
        <v>0</v>
      </c>
      <c r="AH470" s="5"/>
      <c r="AI470" s="5"/>
      <c r="AS470" s="55">
        <f t="shared" si="288"/>
        <v>39</v>
      </c>
      <c r="AT470" s="56">
        <f t="shared" si="296"/>
        <v>467</v>
      </c>
      <c r="AU470" s="57">
        <f t="shared" si="268"/>
        <v>0.10241762528916259</v>
      </c>
      <c r="AV470" s="58">
        <f t="shared" si="289"/>
        <v>4.8675505653430484E-3</v>
      </c>
      <c r="AW470" s="59">
        <f t="shared" si="290"/>
        <v>1.004867550565343</v>
      </c>
      <c r="AX470" s="60">
        <f>PRODUCT(AW$4:AW470)</f>
        <v>9.6565039665132488</v>
      </c>
    </row>
    <row r="471" spans="5:50">
      <c r="E471">
        <f t="shared" si="298"/>
        <v>468</v>
      </c>
      <c r="F471" s="9">
        <f t="shared" si="291"/>
        <v>107.91666666666445</v>
      </c>
      <c r="G471" s="132">
        <f t="shared" si="269"/>
        <v>0</v>
      </c>
      <c r="H471" s="133">
        <f t="shared" si="297"/>
        <v>1</v>
      </c>
      <c r="I471" s="31">
        <f t="shared" si="281"/>
        <v>0</v>
      </c>
      <c r="J471" s="31">
        <f t="shared" si="270"/>
        <v>0</v>
      </c>
      <c r="K471" s="163">
        <f t="shared" si="271"/>
        <v>0</v>
      </c>
      <c r="L471" s="163">
        <f t="shared" si="282"/>
        <v>0</v>
      </c>
      <c r="M471" s="163">
        <f t="shared" si="299"/>
        <v>0</v>
      </c>
      <c r="N471" s="163">
        <f t="shared" si="283"/>
        <v>0</v>
      </c>
      <c r="O471" s="84">
        <f t="shared" si="272"/>
        <v>0</v>
      </c>
      <c r="P471" s="31">
        <f t="shared" si="273"/>
        <v>0</v>
      </c>
      <c r="Q471" s="5"/>
      <c r="R471">
        <f t="shared" ca="1" si="284"/>
        <v>588</v>
      </c>
      <c r="S471" s="133">
        <f t="shared" ca="1" si="285"/>
        <v>116.36</v>
      </c>
      <c r="T471" s="132">
        <f t="shared" ca="1" si="274"/>
        <v>0</v>
      </c>
      <c r="U471" s="133">
        <f t="shared" ca="1" si="292"/>
        <v>1.9008342029825436E-4</v>
      </c>
      <c r="V471" s="31">
        <f t="shared" ca="1" si="286"/>
        <v>0</v>
      </c>
      <c r="W471" s="31">
        <f t="shared" ca="1" si="275"/>
        <v>0</v>
      </c>
      <c r="X471" s="163">
        <f t="shared" ca="1" si="293"/>
        <v>0</v>
      </c>
      <c r="Y471" s="163">
        <f t="shared" ca="1" si="294"/>
        <v>0</v>
      </c>
      <c r="Z471" s="163">
        <f t="shared" ca="1" si="287"/>
        <v>0</v>
      </c>
      <c r="AA471" s="163">
        <f t="shared" ca="1" si="295"/>
        <v>0</v>
      </c>
      <c r="AB471" s="84">
        <f t="shared" ca="1" si="276"/>
        <v>0</v>
      </c>
      <c r="AC471" s="160">
        <f t="shared" si="277"/>
        <v>0</v>
      </c>
      <c r="AD471" s="31">
        <f t="shared" ca="1" si="278"/>
        <v>0</v>
      </c>
      <c r="AE471" s="5"/>
      <c r="AF471" s="151">
        <f t="shared" ca="1" si="279"/>
        <v>0</v>
      </c>
      <c r="AG471" s="151">
        <f t="shared" ca="1" si="280"/>
        <v>0</v>
      </c>
      <c r="AH471" s="5"/>
      <c r="AI471" s="5"/>
      <c r="AS471" s="55">
        <f t="shared" si="288"/>
        <v>39</v>
      </c>
      <c r="AT471" s="56">
        <f t="shared" si="296"/>
        <v>468</v>
      </c>
      <c r="AU471" s="57">
        <f t="shared" si="268"/>
        <v>0.10191910231928523</v>
      </c>
      <c r="AV471" s="58">
        <f t="shared" si="289"/>
        <v>4.8675505653430484E-3</v>
      </c>
      <c r="AW471" s="59">
        <f t="shared" si="290"/>
        <v>1.004867550565343</v>
      </c>
      <c r="AX471" s="60">
        <f>PRODUCT(AW$4:AW471)</f>
        <v>9.7035074878546883</v>
      </c>
    </row>
    <row r="472" spans="5:50">
      <c r="E472">
        <f t="shared" si="298"/>
        <v>469</v>
      </c>
      <c r="F472" s="9">
        <f t="shared" si="291"/>
        <v>107.99999999999778</v>
      </c>
      <c r="G472" s="132">
        <f t="shared" si="269"/>
        <v>0</v>
      </c>
      <c r="H472" s="133">
        <f t="shared" si="297"/>
        <v>1</v>
      </c>
      <c r="I472" s="31">
        <f t="shared" si="281"/>
        <v>0</v>
      </c>
      <c r="J472" s="31">
        <f t="shared" si="270"/>
        <v>0</v>
      </c>
      <c r="K472" s="163">
        <f t="shared" si="271"/>
        <v>0</v>
      </c>
      <c r="L472" s="163">
        <f t="shared" si="282"/>
        <v>0</v>
      </c>
      <c r="M472" s="163">
        <f t="shared" si="299"/>
        <v>0</v>
      </c>
      <c r="N472" s="163">
        <f t="shared" si="283"/>
        <v>0</v>
      </c>
      <c r="O472" s="84">
        <f t="shared" si="272"/>
        <v>0</v>
      </c>
      <c r="P472" s="31">
        <f t="shared" si="273"/>
        <v>0</v>
      </c>
      <c r="Q472" s="5"/>
      <c r="R472">
        <f t="shared" ca="1" si="284"/>
        <v>589</v>
      </c>
      <c r="S472" s="133">
        <f t="shared" ca="1" si="285"/>
        <v>116.44</v>
      </c>
      <c r="T472" s="132">
        <f t="shared" ca="1" si="274"/>
        <v>0</v>
      </c>
      <c r="U472" s="133">
        <f t="shared" ca="1" si="292"/>
        <v>1.9008342029825436E-4</v>
      </c>
      <c r="V472" s="31">
        <f t="shared" ca="1" si="286"/>
        <v>0</v>
      </c>
      <c r="W472" s="31">
        <f t="shared" ca="1" si="275"/>
        <v>0</v>
      </c>
      <c r="X472" s="163">
        <f t="shared" ca="1" si="293"/>
        <v>0</v>
      </c>
      <c r="Y472" s="163">
        <f t="shared" ca="1" si="294"/>
        <v>0</v>
      </c>
      <c r="Z472" s="163">
        <f t="shared" ca="1" si="287"/>
        <v>0</v>
      </c>
      <c r="AA472" s="163">
        <f t="shared" ca="1" si="295"/>
        <v>0</v>
      </c>
      <c r="AB472" s="84">
        <f t="shared" ca="1" si="276"/>
        <v>0</v>
      </c>
      <c r="AC472" s="160">
        <f t="shared" si="277"/>
        <v>0</v>
      </c>
      <c r="AD472" s="31">
        <f t="shared" ca="1" si="278"/>
        <v>0</v>
      </c>
      <c r="AE472" s="5"/>
      <c r="AF472" s="151">
        <f t="shared" ca="1" si="279"/>
        <v>0</v>
      </c>
      <c r="AG472" s="151">
        <f t="shared" ca="1" si="280"/>
        <v>0</v>
      </c>
      <c r="AH472" s="5"/>
      <c r="AI472" s="5"/>
      <c r="AS472" s="55">
        <f t="shared" si="288"/>
        <v>40</v>
      </c>
      <c r="AT472" s="56">
        <f t="shared" si="296"/>
        <v>469</v>
      </c>
      <c r="AU472" s="57">
        <f t="shared" si="268"/>
        <v>0.10142300593517174</v>
      </c>
      <c r="AV472" s="58">
        <f t="shared" si="289"/>
        <v>4.8675505653430484E-3</v>
      </c>
      <c r="AW472" s="59">
        <f t="shared" si="290"/>
        <v>1.004867550565343</v>
      </c>
      <c r="AX472" s="60">
        <f>PRODUCT(AW$4:AW472)</f>
        <v>9.7507398012130064</v>
      </c>
    </row>
    <row r="473" spans="5:50">
      <c r="E473">
        <f t="shared" si="298"/>
        <v>470</v>
      </c>
      <c r="F473" s="9">
        <f t="shared" si="291"/>
        <v>108.08333333333111</v>
      </c>
      <c r="G473" s="132">
        <f t="shared" si="269"/>
        <v>0</v>
      </c>
      <c r="H473" s="133">
        <f t="shared" si="297"/>
        <v>1</v>
      </c>
      <c r="I473" s="31">
        <f t="shared" si="281"/>
        <v>0</v>
      </c>
      <c r="J473" s="31">
        <f t="shared" si="270"/>
        <v>0</v>
      </c>
      <c r="K473" s="163">
        <f t="shared" si="271"/>
        <v>0</v>
      </c>
      <c r="L473" s="163">
        <f t="shared" si="282"/>
        <v>0</v>
      </c>
      <c r="M473" s="163">
        <f t="shared" si="299"/>
        <v>0</v>
      </c>
      <c r="N473" s="163">
        <f t="shared" si="283"/>
        <v>0</v>
      </c>
      <c r="O473" s="84">
        <f t="shared" si="272"/>
        <v>0</v>
      </c>
      <c r="P473" s="31">
        <f t="shared" si="273"/>
        <v>0</v>
      </c>
      <c r="Q473" s="5"/>
      <c r="R473">
        <f t="shared" ca="1" si="284"/>
        <v>590</v>
      </c>
      <c r="S473" s="133">
        <f t="shared" ca="1" si="285"/>
        <v>116.52</v>
      </c>
      <c r="T473" s="132">
        <f t="shared" ca="1" si="274"/>
        <v>0</v>
      </c>
      <c r="U473" s="133">
        <f t="shared" ca="1" si="292"/>
        <v>1.9008342029825436E-4</v>
      </c>
      <c r="V473" s="31">
        <f t="shared" ca="1" si="286"/>
        <v>0</v>
      </c>
      <c r="W473" s="31">
        <f t="shared" ca="1" si="275"/>
        <v>0</v>
      </c>
      <c r="X473" s="163">
        <f t="shared" ca="1" si="293"/>
        <v>0</v>
      </c>
      <c r="Y473" s="163">
        <f t="shared" ca="1" si="294"/>
        <v>0</v>
      </c>
      <c r="Z473" s="163">
        <f t="shared" ca="1" si="287"/>
        <v>0</v>
      </c>
      <c r="AA473" s="163">
        <f t="shared" ca="1" si="295"/>
        <v>0</v>
      </c>
      <c r="AB473" s="84">
        <f t="shared" ca="1" si="276"/>
        <v>0</v>
      </c>
      <c r="AC473" s="160">
        <f t="shared" si="277"/>
        <v>0</v>
      </c>
      <c r="AD473" s="31">
        <f t="shared" ca="1" si="278"/>
        <v>0</v>
      </c>
      <c r="AE473" s="5"/>
      <c r="AF473" s="151">
        <f t="shared" ca="1" si="279"/>
        <v>0</v>
      </c>
      <c r="AG473" s="151">
        <f t="shared" ca="1" si="280"/>
        <v>0</v>
      </c>
      <c r="AH473" s="5"/>
      <c r="AI473" s="5"/>
      <c r="AS473" s="55">
        <f t="shared" si="288"/>
        <v>40</v>
      </c>
      <c r="AT473" s="56">
        <f t="shared" si="296"/>
        <v>470</v>
      </c>
      <c r="AU473" s="57">
        <f t="shared" si="268"/>
        <v>0.10092932432529321</v>
      </c>
      <c r="AV473" s="58">
        <f t="shared" si="289"/>
        <v>4.8675505653430484E-3</v>
      </c>
      <c r="AW473" s="59">
        <f t="shared" si="290"/>
        <v>1.004867550565343</v>
      </c>
      <c r="AX473" s="60">
        <f>PRODUCT(AW$4:AW473)</f>
        <v>9.7982020202449132</v>
      </c>
    </row>
    <row r="474" spans="5:50">
      <c r="E474">
        <f t="shared" si="298"/>
        <v>471</v>
      </c>
      <c r="F474" s="9">
        <f t="shared" si="291"/>
        <v>108.16666666666444</v>
      </c>
      <c r="G474" s="132">
        <f t="shared" si="269"/>
        <v>0</v>
      </c>
      <c r="H474" s="133">
        <f t="shared" si="297"/>
        <v>1</v>
      </c>
      <c r="I474" s="31">
        <f t="shared" si="281"/>
        <v>0</v>
      </c>
      <c r="J474" s="31">
        <f t="shared" si="270"/>
        <v>0</v>
      </c>
      <c r="K474" s="163">
        <f t="shared" si="271"/>
        <v>0</v>
      </c>
      <c r="L474" s="163">
        <f t="shared" si="282"/>
        <v>0</v>
      </c>
      <c r="M474" s="163">
        <f t="shared" si="299"/>
        <v>0</v>
      </c>
      <c r="N474" s="163">
        <f t="shared" si="283"/>
        <v>0</v>
      </c>
      <c r="O474" s="84">
        <f t="shared" si="272"/>
        <v>0</v>
      </c>
      <c r="P474" s="31">
        <f t="shared" si="273"/>
        <v>0</v>
      </c>
      <c r="Q474" s="5"/>
      <c r="R474">
        <f t="shared" ca="1" si="284"/>
        <v>591</v>
      </c>
      <c r="S474" s="133">
        <f t="shared" ca="1" si="285"/>
        <v>116.6</v>
      </c>
      <c r="T474" s="132">
        <f t="shared" ca="1" si="274"/>
        <v>0</v>
      </c>
      <c r="U474" s="133">
        <f t="shared" ca="1" si="292"/>
        <v>1.9008342029825436E-4</v>
      </c>
      <c r="V474" s="31">
        <f t="shared" ca="1" si="286"/>
        <v>0</v>
      </c>
      <c r="W474" s="31">
        <f t="shared" ca="1" si="275"/>
        <v>0</v>
      </c>
      <c r="X474" s="163">
        <f t="shared" ca="1" si="293"/>
        <v>0</v>
      </c>
      <c r="Y474" s="163">
        <f t="shared" ca="1" si="294"/>
        <v>0</v>
      </c>
      <c r="Z474" s="163">
        <f t="shared" ca="1" si="287"/>
        <v>0</v>
      </c>
      <c r="AA474" s="163">
        <f t="shared" ca="1" si="295"/>
        <v>0</v>
      </c>
      <c r="AB474" s="84">
        <f t="shared" ca="1" si="276"/>
        <v>0</v>
      </c>
      <c r="AC474" s="160">
        <f t="shared" si="277"/>
        <v>0</v>
      </c>
      <c r="AD474" s="31">
        <f t="shared" ca="1" si="278"/>
        <v>0</v>
      </c>
      <c r="AE474" s="5"/>
      <c r="AF474" s="151">
        <f t="shared" ca="1" si="279"/>
        <v>0</v>
      </c>
      <c r="AG474" s="151">
        <f t="shared" ca="1" si="280"/>
        <v>0</v>
      </c>
      <c r="AH474" s="5"/>
      <c r="AI474" s="5"/>
      <c r="AS474" s="55">
        <f t="shared" si="288"/>
        <v>40</v>
      </c>
      <c r="AT474" s="56">
        <f t="shared" si="296"/>
        <v>471</v>
      </c>
      <c r="AU474" s="57">
        <f t="shared" si="268"/>
        <v>0.10043804573561393</v>
      </c>
      <c r="AV474" s="58">
        <f t="shared" si="289"/>
        <v>4.8675505653430484E-3</v>
      </c>
      <c r="AW474" s="59">
        <f t="shared" si="290"/>
        <v>1.004867550565343</v>
      </c>
      <c r="AX474" s="60">
        <f>PRODUCT(AW$4:AW474)</f>
        <v>9.8458952640279023</v>
      </c>
    </row>
    <row r="475" spans="5:50">
      <c r="E475">
        <f t="shared" si="298"/>
        <v>472</v>
      </c>
      <c r="F475" s="9">
        <f t="shared" si="291"/>
        <v>108.24999999999777</v>
      </c>
      <c r="G475" s="132">
        <f t="shared" si="269"/>
        <v>0</v>
      </c>
      <c r="H475" s="133">
        <f t="shared" si="297"/>
        <v>1</v>
      </c>
      <c r="I475" s="31">
        <f t="shared" si="281"/>
        <v>0</v>
      </c>
      <c r="J475" s="31">
        <f t="shared" si="270"/>
        <v>0</v>
      </c>
      <c r="K475" s="163">
        <f t="shared" si="271"/>
        <v>0</v>
      </c>
      <c r="L475" s="163">
        <f t="shared" si="282"/>
        <v>0</v>
      </c>
      <c r="M475" s="163">
        <f t="shared" si="299"/>
        <v>0</v>
      </c>
      <c r="N475" s="163">
        <f t="shared" si="283"/>
        <v>0</v>
      </c>
      <c r="O475" s="84">
        <f t="shared" si="272"/>
        <v>0</v>
      </c>
      <c r="P475" s="31">
        <f t="shared" si="273"/>
        <v>0</v>
      </c>
      <c r="Q475" s="5"/>
      <c r="R475">
        <f t="shared" ca="1" si="284"/>
        <v>592</v>
      </c>
      <c r="S475" s="133">
        <f t="shared" ca="1" si="285"/>
        <v>116.68</v>
      </c>
      <c r="T475" s="132">
        <f t="shared" ca="1" si="274"/>
        <v>0</v>
      </c>
      <c r="U475" s="133">
        <f t="shared" ca="1" si="292"/>
        <v>1.9008342029825436E-4</v>
      </c>
      <c r="V475" s="31">
        <f t="shared" ca="1" si="286"/>
        <v>0</v>
      </c>
      <c r="W475" s="31">
        <f t="shared" ca="1" si="275"/>
        <v>0</v>
      </c>
      <c r="X475" s="163">
        <f t="shared" ca="1" si="293"/>
        <v>0</v>
      </c>
      <c r="Y475" s="163">
        <f t="shared" ca="1" si="294"/>
        <v>0</v>
      </c>
      <c r="Z475" s="163">
        <f t="shared" ca="1" si="287"/>
        <v>0</v>
      </c>
      <c r="AA475" s="163">
        <f t="shared" ca="1" si="295"/>
        <v>0</v>
      </c>
      <c r="AB475" s="84">
        <f t="shared" ca="1" si="276"/>
        <v>0</v>
      </c>
      <c r="AC475" s="160">
        <f t="shared" si="277"/>
        <v>0</v>
      </c>
      <c r="AD475" s="31">
        <f t="shared" ca="1" si="278"/>
        <v>0</v>
      </c>
      <c r="AE475" s="5"/>
      <c r="AF475" s="151">
        <f t="shared" ca="1" si="279"/>
        <v>0</v>
      </c>
      <c r="AG475" s="151">
        <f t="shared" ca="1" si="280"/>
        <v>0</v>
      </c>
      <c r="AH475" s="5"/>
      <c r="AI475" s="5"/>
      <c r="AS475" s="55">
        <f t="shared" si="288"/>
        <v>40</v>
      </c>
      <c r="AT475" s="56">
        <f t="shared" si="296"/>
        <v>472</v>
      </c>
      <c r="AU475" s="57">
        <f t="shared" si="268"/>
        <v>9.99491584693116E-2</v>
      </c>
      <c r="AV475" s="58">
        <f t="shared" si="289"/>
        <v>4.8675505653430484E-3</v>
      </c>
      <c r="AW475" s="59">
        <f t="shared" si="290"/>
        <v>1.004867550565343</v>
      </c>
      <c r="AX475" s="60">
        <f>PRODUCT(AW$4:AW475)</f>
        <v>9.8938206570866303</v>
      </c>
    </row>
    <row r="476" spans="5:50">
      <c r="E476">
        <f t="shared" si="298"/>
        <v>473</v>
      </c>
      <c r="F476" s="9">
        <f t="shared" si="291"/>
        <v>108.3333333333311</v>
      </c>
      <c r="G476" s="132">
        <f t="shared" si="269"/>
        <v>0</v>
      </c>
      <c r="H476" s="133">
        <f t="shared" si="297"/>
        <v>1</v>
      </c>
      <c r="I476" s="31">
        <f t="shared" si="281"/>
        <v>0</v>
      </c>
      <c r="J476" s="31">
        <f t="shared" si="270"/>
        <v>0</v>
      </c>
      <c r="K476" s="163">
        <f t="shared" si="271"/>
        <v>0</v>
      </c>
      <c r="L476" s="163">
        <f t="shared" si="282"/>
        <v>0</v>
      </c>
      <c r="M476" s="163">
        <f t="shared" si="299"/>
        <v>0</v>
      </c>
      <c r="N476" s="163">
        <f t="shared" si="283"/>
        <v>0</v>
      </c>
      <c r="O476" s="84">
        <f t="shared" si="272"/>
        <v>0</v>
      </c>
      <c r="P476" s="31">
        <f t="shared" si="273"/>
        <v>0</v>
      </c>
      <c r="Q476" s="5"/>
      <c r="R476">
        <f t="shared" ca="1" si="284"/>
        <v>593</v>
      </c>
      <c r="S476" s="133">
        <f t="shared" ca="1" si="285"/>
        <v>116.76</v>
      </c>
      <c r="T476" s="132">
        <f t="shared" ca="1" si="274"/>
        <v>0</v>
      </c>
      <c r="U476" s="133">
        <f t="shared" ca="1" si="292"/>
        <v>1.9008342029825436E-4</v>
      </c>
      <c r="V476" s="31">
        <f t="shared" ca="1" si="286"/>
        <v>0</v>
      </c>
      <c r="W476" s="31">
        <f t="shared" ca="1" si="275"/>
        <v>0</v>
      </c>
      <c r="X476" s="163">
        <f t="shared" ca="1" si="293"/>
        <v>0</v>
      </c>
      <c r="Y476" s="163">
        <f t="shared" ca="1" si="294"/>
        <v>0</v>
      </c>
      <c r="Z476" s="163">
        <f t="shared" ca="1" si="287"/>
        <v>0</v>
      </c>
      <c r="AA476" s="163">
        <f t="shared" ca="1" si="295"/>
        <v>0</v>
      </c>
      <c r="AB476" s="84">
        <f t="shared" ca="1" si="276"/>
        <v>0</v>
      </c>
      <c r="AC476" s="160">
        <f t="shared" si="277"/>
        <v>0</v>
      </c>
      <c r="AD476" s="31">
        <f t="shared" ca="1" si="278"/>
        <v>0</v>
      </c>
      <c r="AE476" s="5"/>
      <c r="AF476" s="151">
        <f t="shared" ca="1" si="279"/>
        <v>0</v>
      </c>
      <c r="AG476" s="151">
        <f t="shared" ca="1" si="280"/>
        <v>0</v>
      </c>
      <c r="AH476" s="5"/>
      <c r="AI476" s="5"/>
      <c r="AS476" s="55">
        <f t="shared" si="288"/>
        <v>40</v>
      </c>
      <c r="AT476" s="56">
        <f t="shared" si="296"/>
        <v>473</v>
      </c>
      <c r="AU476" s="57">
        <f t="shared" ref="AU476:AU539" si="300">(1-AV476)*AU475</f>
        <v>9.9462650886498735E-2</v>
      </c>
      <c r="AV476" s="58">
        <f t="shared" si="289"/>
        <v>4.8675505653430484E-3</v>
      </c>
      <c r="AW476" s="59">
        <f t="shared" si="290"/>
        <v>1.004867550565343</v>
      </c>
      <c r="AX476" s="60">
        <f>PRODUCT(AW$4:AW476)</f>
        <v>9.9419793294194356</v>
      </c>
    </row>
    <row r="477" spans="5:50">
      <c r="E477">
        <f t="shared" si="298"/>
        <v>474</v>
      </c>
      <c r="F477" s="9">
        <f t="shared" si="291"/>
        <v>108.41666666666443</v>
      </c>
      <c r="G477" s="132">
        <f t="shared" si="269"/>
        <v>0</v>
      </c>
      <c r="H477" s="133">
        <f t="shared" si="297"/>
        <v>1</v>
      </c>
      <c r="I477" s="31">
        <f t="shared" si="281"/>
        <v>0</v>
      </c>
      <c r="J477" s="31">
        <f t="shared" si="270"/>
        <v>0</v>
      </c>
      <c r="K477" s="163">
        <f t="shared" si="271"/>
        <v>0</v>
      </c>
      <c r="L477" s="163">
        <f t="shared" si="282"/>
        <v>0</v>
      </c>
      <c r="M477" s="163">
        <f t="shared" si="299"/>
        <v>0</v>
      </c>
      <c r="N477" s="163">
        <f t="shared" si="283"/>
        <v>0</v>
      </c>
      <c r="O477" s="84">
        <f t="shared" si="272"/>
        <v>0</v>
      </c>
      <c r="P477" s="31">
        <f t="shared" si="273"/>
        <v>0</v>
      </c>
      <c r="Q477" s="5"/>
      <c r="R477">
        <f t="shared" ca="1" si="284"/>
        <v>594</v>
      </c>
      <c r="S477" s="133">
        <f t="shared" ca="1" si="285"/>
        <v>116.84</v>
      </c>
      <c r="T477" s="132">
        <f t="shared" ca="1" si="274"/>
        <v>0</v>
      </c>
      <c r="U477" s="133">
        <f t="shared" ca="1" si="292"/>
        <v>1.9008342029825436E-4</v>
      </c>
      <c r="V477" s="31">
        <f t="shared" ca="1" si="286"/>
        <v>0</v>
      </c>
      <c r="W477" s="31">
        <f t="shared" ca="1" si="275"/>
        <v>0</v>
      </c>
      <c r="X477" s="163">
        <f t="shared" ca="1" si="293"/>
        <v>0</v>
      </c>
      <c r="Y477" s="163">
        <f t="shared" ca="1" si="294"/>
        <v>0</v>
      </c>
      <c r="Z477" s="163">
        <f t="shared" ca="1" si="287"/>
        <v>0</v>
      </c>
      <c r="AA477" s="163">
        <f t="shared" ca="1" si="295"/>
        <v>0</v>
      </c>
      <c r="AB477" s="84">
        <f t="shared" ca="1" si="276"/>
        <v>0</v>
      </c>
      <c r="AC477" s="160">
        <f t="shared" si="277"/>
        <v>0</v>
      </c>
      <c r="AD477" s="31">
        <f t="shared" ca="1" si="278"/>
        <v>0</v>
      </c>
      <c r="AE477" s="5"/>
      <c r="AF477" s="151">
        <f t="shared" ca="1" si="279"/>
        <v>0</v>
      </c>
      <c r="AG477" s="151">
        <f t="shared" ca="1" si="280"/>
        <v>0</v>
      </c>
      <c r="AH477" s="5"/>
      <c r="AI477" s="5"/>
      <c r="AS477" s="55">
        <f t="shared" si="288"/>
        <v>40</v>
      </c>
      <c r="AT477" s="56">
        <f t="shared" si="296"/>
        <v>474</v>
      </c>
      <c r="AU477" s="57">
        <f t="shared" si="300"/>
        <v>9.8978511403945646E-2</v>
      </c>
      <c r="AV477" s="58">
        <f t="shared" si="289"/>
        <v>4.8675505653430484E-3</v>
      </c>
      <c r="AW477" s="59">
        <f t="shared" si="290"/>
        <v>1.004867550565343</v>
      </c>
      <c r="AX477" s="60">
        <f>PRODUCT(AW$4:AW477)</f>
        <v>9.9903724165249805</v>
      </c>
    </row>
    <row r="478" spans="5:50">
      <c r="E478">
        <f t="shared" si="298"/>
        <v>475</v>
      </c>
      <c r="F478" s="9">
        <f t="shared" si="291"/>
        <v>108.49999999999775</v>
      </c>
      <c r="G478" s="132">
        <f t="shared" si="269"/>
        <v>0</v>
      </c>
      <c r="H478" s="133">
        <f t="shared" si="297"/>
        <v>1</v>
      </c>
      <c r="I478" s="31">
        <f t="shared" si="281"/>
        <v>0</v>
      </c>
      <c r="J478" s="31">
        <f t="shared" si="270"/>
        <v>0</v>
      </c>
      <c r="K478" s="163">
        <f t="shared" si="271"/>
        <v>0</v>
      </c>
      <c r="L478" s="163">
        <f t="shared" si="282"/>
        <v>0</v>
      </c>
      <c r="M478" s="163">
        <f t="shared" si="299"/>
        <v>0</v>
      </c>
      <c r="N478" s="163">
        <f t="shared" si="283"/>
        <v>0</v>
      </c>
      <c r="O478" s="84">
        <f t="shared" si="272"/>
        <v>0</v>
      </c>
      <c r="P478" s="31">
        <f t="shared" si="273"/>
        <v>0</v>
      </c>
      <c r="Q478" s="5"/>
      <c r="R478">
        <f t="shared" ca="1" si="284"/>
        <v>595</v>
      </c>
      <c r="S478" s="133">
        <f t="shared" ca="1" si="285"/>
        <v>116.92</v>
      </c>
      <c r="T478" s="132">
        <f t="shared" ca="1" si="274"/>
        <v>0</v>
      </c>
      <c r="U478" s="133">
        <f t="shared" ca="1" si="292"/>
        <v>1.9008342029825436E-4</v>
      </c>
      <c r="V478" s="31">
        <f t="shared" ca="1" si="286"/>
        <v>0</v>
      </c>
      <c r="W478" s="31">
        <f t="shared" ca="1" si="275"/>
        <v>0</v>
      </c>
      <c r="X478" s="163">
        <f t="shared" ca="1" si="293"/>
        <v>0</v>
      </c>
      <c r="Y478" s="163">
        <f t="shared" ca="1" si="294"/>
        <v>0</v>
      </c>
      <c r="Z478" s="163">
        <f t="shared" ca="1" si="287"/>
        <v>0</v>
      </c>
      <c r="AA478" s="163">
        <f t="shared" ca="1" si="295"/>
        <v>0</v>
      </c>
      <c r="AB478" s="84">
        <f t="shared" ca="1" si="276"/>
        <v>0</v>
      </c>
      <c r="AC478" s="160">
        <f t="shared" si="277"/>
        <v>0</v>
      </c>
      <c r="AD478" s="31">
        <f t="shared" ca="1" si="278"/>
        <v>0</v>
      </c>
      <c r="AE478" s="5"/>
      <c r="AF478" s="151">
        <f t="shared" ca="1" si="279"/>
        <v>0</v>
      </c>
      <c r="AG478" s="151">
        <f t="shared" ca="1" si="280"/>
        <v>0</v>
      </c>
      <c r="AH478" s="5"/>
      <c r="AI478" s="5"/>
      <c r="AS478" s="55">
        <f t="shared" si="288"/>
        <v>40</v>
      </c>
      <c r="AT478" s="56">
        <f t="shared" si="296"/>
        <v>475</v>
      </c>
      <c r="AU478" s="57">
        <f t="shared" si="300"/>
        <v>9.849672849480455E-2</v>
      </c>
      <c r="AV478" s="58">
        <f t="shared" si="289"/>
        <v>4.8675505653430484E-3</v>
      </c>
      <c r="AW478" s="59">
        <f t="shared" si="290"/>
        <v>1.004867550565343</v>
      </c>
      <c r="AX478" s="60">
        <f>PRODUCT(AW$4:AW478)</f>
        <v>10.039001059429024</v>
      </c>
    </row>
    <row r="479" spans="5:50">
      <c r="E479">
        <f t="shared" si="298"/>
        <v>476</v>
      </c>
      <c r="F479" s="9">
        <f t="shared" si="291"/>
        <v>108.58333333333108</v>
      </c>
      <c r="G479" s="132">
        <f t="shared" si="269"/>
        <v>0</v>
      </c>
      <c r="H479" s="133">
        <f t="shared" si="297"/>
        <v>1</v>
      </c>
      <c r="I479" s="31">
        <f t="shared" si="281"/>
        <v>0</v>
      </c>
      <c r="J479" s="31">
        <f t="shared" si="270"/>
        <v>0</v>
      </c>
      <c r="K479" s="163">
        <f t="shared" si="271"/>
        <v>0</v>
      </c>
      <c r="L479" s="163">
        <f t="shared" si="282"/>
        <v>0</v>
      </c>
      <c r="M479" s="163">
        <f t="shared" si="299"/>
        <v>0</v>
      </c>
      <c r="N479" s="163">
        <f t="shared" si="283"/>
        <v>0</v>
      </c>
      <c r="O479" s="84">
        <f t="shared" si="272"/>
        <v>0</v>
      </c>
      <c r="P479" s="31">
        <f t="shared" si="273"/>
        <v>0</v>
      </c>
      <c r="Q479" s="5"/>
      <c r="R479">
        <f t="shared" ca="1" si="284"/>
        <v>596</v>
      </c>
      <c r="S479" s="133">
        <f t="shared" ca="1" si="285"/>
        <v>117</v>
      </c>
      <c r="T479" s="132">
        <f t="shared" ca="1" si="274"/>
        <v>0</v>
      </c>
      <c r="U479" s="133">
        <f t="shared" ca="1" si="292"/>
        <v>1.9008342029825436E-4</v>
      </c>
      <c r="V479" s="31">
        <f t="shared" ca="1" si="286"/>
        <v>0</v>
      </c>
      <c r="W479" s="31">
        <f t="shared" ca="1" si="275"/>
        <v>0</v>
      </c>
      <c r="X479" s="163">
        <f t="shared" ca="1" si="293"/>
        <v>0</v>
      </c>
      <c r="Y479" s="163">
        <f t="shared" ca="1" si="294"/>
        <v>0</v>
      </c>
      <c r="Z479" s="163">
        <f t="shared" ca="1" si="287"/>
        <v>0</v>
      </c>
      <c r="AA479" s="163">
        <f t="shared" ca="1" si="295"/>
        <v>0</v>
      </c>
      <c r="AB479" s="84">
        <f t="shared" ca="1" si="276"/>
        <v>0</v>
      </c>
      <c r="AC479" s="160">
        <f t="shared" si="277"/>
        <v>0</v>
      </c>
      <c r="AD479" s="31">
        <f t="shared" ca="1" si="278"/>
        <v>0</v>
      </c>
      <c r="AE479" s="5"/>
      <c r="AF479" s="151">
        <f t="shared" ca="1" si="279"/>
        <v>0</v>
      </c>
      <c r="AG479" s="151">
        <f t="shared" ca="1" si="280"/>
        <v>0</v>
      </c>
      <c r="AH479" s="5"/>
      <c r="AI479" s="5"/>
      <c r="AS479" s="55">
        <f t="shared" si="288"/>
        <v>40</v>
      </c>
      <c r="AT479" s="56">
        <f t="shared" si="296"/>
        <v>476</v>
      </c>
      <c r="AU479" s="57">
        <f t="shared" si="300"/>
        <v>9.8017290688335229E-2</v>
      </c>
      <c r="AV479" s="58">
        <f t="shared" si="289"/>
        <v>4.8675505653430484E-3</v>
      </c>
      <c r="AW479" s="59">
        <f t="shared" si="290"/>
        <v>1.004867550565343</v>
      </c>
      <c r="AX479" s="60">
        <f>PRODUCT(AW$4:AW479)</f>
        <v>10.087866404711328</v>
      </c>
    </row>
    <row r="480" spans="5:50">
      <c r="E480">
        <f t="shared" si="298"/>
        <v>477</v>
      </c>
      <c r="F480" s="9">
        <f t="shared" si="291"/>
        <v>108.66666666666441</v>
      </c>
      <c r="G480" s="132">
        <f t="shared" si="269"/>
        <v>0</v>
      </c>
      <c r="H480" s="133">
        <f t="shared" si="297"/>
        <v>1</v>
      </c>
      <c r="I480" s="31">
        <f t="shared" si="281"/>
        <v>0</v>
      </c>
      <c r="J480" s="31">
        <f t="shared" si="270"/>
        <v>0</v>
      </c>
      <c r="K480" s="163">
        <f t="shared" si="271"/>
        <v>0</v>
      </c>
      <c r="L480" s="163">
        <f t="shared" si="282"/>
        <v>0</v>
      </c>
      <c r="M480" s="163">
        <f t="shared" si="299"/>
        <v>0</v>
      </c>
      <c r="N480" s="163">
        <f t="shared" si="283"/>
        <v>0</v>
      </c>
      <c r="O480" s="84">
        <f t="shared" si="272"/>
        <v>0</v>
      </c>
      <c r="P480" s="31">
        <f t="shared" si="273"/>
        <v>0</v>
      </c>
      <c r="Q480" s="5"/>
      <c r="R480">
        <f t="shared" ca="1" si="284"/>
        <v>597</v>
      </c>
      <c r="S480" s="133">
        <f t="shared" ca="1" si="285"/>
        <v>117.08</v>
      </c>
      <c r="T480" s="132">
        <f t="shared" ca="1" si="274"/>
        <v>0</v>
      </c>
      <c r="U480" s="133">
        <f t="shared" ca="1" si="292"/>
        <v>1.9008342029825436E-4</v>
      </c>
      <c r="V480" s="31">
        <f t="shared" ca="1" si="286"/>
        <v>0</v>
      </c>
      <c r="W480" s="31">
        <f t="shared" ca="1" si="275"/>
        <v>0</v>
      </c>
      <c r="X480" s="163">
        <f t="shared" ca="1" si="293"/>
        <v>0</v>
      </c>
      <c r="Y480" s="163">
        <f t="shared" ca="1" si="294"/>
        <v>0</v>
      </c>
      <c r="Z480" s="163">
        <f t="shared" ca="1" si="287"/>
        <v>0</v>
      </c>
      <c r="AA480" s="163">
        <f t="shared" ca="1" si="295"/>
        <v>0</v>
      </c>
      <c r="AB480" s="84">
        <f t="shared" ca="1" si="276"/>
        <v>0</v>
      </c>
      <c r="AC480" s="160">
        <f t="shared" si="277"/>
        <v>0</v>
      </c>
      <c r="AD480" s="31">
        <f t="shared" ca="1" si="278"/>
        <v>0</v>
      </c>
      <c r="AE480" s="5"/>
      <c r="AF480" s="151">
        <f t="shared" ca="1" si="279"/>
        <v>0</v>
      </c>
      <c r="AG480" s="151">
        <f t="shared" ca="1" si="280"/>
        <v>0</v>
      </c>
      <c r="AH480" s="5"/>
      <c r="AI480" s="5"/>
      <c r="AS480" s="55">
        <f t="shared" si="288"/>
        <v>40</v>
      </c>
      <c r="AT480" s="56">
        <f t="shared" si="296"/>
        <v>477</v>
      </c>
      <c r="AU480" s="57">
        <f t="shared" si="300"/>
        <v>9.7540186569631829E-2</v>
      </c>
      <c r="AV480" s="58">
        <f t="shared" si="289"/>
        <v>4.8675505653430484E-3</v>
      </c>
      <c r="AW480" s="59">
        <f t="shared" si="290"/>
        <v>1.004867550565343</v>
      </c>
      <c r="AX480" s="60">
        <f>PRODUCT(AW$4:AW480)</f>
        <v>10.136969604532686</v>
      </c>
    </row>
    <row r="481" spans="5:50">
      <c r="E481">
        <f t="shared" si="298"/>
        <v>478</v>
      </c>
      <c r="F481" s="9">
        <f t="shared" si="291"/>
        <v>108.74999999999774</v>
      </c>
      <c r="G481" s="132">
        <f t="shared" si="269"/>
        <v>0</v>
      </c>
      <c r="H481" s="133">
        <f t="shared" si="297"/>
        <v>1</v>
      </c>
      <c r="I481" s="31">
        <f t="shared" si="281"/>
        <v>0</v>
      </c>
      <c r="J481" s="31">
        <f t="shared" si="270"/>
        <v>0</v>
      </c>
      <c r="K481" s="163">
        <f t="shared" si="271"/>
        <v>0</v>
      </c>
      <c r="L481" s="163">
        <f t="shared" si="282"/>
        <v>0</v>
      </c>
      <c r="M481" s="163">
        <f t="shared" si="299"/>
        <v>0</v>
      </c>
      <c r="N481" s="163">
        <f t="shared" si="283"/>
        <v>0</v>
      </c>
      <c r="O481" s="84">
        <f t="shared" si="272"/>
        <v>0</v>
      </c>
      <c r="P481" s="31">
        <f t="shared" si="273"/>
        <v>0</v>
      </c>
      <c r="Q481" s="5"/>
      <c r="R481">
        <f t="shared" ca="1" si="284"/>
        <v>598</v>
      </c>
      <c r="S481" s="133">
        <f t="shared" ca="1" si="285"/>
        <v>117.16</v>
      </c>
      <c r="T481" s="132">
        <f t="shared" ca="1" si="274"/>
        <v>0</v>
      </c>
      <c r="U481" s="133">
        <f t="shared" ca="1" si="292"/>
        <v>1.9008342029825436E-4</v>
      </c>
      <c r="V481" s="31">
        <f t="shared" ca="1" si="286"/>
        <v>0</v>
      </c>
      <c r="W481" s="31">
        <f t="shared" ca="1" si="275"/>
        <v>0</v>
      </c>
      <c r="X481" s="163">
        <f t="shared" ca="1" si="293"/>
        <v>0</v>
      </c>
      <c r="Y481" s="163">
        <f t="shared" ca="1" si="294"/>
        <v>0</v>
      </c>
      <c r="Z481" s="163">
        <f t="shared" ca="1" si="287"/>
        <v>0</v>
      </c>
      <c r="AA481" s="163">
        <f t="shared" ca="1" si="295"/>
        <v>0</v>
      </c>
      <c r="AB481" s="84">
        <f t="shared" ca="1" si="276"/>
        <v>0</v>
      </c>
      <c r="AC481" s="160">
        <f t="shared" si="277"/>
        <v>0</v>
      </c>
      <c r="AD481" s="31">
        <f t="shared" ca="1" si="278"/>
        <v>0</v>
      </c>
      <c r="AE481" s="5"/>
      <c r="AF481" s="151">
        <f t="shared" ca="1" si="279"/>
        <v>0</v>
      </c>
      <c r="AG481" s="151">
        <f t="shared" ca="1" si="280"/>
        <v>0</v>
      </c>
      <c r="AH481" s="5"/>
      <c r="AI481" s="5"/>
      <c r="AS481" s="55">
        <f t="shared" si="288"/>
        <v>40</v>
      </c>
      <c r="AT481" s="56">
        <f t="shared" si="296"/>
        <v>478</v>
      </c>
      <c r="AU481" s="57">
        <f t="shared" si="300"/>
        <v>9.7065404779351147E-2</v>
      </c>
      <c r="AV481" s="58">
        <f t="shared" si="289"/>
        <v>4.8675505653430484E-3</v>
      </c>
      <c r="AW481" s="59">
        <f t="shared" si="290"/>
        <v>1.004867550565343</v>
      </c>
      <c r="AX481" s="60">
        <f>PRODUCT(AW$4:AW481)</f>
        <v>10.186311816662094</v>
      </c>
    </row>
    <row r="482" spans="5:50">
      <c r="E482">
        <f t="shared" si="298"/>
        <v>479</v>
      </c>
      <c r="F482" s="9">
        <f t="shared" si="291"/>
        <v>108.83333333333107</v>
      </c>
      <c r="G482" s="132">
        <f t="shared" si="269"/>
        <v>0</v>
      </c>
      <c r="H482" s="133">
        <f t="shared" si="297"/>
        <v>1</v>
      </c>
      <c r="I482" s="31">
        <f t="shared" si="281"/>
        <v>0</v>
      </c>
      <c r="J482" s="31">
        <f t="shared" si="270"/>
        <v>0</v>
      </c>
      <c r="K482" s="163">
        <f t="shared" si="271"/>
        <v>0</v>
      </c>
      <c r="L482" s="163">
        <f t="shared" si="282"/>
        <v>0</v>
      </c>
      <c r="M482" s="163">
        <f t="shared" si="299"/>
        <v>0</v>
      </c>
      <c r="N482" s="163">
        <f t="shared" si="283"/>
        <v>0</v>
      </c>
      <c r="O482" s="84">
        <f t="shared" si="272"/>
        <v>0</v>
      </c>
      <c r="P482" s="31">
        <f t="shared" si="273"/>
        <v>0</v>
      </c>
      <c r="Q482" s="5"/>
      <c r="R482">
        <f t="shared" ca="1" si="284"/>
        <v>599</v>
      </c>
      <c r="S482" s="133">
        <f t="shared" ca="1" si="285"/>
        <v>117.24</v>
      </c>
      <c r="T482" s="132">
        <f t="shared" ca="1" si="274"/>
        <v>0</v>
      </c>
      <c r="U482" s="133">
        <f t="shared" ca="1" si="292"/>
        <v>1.9008342029825436E-4</v>
      </c>
      <c r="V482" s="31">
        <f t="shared" ca="1" si="286"/>
        <v>0</v>
      </c>
      <c r="W482" s="31">
        <f t="shared" ca="1" si="275"/>
        <v>0</v>
      </c>
      <c r="X482" s="163">
        <f t="shared" ca="1" si="293"/>
        <v>0</v>
      </c>
      <c r="Y482" s="163">
        <f t="shared" ca="1" si="294"/>
        <v>0</v>
      </c>
      <c r="Z482" s="163">
        <f t="shared" ca="1" si="287"/>
        <v>0</v>
      </c>
      <c r="AA482" s="163">
        <f t="shared" ca="1" si="295"/>
        <v>0</v>
      </c>
      <c r="AB482" s="84">
        <f t="shared" ca="1" si="276"/>
        <v>0</v>
      </c>
      <c r="AC482" s="160">
        <f t="shared" si="277"/>
        <v>0</v>
      </c>
      <c r="AD482" s="31">
        <f t="shared" ca="1" si="278"/>
        <v>0</v>
      </c>
      <c r="AE482" s="5"/>
      <c r="AF482" s="151">
        <f t="shared" ca="1" si="279"/>
        <v>0</v>
      </c>
      <c r="AG482" s="151">
        <f t="shared" ca="1" si="280"/>
        <v>0</v>
      </c>
      <c r="AH482" s="5"/>
      <c r="AI482" s="5"/>
      <c r="AS482" s="55">
        <f t="shared" si="288"/>
        <v>40</v>
      </c>
      <c r="AT482" s="56">
        <f t="shared" si="296"/>
        <v>479</v>
      </c>
      <c r="AU482" s="57">
        <f t="shared" si="300"/>
        <v>9.6592934013442169E-2</v>
      </c>
      <c r="AV482" s="58">
        <f t="shared" si="289"/>
        <v>4.8675505653430484E-3</v>
      </c>
      <c r="AW482" s="59">
        <f t="shared" si="290"/>
        <v>1.004867550565343</v>
      </c>
      <c r="AX482" s="60">
        <f>PRODUCT(AW$4:AW482)</f>
        <v>10.235894204504049</v>
      </c>
    </row>
    <row r="483" spans="5:50">
      <c r="E483">
        <f t="shared" si="298"/>
        <v>480</v>
      </c>
      <c r="F483" s="9">
        <f t="shared" si="291"/>
        <v>108.9166666666644</v>
      </c>
      <c r="G483" s="132">
        <f t="shared" si="269"/>
        <v>0</v>
      </c>
      <c r="H483" s="133">
        <f t="shared" si="297"/>
        <v>1</v>
      </c>
      <c r="I483" s="31">
        <f t="shared" si="281"/>
        <v>0</v>
      </c>
      <c r="J483" s="31">
        <f t="shared" si="270"/>
        <v>0</v>
      </c>
      <c r="K483" s="163">
        <f t="shared" si="271"/>
        <v>0</v>
      </c>
      <c r="L483" s="163">
        <f t="shared" si="282"/>
        <v>0</v>
      </c>
      <c r="M483" s="163">
        <f t="shared" si="299"/>
        <v>0</v>
      </c>
      <c r="N483" s="163">
        <f t="shared" si="283"/>
        <v>0</v>
      </c>
      <c r="O483" s="84">
        <f t="shared" si="272"/>
        <v>0</v>
      </c>
      <c r="P483" s="31">
        <f t="shared" si="273"/>
        <v>0</v>
      </c>
      <c r="Q483" s="5"/>
      <c r="R483">
        <f t="shared" ca="1" si="284"/>
        <v>600</v>
      </c>
      <c r="S483" s="133">
        <f t="shared" ca="1" si="285"/>
        <v>117.32</v>
      </c>
      <c r="T483" s="132">
        <f t="shared" ca="1" si="274"/>
        <v>0</v>
      </c>
      <c r="U483" s="133">
        <f t="shared" ca="1" si="292"/>
        <v>1.9008342029825436E-4</v>
      </c>
      <c r="V483" s="31">
        <f t="shared" ca="1" si="286"/>
        <v>0</v>
      </c>
      <c r="W483" s="31">
        <f t="shared" ca="1" si="275"/>
        <v>0</v>
      </c>
      <c r="X483" s="163">
        <f t="shared" ca="1" si="293"/>
        <v>0</v>
      </c>
      <c r="Y483" s="163">
        <f t="shared" ca="1" si="294"/>
        <v>0</v>
      </c>
      <c r="Z483" s="163">
        <f t="shared" ca="1" si="287"/>
        <v>0</v>
      </c>
      <c r="AA483" s="163">
        <f t="shared" ca="1" si="295"/>
        <v>0</v>
      </c>
      <c r="AB483" s="84">
        <f t="shared" ca="1" si="276"/>
        <v>0</v>
      </c>
      <c r="AC483" s="160">
        <f t="shared" si="277"/>
        <v>0</v>
      </c>
      <c r="AD483" s="31">
        <f t="shared" ca="1" si="278"/>
        <v>0</v>
      </c>
      <c r="AE483" s="5"/>
      <c r="AF483" s="151">
        <f t="shared" ca="1" si="279"/>
        <v>0</v>
      </c>
      <c r="AG483" s="151">
        <f t="shared" ca="1" si="280"/>
        <v>0</v>
      </c>
      <c r="AH483" s="5"/>
      <c r="AI483" s="5"/>
      <c r="AS483" s="55">
        <f t="shared" si="288"/>
        <v>40</v>
      </c>
      <c r="AT483" s="56">
        <f t="shared" si="296"/>
        <v>480</v>
      </c>
      <c r="AU483" s="57">
        <f t="shared" si="300"/>
        <v>9.6122763022876895E-2</v>
      </c>
      <c r="AV483" s="58">
        <f t="shared" si="289"/>
        <v>4.8675505653430484E-3</v>
      </c>
      <c r="AW483" s="59">
        <f t="shared" si="290"/>
        <v>1.004867550565343</v>
      </c>
      <c r="AX483" s="60">
        <f>PRODUCT(AW$4:AW483)</f>
        <v>10.285717937125975</v>
      </c>
    </row>
    <row r="484" spans="5:50">
      <c r="E484">
        <f t="shared" si="298"/>
        <v>481</v>
      </c>
      <c r="F484" s="9">
        <f t="shared" si="291"/>
        <v>108.99999999999773</v>
      </c>
      <c r="G484" s="132">
        <f t="shared" si="269"/>
        <v>0</v>
      </c>
      <c r="H484" s="133">
        <f t="shared" si="297"/>
        <v>1</v>
      </c>
      <c r="I484" s="31">
        <f t="shared" si="281"/>
        <v>0</v>
      </c>
      <c r="J484" s="31">
        <f t="shared" si="270"/>
        <v>0</v>
      </c>
      <c r="K484" s="163">
        <f t="shared" si="271"/>
        <v>0</v>
      </c>
      <c r="L484" s="163">
        <f t="shared" si="282"/>
        <v>0</v>
      </c>
      <c r="M484" s="163">
        <f t="shared" si="299"/>
        <v>0</v>
      </c>
      <c r="N484" s="163">
        <f t="shared" si="283"/>
        <v>0</v>
      </c>
      <c r="O484" s="84">
        <f t="shared" si="272"/>
        <v>0</v>
      </c>
      <c r="P484" s="31">
        <f t="shared" si="273"/>
        <v>0</v>
      </c>
      <c r="Q484" s="5"/>
      <c r="R484">
        <f t="shared" ca="1" si="284"/>
        <v>601</v>
      </c>
      <c r="S484" s="133">
        <f t="shared" ca="1" si="285"/>
        <v>117.4</v>
      </c>
      <c r="T484" s="132">
        <f t="shared" ca="1" si="274"/>
        <v>0</v>
      </c>
      <c r="U484" s="133">
        <f t="shared" ca="1" si="292"/>
        <v>1.9008342029825436E-4</v>
      </c>
      <c r="V484" s="31">
        <f t="shared" ca="1" si="286"/>
        <v>0</v>
      </c>
      <c r="W484" s="31">
        <f t="shared" ca="1" si="275"/>
        <v>0</v>
      </c>
      <c r="X484" s="163">
        <f t="shared" ca="1" si="293"/>
        <v>0</v>
      </c>
      <c r="Y484" s="163">
        <f t="shared" ca="1" si="294"/>
        <v>0</v>
      </c>
      <c r="Z484" s="163">
        <f t="shared" ca="1" si="287"/>
        <v>0</v>
      </c>
      <c r="AA484" s="163">
        <f t="shared" ca="1" si="295"/>
        <v>0</v>
      </c>
      <c r="AB484" s="84">
        <f t="shared" ca="1" si="276"/>
        <v>0</v>
      </c>
      <c r="AC484" s="160">
        <f t="shared" si="277"/>
        <v>0</v>
      </c>
      <c r="AD484" s="31">
        <f t="shared" ca="1" si="278"/>
        <v>0</v>
      </c>
      <c r="AE484" s="5"/>
      <c r="AF484" s="151">
        <f t="shared" ca="1" si="279"/>
        <v>0</v>
      </c>
      <c r="AG484" s="151">
        <f t="shared" ca="1" si="280"/>
        <v>0</v>
      </c>
      <c r="AH484" s="5"/>
      <c r="AI484" s="5"/>
      <c r="AS484" s="55">
        <f t="shared" si="288"/>
        <v>41</v>
      </c>
      <c r="AT484" s="56">
        <f t="shared" si="296"/>
        <v>481</v>
      </c>
      <c r="AU484" s="57">
        <f t="shared" si="300"/>
        <v>9.5654880613382551E-2</v>
      </c>
      <c r="AV484" s="58">
        <f t="shared" si="289"/>
        <v>4.8675505653430484E-3</v>
      </c>
      <c r="AW484" s="59">
        <f t="shared" si="290"/>
        <v>1.004867550565343</v>
      </c>
      <c r="AX484" s="60">
        <f>PRODUCT(AW$4:AW484)</f>
        <v>10.335784189285791</v>
      </c>
    </row>
    <row r="485" spans="5:50">
      <c r="E485">
        <f t="shared" si="298"/>
        <v>482</v>
      </c>
      <c r="F485" s="9">
        <f t="shared" si="291"/>
        <v>109.08333333333105</v>
      </c>
      <c r="G485" s="132">
        <f t="shared" si="269"/>
        <v>0</v>
      </c>
      <c r="H485" s="133">
        <f t="shared" si="297"/>
        <v>1</v>
      </c>
      <c r="I485" s="31">
        <f t="shared" si="281"/>
        <v>0</v>
      </c>
      <c r="J485" s="31">
        <f t="shared" si="270"/>
        <v>0</v>
      </c>
      <c r="K485" s="163">
        <f t="shared" si="271"/>
        <v>0</v>
      </c>
      <c r="L485" s="163">
        <f t="shared" si="282"/>
        <v>0</v>
      </c>
      <c r="M485" s="163">
        <f t="shared" si="299"/>
        <v>0</v>
      </c>
      <c r="N485" s="163">
        <f t="shared" si="283"/>
        <v>0</v>
      </c>
      <c r="O485" s="84">
        <f t="shared" si="272"/>
        <v>0</v>
      </c>
      <c r="P485" s="31">
        <f t="shared" si="273"/>
        <v>0</v>
      </c>
      <c r="Q485" s="5"/>
      <c r="R485">
        <f t="shared" ca="1" si="284"/>
        <v>602</v>
      </c>
      <c r="S485" s="133">
        <f t="shared" ca="1" si="285"/>
        <v>117.48</v>
      </c>
      <c r="T485" s="132">
        <f t="shared" ca="1" si="274"/>
        <v>0</v>
      </c>
      <c r="U485" s="133">
        <f t="shared" ca="1" si="292"/>
        <v>1.9008342029825436E-4</v>
      </c>
      <c r="V485" s="31">
        <f t="shared" ca="1" si="286"/>
        <v>0</v>
      </c>
      <c r="W485" s="31">
        <f t="shared" ca="1" si="275"/>
        <v>0</v>
      </c>
      <c r="X485" s="163">
        <f t="shared" ca="1" si="293"/>
        <v>0</v>
      </c>
      <c r="Y485" s="163">
        <f t="shared" ca="1" si="294"/>
        <v>0</v>
      </c>
      <c r="Z485" s="163">
        <f t="shared" ca="1" si="287"/>
        <v>0</v>
      </c>
      <c r="AA485" s="163">
        <f t="shared" ca="1" si="295"/>
        <v>0</v>
      </c>
      <c r="AB485" s="84">
        <f t="shared" ca="1" si="276"/>
        <v>0</v>
      </c>
      <c r="AC485" s="160">
        <f t="shared" si="277"/>
        <v>0</v>
      </c>
      <c r="AD485" s="31">
        <f t="shared" ca="1" si="278"/>
        <v>0</v>
      </c>
      <c r="AE485" s="5"/>
      <c r="AF485" s="151">
        <f t="shared" ca="1" si="279"/>
        <v>0</v>
      </c>
      <c r="AG485" s="151">
        <f t="shared" ca="1" si="280"/>
        <v>0</v>
      </c>
      <c r="AH485" s="5"/>
      <c r="AI485" s="5"/>
      <c r="AS485" s="55">
        <f t="shared" si="288"/>
        <v>41</v>
      </c>
      <c r="AT485" s="56">
        <f t="shared" si="296"/>
        <v>482</v>
      </c>
      <c r="AU485" s="57">
        <f t="shared" si="300"/>
        <v>9.5189275645175056E-2</v>
      </c>
      <c r="AV485" s="58">
        <f t="shared" si="289"/>
        <v>4.8675505653430484E-3</v>
      </c>
      <c r="AW485" s="59">
        <f t="shared" si="290"/>
        <v>1.004867550565343</v>
      </c>
      <c r="AX485" s="60">
        <f>PRODUCT(AW$4:AW485)</f>
        <v>10.386094141459612</v>
      </c>
    </row>
    <row r="486" spans="5:50">
      <c r="E486">
        <f t="shared" si="298"/>
        <v>483</v>
      </c>
      <c r="F486" s="9">
        <f t="shared" si="291"/>
        <v>109.16666666666438</v>
      </c>
      <c r="G486" s="132">
        <f t="shared" si="269"/>
        <v>0</v>
      </c>
      <c r="H486" s="133">
        <f t="shared" si="297"/>
        <v>1</v>
      </c>
      <c r="I486" s="31">
        <f t="shared" si="281"/>
        <v>0</v>
      </c>
      <c r="J486" s="31">
        <f t="shared" si="270"/>
        <v>0</v>
      </c>
      <c r="K486" s="163">
        <f t="shared" si="271"/>
        <v>0</v>
      </c>
      <c r="L486" s="163">
        <f t="shared" si="282"/>
        <v>0</v>
      </c>
      <c r="M486" s="163">
        <f t="shared" si="299"/>
        <v>0</v>
      </c>
      <c r="N486" s="163">
        <f t="shared" si="283"/>
        <v>0</v>
      </c>
      <c r="O486" s="84">
        <f t="shared" si="272"/>
        <v>0</v>
      </c>
      <c r="P486" s="31">
        <f t="shared" si="273"/>
        <v>0</v>
      </c>
      <c r="Q486" s="5"/>
      <c r="R486">
        <f t="shared" ca="1" si="284"/>
        <v>603</v>
      </c>
      <c r="S486" s="133">
        <f t="shared" ca="1" si="285"/>
        <v>117.56</v>
      </c>
      <c r="T486" s="132">
        <f t="shared" ca="1" si="274"/>
        <v>0</v>
      </c>
      <c r="U486" s="133">
        <f t="shared" ca="1" si="292"/>
        <v>1.9008342029825436E-4</v>
      </c>
      <c r="V486" s="31">
        <f t="shared" ca="1" si="286"/>
        <v>0</v>
      </c>
      <c r="W486" s="31">
        <f t="shared" ca="1" si="275"/>
        <v>0</v>
      </c>
      <c r="X486" s="163">
        <f t="shared" ca="1" si="293"/>
        <v>0</v>
      </c>
      <c r="Y486" s="163">
        <f t="shared" ca="1" si="294"/>
        <v>0</v>
      </c>
      <c r="Z486" s="163">
        <f t="shared" ca="1" si="287"/>
        <v>0</v>
      </c>
      <c r="AA486" s="163">
        <f t="shared" ca="1" si="295"/>
        <v>0</v>
      </c>
      <c r="AB486" s="84">
        <f t="shared" ca="1" si="276"/>
        <v>0</v>
      </c>
      <c r="AC486" s="160">
        <f t="shared" si="277"/>
        <v>0</v>
      </c>
      <c r="AD486" s="31">
        <f t="shared" ca="1" si="278"/>
        <v>0</v>
      </c>
      <c r="AE486" s="5"/>
      <c r="AF486" s="151">
        <f t="shared" ca="1" si="279"/>
        <v>0</v>
      </c>
      <c r="AG486" s="151">
        <f t="shared" ca="1" si="280"/>
        <v>0</v>
      </c>
      <c r="AH486" s="5"/>
      <c r="AI486" s="5"/>
      <c r="AS486" s="55">
        <f t="shared" si="288"/>
        <v>41</v>
      </c>
      <c r="AT486" s="56">
        <f t="shared" si="296"/>
        <v>483</v>
      </c>
      <c r="AU486" s="57">
        <f t="shared" si="300"/>
        <v>9.4725937032693788E-2</v>
      </c>
      <c r="AV486" s="58">
        <f t="shared" si="289"/>
        <v>4.8675505653430484E-3</v>
      </c>
      <c r="AW486" s="59">
        <f t="shared" si="290"/>
        <v>1.004867550565343</v>
      </c>
      <c r="AX486" s="60">
        <f>PRODUCT(AW$4:AW486)</f>
        <v>10.436648979869579</v>
      </c>
    </row>
    <row r="487" spans="5:50">
      <c r="E487">
        <f t="shared" si="298"/>
        <v>484</v>
      </c>
      <c r="F487" s="9">
        <f t="shared" si="291"/>
        <v>109.24999999999771</v>
      </c>
      <c r="G487" s="132">
        <f t="shared" si="269"/>
        <v>0</v>
      </c>
      <c r="H487" s="133">
        <f t="shared" si="297"/>
        <v>1</v>
      </c>
      <c r="I487" s="31">
        <f t="shared" si="281"/>
        <v>0</v>
      </c>
      <c r="J487" s="31">
        <f t="shared" si="270"/>
        <v>0</v>
      </c>
      <c r="K487" s="163">
        <f t="shared" si="271"/>
        <v>0</v>
      </c>
      <c r="L487" s="163">
        <f t="shared" si="282"/>
        <v>0</v>
      </c>
      <c r="M487" s="163">
        <f t="shared" si="299"/>
        <v>0</v>
      </c>
      <c r="N487" s="163">
        <f t="shared" si="283"/>
        <v>0</v>
      </c>
      <c r="O487" s="84">
        <f t="shared" si="272"/>
        <v>0</v>
      </c>
      <c r="P487" s="31">
        <f t="shared" si="273"/>
        <v>0</v>
      </c>
      <c r="Q487" s="5"/>
      <c r="R487">
        <f t="shared" ca="1" si="284"/>
        <v>604</v>
      </c>
      <c r="S487" s="133">
        <f t="shared" ca="1" si="285"/>
        <v>117.64</v>
      </c>
      <c r="T487" s="132">
        <f t="shared" ca="1" si="274"/>
        <v>0</v>
      </c>
      <c r="U487" s="133">
        <f t="shared" ca="1" si="292"/>
        <v>1.9008342029825436E-4</v>
      </c>
      <c r="V487" s="31">
        <f t="shared" ca="1" si="286"/>
        <v>0</v>
      </c>
      <c r="W487" s="31">
        <f t="shared" ca="1" si="275"/>
        <v>0</v>
      </c>
      <c r="X487" s="163">
        <f t="shared" ca="1" si="293"/>
        <v>0</v>
      </c>
      <c r="Y487" s="163">
        <f t="shared" ca="1" si="294"/>
        <v>0</v>
      </c>
      <c r="Z487" s="163">
        <f t="shared" ca="1" si="287"/>
        <v>0</v>
      </c>
      <c r="AA487" s="163">
        <f t="shared" ca="1" si="295"/>
        <v>0</v>
      </c>
      <c r="AB487" s="84">
        <f t="shared" ca="1" si="276"/>
        <v>0</v>
      </c>
      <c r="AC487" s="160">
        <f t="shared" si="277"/>
        <v>0</v>
      </c>
      <c r="AD487" s="31">
        <f t="shared" ca="1" si="278"/>
        <v>0</v>
      </c>
      <c r="AE487" s="5"/>
      <c r="AF487" s="151">
        <f t="shared" ca="1" si="279"/>
        <v>0</v>
      </c>
      <c r="AG487" s="151">
        <f t="shared" ca="1" si="280"/>
        <v>0</v>
      </c>
      <c r="AH487" s="5"/>
      <c r="AI487" s="5"/>
      <c r="AS487" s="55">
        <f t="shared" si="288"/>
        <v>41</v>
      </c>
      <c r="AT487" s="56">
        <f t="shared" si="296"/>
        <v>484</v>
      </c>
      <c r="AU487" s="57">
        <f t="shared" si="300"/>
        <v>9.4264853744337643E-2</v>
      </c>
      <c r="AV487" s="58">
        <f t="shared" si="289"/>
        <v>4.8675505653430484E-3</v>
      </c>
      <c r="AW487" s="59">
        <f t="shared" si="290"/>
        <v>1.004867550565343</v>
      </c>
      <c r="AX487" s="60">
        <f>PRODUCT(AW$4:AW487)</f>
        <v>10.48744989651183</v>
      </c>
    </row>
    <row r="488" spans="5:50">
      <c r="E488">
        <f t="shared" si="298"/>
        <v>485</v>
      </c>
      <c r="F488" s="9">
        <f t="shared" si="291"/>
        <v>109.33333333333104</v>
      </c>
      <c r="G488" s="132">
        <f t="shared" si="269"/>
        <v>0</v>
      </c>
      <c r="H488" s="133">
        <f t="shared" si="297"/>
        <v>1</v>
      </c>
      <c r="I488" s="31">
        <f t="shared" si="281"/>
        <v>0</v>
      </c>
      <c r="J488" s="31">
        <f t="shared" si="270"/>
        <v>0</v>
      </c>
      <c r="K488" s="163">
        <f t="shared" si="271"/>
        <v>0</v>
      </c>
      <c r="L488" s="163">
        <f t="shared" si="282"/>
        <v>0</v>
      </c>
      <c r="M488" s="163">
        <f t="shared" si="299"/>
        <v>0</v>
      </c>
      <c r="N488" s="163">
        <f t="shared" si="283"/>
        <v>0</v>
      </c>
      <c r="O488" s="84">
        <f t="shared" si="272"/>
        <v>0</v>
      </c>
      <c r="P488" s="31">
        <f t="shared" si="273"/>
        <v>0</v>
      </c>
      <c r="Q488" s="5"/>
      <c r="R488">
        <f t="shared" ca="1" si="284"/>
        <v>605</v>
      </c>
      <c r="S488" s="133">
        <f t="shared" ca="1" si="285"/>
        <v>117.72</v>
      </c>
      <c r="T488" s="132">
        <f t="shared" ca="1" si="274"/>
        <v>0</v>
      </c>
      <c r="U488" s="133">
        <f t="shared" ca="1" si="292"/>
        <v>1.9008342029825436E-4</v>
      </c>
      <c r="V488" s="31">
        <f t="shared" ca="1" si="286"/>
        <v>0</v>
      </c>
      <c r="W488" s="31">
        <f t="shared" ca="1" si="275"/>
        <v>0</v>
      </c>
      <c r="X488" s="163">
        <f t="shared" ca="1" si="293"/>
        <v>0</v>
      </c>
      <c r="Y488" s="163">
        <f t="shared" ca="1" si="294"/>
        <v>0</v>
      </c>
      <c r="Z488" s="163">
        <f t="shared" ca="1" si="287"/>
        <v>0</v>
      </c>
      <c r="AA488" s="163">
        <f t="shared" ca="1" si="295"/>
        <v>0</v>
      </c>
      <c r="AB488" s="84">
        <f t="shared" ca="1" si="276"/>
        <v>0</v>
      </c>
      <c r="AC488" s="160">
        <f t="shared" si="277"/>
        <v>0</v>
      </c>
      <c r="AD488" s="31">
        <f t="shared" ca="1" si="278"/>
        <v>0</v>
      </c>
      <c r="AE488" s="5"/>
      <c r="AF488" s="151">
        <f t="shared" ca="1" si="279"/>
        <v>0</v>
      </c>
      <c r="AG488" s="151">
        <f t="shared" ca="1" si="280"/>
        <v>0</v>
      </c>
      <c r="AH488" s="5"/>
      <c r="AI488" s="5"/>
      <c r="AS488" s="55">
        <f t="shared" si="288"/>
        <v>41</v>
      </c>
      <c r="AT488" s="56">
        <f t="shared" si="296"/>
        <v>485</v>
      </c>
      <c r="AU488" s="57">
        <f t="shared" si="300"/>
        <v>9.3806014802202409E-2</v>
      </c>
      <c r="AV488" s="58">
        <f t="shared" si="289"/>
        <v>4.8675505653430484E-3</v>
      </c>
      <c r="AW488" s="59">
        <f t="shared" si="290"/>
        <v>1.004867550565343</v>
      </c>
      <c r="AX488" s="60">
        <f>PRODUCT(AW$4:AW488)</f>
        <v>10.538498089184603</v>
      </c>
    </row>
    <row r="489" spans="5:50">
      <c r="E489">
        <f t="shared" si="298"/>
        <v>486</v>
      </c>
      <c r="F489" s="9">
        <f t="shared" si="291"/>
        <v>109.41666666666437</v>
      </c>
      <c r="G489" s="132">
        <f t="shared" si="269"/>
        <v>0</v>
      </c>
      <c r="H489" s="133">
        <f t="shared" si="297"/>
        <v>1</v>
      </c>
      <c r="I489" s="31">
        <f t="shared" si="281"/>
        <v>0</v>
      </c>
      <c r="J489" s="31">
        <f t="shared" si="270"/>
        <v>0</v>
      </c>
      <c r="K489" s="163">
        <f t="shared" si="271"/>
        <v>0</v>
      </c>
      <c r="L489" s="163">
        <f t="shared" si="282"/>
        <v>0</v>
      </c>
      <c r="M489" s="163">
        <f t="shared" si="299"/>
        <v>0</v>
      </c>
      <c r="N489" s="163">
        <f t="shared" si="283"/>
        <v>0</v>
      </c>
      <c r="O489" s="84">
        <f t="shared" si="272"/>
        <v>0</v>
      </c>
      <c r="P489" s="31">
        <f t="shared" si="273"/>
        <v>0</v>
      </c>
      <c r="Q489" s="5"/>
      <c r="R489">
        <f t="shared" ca="1" si="284"/>
        <v>606</v>
      </c>
      <c r="S489" s="133">
        <f t="shared" ca="1" si="285"/>
        <v>117.8</v>
      </c>
      <c r="T489" s="132">
        <f t="shared" ca="1" si="274"/>
        <v>0</v>
      </c>
      <c r="U489" s="133">
        <f t="shared" ca="1" si="292"/>
        <v>1.9008342029825436E-4</v>
      </c>
      <c r="V489" s="31">
        <f t="shared" ca="1" si="286"/>
        <v>0</v>
      </c>
      <c r="W489" s="31">
        <f t="shared" ca="1" si="275"/>
        <v>0</v>
      </c>
      <c r="X489" s="163">
        <f t="shared" ca="1" si="293"/>
        <v>0</v>
      </c>
      <c r="Y489" s="163">
        <f t="shared" ca="1" si="294"/>
        <v>0</v>
      </c>
      <c r="Z489" s="163">
        <f t="shared" ca="1" si="287"/>
        <v>0</v>
      </c>
      <c r="AA489" s="163">
        <f t="shared" ca="1" si="295"/>
        <v>0</v>
      </c>
      <c r="AB489" s="84">
        <f t="shared" ca="1" si="276"/>
        <v>0</v>
      </c>
      <c r="AC489" s="160">
        <f t="shared" si="277"/>
        <v>0</v>
      </c>
      <c r="AD489" s="31">
        <f t="shared" ca="1" si="278"/>
        <v>0</v>
      </c>
      <c r="AE489" s="5"/>
      <c r="AF489" s="151">
        <f t="shared" ca="1" si="279"/>
        <v>0</v>
      </c>
      <c r="AG489" s="151">
        <f t="shared" ca="1" si="280"/>
        <v>0</v>
      </c>
      <c r="AH489" s="5"/>
      <c r="AI489" s="5"/>
      <c r="AS489" s="55">
        <f t="shared" si="288"/>
        <v>41</v>
      </c>
      <c r="AT489" s="56">
        <f t="shared" si="296"/>
        <v>486</v>
      </c>
      <c r="AU489" s="57">
        <f t="shared" si="300"/>
        <v>9.3349409281819368E-2</v>
      </c>
      <c r="AV489" s="58">
        <f t="shared" si="289"/>
        <v>4.8675505653430484E-3</v>
      </c>
      <c r="AW489" s="59">
        <f t="shared" si="290"/>
        <v>1.004867550565343</v>
      </c>
      <c r="AX489" s="60">
        <f>PRODUCT(AW$4:AW489)</f>
        <v>10.589794761516481</v>
      </c>
    </row>
    <row r="490" spans="5:50">
      <c r="E490">
        <f t="shared" si="298"/>
        <v>487</v>
      </c>
      <c r="F490" s="9">
        <f t="shared" si="291"/>
        <v>109.4999999999977</v>
      </c>
      <c r="G490" s="132">
        <f t="shared" si="269"/>
        <v>0</v>
      </c>
      <c r="H490" s="133">
        <f t="shared" si="297"/>
        <v>1</v>
      </c>
      <c r="I490" s="31">
        <f t="shared" si="281"/>
        <v>0</v>
      </c>
      <c r="J490" s="31">
        <f t="shared" si="270"/>
        <v>0</v>
      </c>
      <c r="K490" s="163">
        <f t="shared" si="271"/>
        <v>0</v>
      </c>
      <c r="L490" s="163">
        <f t="shared" si="282"/>
        <v>0</v>
      </c>
      <c r="M490" s="163">
        <f t="shared" si="299"/>
        <v>0</v>
      </c>
      <c r="N490" s="163">
        <f t="shared" si="283"/>
        <v>0</v>
      </c>
      <c r="O490" s="84">
        <f t="shared" si="272"/>
        <v>0</v>
      </c>
      <c r="P490" s="31">
        <f t="shared" si="273"/>
        <v>0</v>
      </c>
      <c r="Q490" s="5"/>
      <c r="R490">
        <f t="shared" ca="1" si="284"/>
        <v>607</v>
      </c>
      <c r="S490" s="133">
        <f t="shared" ca="1" si="285"/>
        <v>117.88</v>
      </c>
      <c r="T490" s="132">
        <f t="shared" ca="1" si="274"/>
        <v>0</v>
      </c>
      <c r="U490" s="133">
        <f t="shared" ca="1" si="292"/>
        <v>1.9008342029825436E-4</v>
      </c>
      <c r="V490" s="31">
        <f t="shared" ca="1" si="286"/>
        <v>0</v>
      </c>
      <c r="W490" s="31">
        <f t="shared" ca="1" si="275"/>
        <v>0</v>
      </c>
      <c r="X490" s="163">
        <f t="shared" ca="1" si="293"/>
        <v>0</v>
      </c>
      <c r="Y490" s="163">
        <f t="shared" ca="1" si="294"/>
        <v>0</v>
      </c>
      <c r="Z490" s="163">
        <f t="shared" ca="1" si="287"/>
        <v>0</v>
      </c>
      <c r="AA490" s="163">
        <f t="shared" ca="1" si="295"/>
        <v>0</v>
      </c>
      <c r="AB490" s="84">
        <f t="shared" ca="1" si="276"/>
        <v>0</v>
      </c>
      <c r="AC490" s="160">
        <f t="shared" si="277"/>
        <v>0</v>
      </c>
      <c r="AD490" s="31">
        <f t="shared" ca="1" si="278"/>
        <v>0</v>
      </c>
      <c r="AE490" s="5"/>
      <c r="AF490" s="151">
        <f t="shared" ca="1" si="279"/>
        <v>0</v>
      </c>
      <c r="AG490" s="151">
        <f t="shared" ca="1" si="280"/>
        <v>0</v>
      </c>
      <c r="AH490" s="5"/>
      <c r="AI490" s="5"/>
      <c r="AS490" s="55">
        <f t="shared" si="288"/>
        <v>41</v>
      </c>
      <c r="AT490" s="56">
        <f t="shared" si="296"/>
        <v>487</v>
      </c>
      <c r="AU490" s="57">
        <f t="shared" si="300"/>
        <v>9.289502631189521E-2</v>
      </c>
      <c r="AV490" s="58">
        <f t="shared" si="289"/>
        <v>4.8675505653430484E-3</v>
      </c>
      <c r="AW490" s="59">
        <f t="shared" si="290"/>
        <v>1.004867550565343</v>
      </c>
      <c r="AX490" s="60">
        <f>PRODUCT(AW$4:AW490)</f>
        <v>10.641341122994767</v>
      </c>
    </row>
    <row r="491" spans="5:50">
      <c r="E491">
        <f t="shared" si="298"/>
        <v>488</v>
      </c>
      <c r="F491" s="9">
        <f t="shared" si="291"/>
        <v>109.58333333333103</v>
      </c>
      <c r="G491" s="132">
        <f t="shared" si="269"/>
        <v>0</v>
      </c>
      <c r="H491" s="133">
        <f t="shared" si="297"/>
        <v>1</v>
      </c>
      <c r="I491" s="31">
        <f t="shared" si="281"/>
        <v>0</v>
      </c>
      <c r="J491" s="31">
        <f t="shared" si="270"/>
        <v>0</v>
      </c>
      <c r="K491" s="163">
        <f t="shared" si="271"/>
        <v>0</v>
      </c>
      <c r="L491" s="163">
        <f t="shared" si="282"/>
        <v>0</v>
      </c>
      <c r="M491" s="163">
        <f t="shared" si="299"/>
        <v>0</v>
      </c>
      <c r="N491" s="163">
        <f t="shared" si="283"/>
        <v>0</v>
      </c>
      <c r="O491" s="84">
        <f t="shared" si="272"/>
        <v>0</v>
      </c>
      <c r="P491" s="31">
        <f t="shared" si="273"/>
        <v>0</v>
      </c>
      <c r="Q491" s="5"/>
      <c r="R491">
        <f t="shared" ca="1" si="284"/>
        <v>608</v>
      </c>
      <c r="S491" s="133">
        <f t="shared" ca="1" si="285"/>
        <v>117.96</v>
      </c>
      <c r="T491" s="132">
        <f t="shared" ca="1" si="274"/>
        <v>0</v>
      </c>
      <c r="U491" s="133">
        <f t="shared" ca="1" si="292"/>
        <v>1.9008342029825436E-4</v>
      </c>
      <c r="V491" s="31">
        <f t="shared" ca="1" si="286"/>
        <v>0</v>
      </c>
      <c r="W491" s="31">
        <f t="shared" ca="1" si="275"/>
        <v>0</v>
      </c>
      <c r="X491" s="163">
        <f t="shared" ca="1" si="293"/>
        <v>0</v>
      </c>
      <c r="Y491" s="163">
        <f t="shared" ca="1" si="294"/>
        <v>0</v>
      </c>
      <c r="Z491" s="163">
        <f t="shared" ca="1" si="287"/>
        <v>0</v>
      </c>
      <c r="AA491" s="163">
        <f t="shared" ca="1" si="295"/>
        <v>0</v>
      </c>
      <c r="AB491" s="84">
        <f t="shared" ca="1" si="276"/>
        <v>0</v>
      </c>
      <c r="AC491" s="160">
        <f t="shared" si="277"/>
        <v>0</v>
      </c>
      <c r="AD491" s="31">
        <f t="shared" ca="1" si="278"/>
        <v>0</v>
      </c>
      <c r="AE491" s="5"/>
      <c r="AF491" s="151">
        <f t="shared" ca="1" si="279"/>
        <v>0</v>
      </c>
      <c r="AG491" s="151">
        <f t="shared" ca="1" si="280"/>
        <v>0</v>
      </c>
      <c r="AH491" s="5"/>
      <c r="AI491" s="5"/>
      <c r="AS491" s="55">
        <f t="shared" si="288"/>
        <v>41</v>
      </c>
      <c r="AT491" s="56">
        <f t="shared" si="296"/>
        <v>488</v>
      </c>
      <c r="AU491" s="57">
        <f t="shared" si="300"/>
        <v>9.2442855074053185E-2</v>
      </c>
      <c r="AV491" s="58">
        <f t="shared" si="289"/>
        <v>4.8675505653430484E-3</v>
      </c>
      <c r="AW491" s="59">
        <f t="shared" si="290"/>
        <v>1.004867550565343</v>
      </c>
      <c r="AX491" s="60">
        <f>PRODUCT(AW$4:AW491)</f>
        <v>10.693138388994008</v>
      </c>
    </row>
    <row r="492" spans="5:50">
      <c r="E492">
        <f t="shared" si="298"/>
        <v>489</v>
      </c>
      <c r="F492" s="9">
        <f t="shared" si="291"/>
        <v>109.66666666666436</v>
      </c>
      <c r="G492" s="132">
        <f t="shared" si="269"/>
        <v>0</v>
      </c>
      <c r="H492" s="133">
        <f t="shared" si="297"/>
        <v>1</v>
      </c>
      <c r="I492" s="31">
        <f t="shared" si="281"/>
        <v>0</v>
      </c>
      <c r="J492" s="31">
        <f t="shared" si="270"/>
        <v>0</v>
      </c>
      <c r="K492" s="163">
        <f t="shared" si="271"/>
        <v>0</v>
      </c>
      <c r="L492" s="163">
        <f t="shared" si="282"/>
        <v>0</v>
      </c>
      <c r="M492" s="163">
        <f t="shared" si="299"/>
        <v>0</v>
      </c>
      <c r="N492" s="163">
        <f t="shared" si="283"/>
        <v>0</v>
      </c>
      <c r="O492" s="84">
        <f t="shared" si="272"/>
        <v>0</v>
      </c>
      <c r="P492" s="31">
        <f t="shared" si="273"/>
        <v>0</v>
      </c>
      <c r="Q492" s="5"/>
      <c r="R492">
        <f t="shared" ca="1" si="284"/>
        <v>609</v>
      </c>
      <c r="S492" s="133">
        <f t="shared" ca="1" si="285"/>
        <v>118.04</v>
      </c>
      <c r="T492" s="132">
        <f t="shared" ca="1" si="274"/>
        <v>0</v>
      </c>
      <c r="U492" s="133">
        <f t="shared" ca="1" si="292"/>
        <v>1.9008342029825436E-4</v>
      </c>
      <c r="V492" s="31">
        <f t="shared" ca="1" si="286"/>
        <v>0</v>
      </c>
      <c r="W492" s="31">
        <f t="shared" ca="1" si="275"/>
        <v>0</v>
      </c>
      <c r="X492" s="163">
        <f t="shared" ca="1" si="293"/>
        <v>0</v>
      </c>
      <c r="Y492" s="163">
        <f t="shared" ca="1" si="294"/>
        <v>0</v>
      </c>
      <c r="Z492" s="163">
        <f t="shared" ca="1" si="287"/>
        <v>0</v>
      </c>
      <c r="AA492" s="163">
        <f t="shared" ca="1" si="295"/>
        <v>0</v>
      </c>
      <c r="AB492" s="84">
        <f t="shared" ca="1" si="276"/>
        <v>0</v>
      </c>
      <c r="AC492" s="160">
        <f t="shared" si="277"/>
        <v>0</v>
      </c>
      <c r="AD492" s="31">
        <f t="shared" ca="1" si="278"/>
        <v>0</v>
      </c>
      <c r="AE492" s="5"/>
      <c r="AF492" s="151">
        <f t="shared" ca="1" si="279"/>
        <v>0</v>
      </c>
      <c r="AG492" s="151">
        <f t="shared" ca="1" si="280"/>
        <v>0</v>
      </c>
      <c r="AH492" s="5"/>
      <c r="AI492" s="5"/>
      <c r="AS492" s="55">
        <f t="shared" si="288"/>
        <v>41</v>
      </c>
      <c r="AT492" s="56">
        <f t="shared" si="296"/>
        <v>489</v>
      </c>
      <c r="AU492" s="57">
        <f t="shared" si="300"/>
        <v>9.1992884802575545E-2</v>
      </c>
      <c r="AV492" s="58">
        <f t="shared" si="289"/>
        <v>4.8675505653430484E-3</v>
      </c>
      <c r="AW492" s="59">
        <f t="shared" si="290"/>
        <v>1.004867550565343</v>
      </c>
      <c r="AX492" s="60">
        <f>PRODUCT(AW$4:AW492)</f>
        <v>10.745187780804647</v>
      </c>
    </row>
    <row r="493" spans="5:50">
      <c r="E493">
        <f t="shared" si="298"/>
        <v>490</v>
      </c>
      <c r="F493" s="9">
        <f t="shared" si="291"/>
        <v>109.74999999999768</v>
      </c>
      <c r="G493" s="132">
        <f t="shared" si="269"/>
        <v>0</v>
      </c>
      <c r="H493" s="133">
        <f t="shared" si="297"/>
        <v>1</v>
      </c>
      <c r="I493" s="31">
        <f t="shared" si="281"/>
        <v>0</v>
      </c>
      <c r="J493" s="31">
        <f t="shared" si="270"/>
        <v>0</v>
      </c>
      <c r="K493" s="163">
        <f t="shared" si="271"/>
        <v>0</v>
      </c>
      <c r="L493" s="163">
        <f t="shared" si="282"/>
        <v>0</v>
      </c>
      <c r="M493" s="163">
        <f t="shared" si="299"/>
        <v>0</v>
      </c>
      <c r="N493" s="163">
        <f t="shared" si="283"/>
        <v>0</v>
      </c>
      <c r="O493" s="84">
        <f t="shared" si="272"/>
        <v>0</v>
      </c>
      <c r="P493" s="31">
        <f t="shared" si="273"/>
        <v>0</v>
      </c>
      <c r="Q493" s="5"/>
      <c r="R493">
        <f t="shared" ca="1" si="284"/>
        <v>610</v>
      </c>
      <c r="S493" s="133">
        <f t="shared" ca="1" si="285"/>
        <v>118.12</v>
      </c>
      <c r="T493" s="132">
        <f t="shared" ca="1" si="274"/>
        <v>0</v>
      </c>
      <c r="U493" s="133">
        <f t="shared" ca="1" si="292"/>
        <v>1.9008342029825436E-4</v>
      </c>
      <c r="V493" s="31">
        <f t="shared" ca="1" si="286"/>
        <v>0</v>
      </c>
      <c r="W493" s="31">
        <f t="shared" ca="1" si="275"/>
        <v>0</v>
      </c>
      <c r="X493" s="163">
        <f t="shared" ca="1" si="293"/>
        <v>0</v>
      </c>
      <c r="Y493" s="163">
        <f t="shared" ca="1" si="294"/>
        <v>0</v>
      </c>
      <c r="Z493" s="163">
        <f t="shared" ca="1" si="287"/>
        <v>0</v>
      </c>
      <c r="AA493" s="163">
        <f t="shared" ca="1" si="295"/>
        <v>0</v>
      </c>
      <c r="AB493" s="84">
        <f t="shared" ca="1" si="276"/>
        <v>0</v>
      </c>
      <c r="AC493" s="160">
        <f t="shared" si="277"/>
        <v>0</v>
      </c>
      <c r="AD493" s="31">
        <f t="shared" ca="1" si="278"/>
        <v>0</v>
      </c>
      <c r="AE493" s="5"/>
      <c r="AF493" s="151">
        <f t="shared" ca="1" si="279"/>
        <v>0</v>
      </c>
      <c r="AG493" s="151">
        <f t="shared" ca="1" si="280"/>
        <v>0</v>
      </c>
      <c r="AH493" s="5"/>
      <c r="AI493" s="5"/>
      <c r="AS493" s="55">
        <f t="shared" si="288"/>
        <v>41</v>
      </c>
      <c r="AT493" s="56">
        <f t="shared" si="296"/>
        <v>490</v>
      </c>
      <c r="AU493" s="57">
        <f t="shared" si="300"/>
        <v>9.1545104784147235E-2</v>
      </c>
      <c r="AV493" s="58">
        <f t="shared" si="289"/>
        <v>4.8675505653430484E-3</v>
      </c>
      <c r="AW493" s="59">
        <f t="shared" si="290"/>
        <v>1.004867550565343</v>
      </c>
      <c r="AX493" s="60">
        <f>PRODUCT(AW$4:AW493)</f>
        <v>10.79749052566182</v>
      </c>
    </row>
    <row r="494" spans="5:50">
      <c r="E494">
        <f t="shared" si="298"/>
        <v>491</v>
      </c>
      <c r="F494" s="9">
        <f t="shared" si="291"/>
        <v>109.83333333333101</v>
      </c>
      <c r="G494" s="132">
        <f t="shared" si="269"/>
        <v>0</v>
      </c>
      <c r="H494" s="133">
        <f t="shared" si="297"/>
        <v>1</v>
      </c>
      <c r="I494" s="31">
        <f t="shared" si="281"/>
        <v>0</v>
      </c>
      <c r="J494" s="31">
        <f t="shared" si="270"/>
        <v>0</v>
      </c>
      <c r="K494" s="163">
        <f t="shared" si="271"/>
        <v>0</v>
      </c>
      <c r="L494" s="163">
        <f t="shared" si="282"/>
        <v>0</v>
      </c>
      <c r="M494" s="163">
        <f t="shared" si="299"/>
        <v>0</v>
      </c>
      <c r="N494" s="163">
        <f t="shared" si="283"/>
        <v>0</v>
      </c>
      <c r="O494" s="84">
        <f t="shared" si="272"/>
        <v>0</v>
      </c>
      <c r="P494" s="31">
        <f t="shared" si="273"/>
        <v>0</v>
      </c>
      <c r="Q494" s="5"/>
      <c r="R494">
        <f t="shared" ca="1" si="284"/>
        <v>611</v>
      </c>
      <c r="S494" s="133">
        <f t="shared" ca="1" si="285"/>
        <v>118.2</v>
      </c>
      <c r="T494" s="132">
        <f t="shared" ca="1" si="274"/>
        <v>0</v>
      </c>
      <c r="U494" s="133">
        <f t="shared" ca="1" si="292"/>
        <v>1.9008342029825436E-4</v>
      </c>
      <c r="V494" s="31">
        <f t="shared" ca="1" si="286"/>
        <v>0</v>
      </c>
      <c r="W494" s="31">
        <f t="shared" ca="1" si="275"/>
        <v>0</v>
      </c>
      <c r="X494" s="163">
        <f t="shared" ca="1" si="293"/>
        <v>0</v>
      </c>
      <c r="Y494" s="163">
        <f t="shared" ca="1" si="294"/>
        <v>0</v>
      </c>
      <c r="Z494" s="163">
        <f t="shared" ca="1" si="287"/>
        <v>0</v>
      </c>
      <c r="AA494" s="163">
        <f t="shared" ca="1" si="295"/>
        <v>0</v>
      </c>
      <c r="AB494" s="84">
        <f t="shared" ca="1" si="276"/>
        <v>0</v>
      </c>
      <c r="AC494" s="160">
        <f t="shared" si="277"/>
        <v>0</v>
      </c>
      <c r="AD494" s="31">
        <f t="shared" ca="1" si="278"/>
        <v>0</v>
      </c>
      <c r="AE494" s="5"/>
      <c r="AF494" s="151">
        <f t="shared" ca="1" si="279"/>
        <v>0</v>
      </c>
      <c r="AG494" s="151">
        <f t="shared" ca="1" si="280"/>
        <v>0</v>
      </c>
      <c r="AH494" s="5"/>
      <c r="AI494" s="5"/>
      <c r="AS494" s="55">
        <f t="shared" si="288"/>
        <v>41</v>
      </c>
      <c r="AT494" s="56">
        <f t="shared" si="296"/>
        <v>491</v>
      </c>
      <c r="AU494" s="57">
        <f t="shared" si="300"/>
        <v>9.1099504357600766E-2</v>
      </c>
      <c r="AV494" s="58">
        <f t="shared" si="289"/>
        <v>4.8675505653430484E-3</v>
      </c>
      <c r="AW494" s="59">
        <f t="shared" si="290"/>
        <v>1.004867550565343</v>
      </c>
      <c r="AX494" s="60">
        <f>PRODUCT(AW$4:AW494)</f>
        <v>10.850047856774291</v>
      </c>
    </row>
    <row r="495" spans="5:50">
      <c r="E495">
        <f t="shared" si="298"/>
        <v>492</v>
      </c>
      <c r="F495" s="9">
        <f t="shared" si="291"/>
        <v>109.91666666666434</v>
      </c>
      <c r="G495" s="132">
        <f t="shared" si="269"/>
        <v>0</v>
      </c>
      <c r="H495" s="133">
        <f t="shared" si="297"/>
        <v>1</v>
      </c>
      <c r="I495" s="31">
        <f t="shared" si="281"/>
        <v>0</v>
      </c>
      <c r="J495" s="31">
        <f t="shared" si="270"/>
        <v>0</v>
      </c>
      <c r="K495" s="163">
        <f t="shared" si="271"/>
        <v>0</v>
      </c>
      <c r="L495" s="163">
        <f t="shared" si="282"/>
        <v>0</v>
      </c>
      <c r="M495" s="163">
        <f t="shared" si="299"/>
        <v>0</v>
      </c>
      <c r="N495" s="163">
        <f t="shared" si="283"/>
        <v>0</v>
      </c>
      <c r="O495" s="84">
        <f t="shared" si="272"/>
        <v>0</v>
      </c>
      <c r="P495" s="31">
        <f t="shared" si="273"/>
        <v>0</v>
      </c>
      <c r="Q495" s="5"/>
      <c r="R495">
        <f t="shared" ca="1" si="284"/>
        <v>612</v>
      </c>
      <c r="S495" s="133">
        <f t="shared" ca="1" si="285"/>
        <v>118.28</v>
      </c>
      <c r="T495" s="132">
        <f t="shared" ca="1" si="274"/>
        <v>0</v>
      </c>
      <c r="U495" s="133">
        <f t="shared" ca="1" si="292"/>
        <v>1.9008342029825436E-4</v>
      </c>
      <c r="V495" s="31">
        <f t="shared" ca="1" si="286"/>
        <v>0</v>
      </c>
      <c r="W495" s="31">
        <f t="shared" ca="1" si="275"/>
        <v>0</v>
      </c>
      <c r="X495" s="163">
        <f t="shared" ca="1" si="293"/>
        <v>0</v>
      </c>
      <c r="Y495" s="163">
        <f t="shared" ca="1" si="294"/>
        <v>0</v>
      </c>
      <c r="Z495" s="163">
        <f t="shared" ca="1" si="287"/>
        <v>0</v>
      </c>
      <c r="AA495" s="163">
        <f t="shared" ca="1" si="295"/>
        <v>0</v>
      </c>
      <c r="AB495" s="84">
        <f t="shared" ca="1" si="276"/>
        <v>0</v>
      </c>
      <c r="AC495" s="160">
        <f t="shared" si="277"/>
        <v>0</v>
      </c>
      <c r="AD495" s="31">
        <f t="shared" ca="1" si="278"/>
        <v>0</v>
      </c>
      <c r="AE495" s="5"/>
      <c r="AF495" s="151">
        <f t="shared" ca="1" si="279"/>
        <v>0</v>
      </c>
      <c r="AG495" s="151">
        <f t="shared" ca="1" si="280"/>
        <v>0</v>
      </c>
      <c r="AH495" s="5"/>
      <c r="AI495" s="5"/>
      <c r="AS495" s="55">
        <f t="shared" si="288"/>
        <v>41</v>
      </c>
      <c r="AT495" s="56">
        <f t="shared" si="296"/>
        <v>492</v>
      </c>
      <c r="AU495" s="57">
        <f t="shared" si="300"/>
        <v>9.0656072913662455E-2</v>
      </c>
      <c r="AV495" s="58">
        <f t="shared" si="289"/>
        <v>4.8675505653430484E-3</v>
      </c>
      <c r="AW495" s="59">
        <f t="shared" si="290"/>
        <v>1.004867550565343</v>
      </c>
      <c r="AX495" s="60">
        <f>PRODUCT(AW$4:AW495)</f>
        <v>10.902861013353531</v>
      </c>
    </row>
    <row r="496" spans="5:50">
      <c r="E496">
        <f t="shared" si="298"/>
        <v>493</v>
      </c>
      <c r="F496" s="9">
        <f t="shared" si="291"/>
        <v>109.99999999999767</v>
      </c>
      <c r="G496" s="132">
        <f t="shared" si="269"/>
        <v>0</v>
      </c>
      <c r="H496" s="133">
        <f t="shared" si="297"/>
        <v>1</v>
      </c>
      <c r="I496" s="31">
        <f t="shared" si="281"/>
        <v>0</v>
      </c>
      <c r="J496" s="31">
        <f t="shared" si="270"/>
        <v>0</v>
      </c>
      <c r="K496" s="163">
        <f t="shared" si="271"/>
        <v>0</v>
      </c>
      <c r="L496" s="163">
        <f t="shared" si="282"/>
        <v>0</v>
      </c>
      <c r="M496" s="163">
        <f t="shared" si="299"/>
        <v>0</v>
      </c>
      <c r="N496" s="163">
        <f t="shared" si="283"/>
        <v>0</v>
      </c>
      <c r="O496" s="84">
        <f t="shared" si="272"/>
        <v>0</v>
      </c>
      <c r="P496" s="31">
        <f t="shared" si="273"/>
        <v>0</v>
      </c>
      <c r="Q496" s="5"/>
      <c r="R496">
        <f t="shared" ca="1" si="284"/>
        <v>613</v>
      </c>
      <c r="S496" s="133">
        <f t="shared" ca="1" si="285"/>
        <v>118.36</v>
      </c>
      <c r="T496" s="132">
        <f t="shared" ca="1" si="274"/>
        <v>0</v>
      </c>
      <c r="U496" s="133">
        <f t="shared" ca="1" si="292"/>
        <v>1.9008342029825436E-4</v>
      </c>
      <c r="V496" s="31">
        <f t="shared" ca="1" si="286"/>
        <v>0</v>
      </c>
      <c r="W496" s="31">
        <f t="shared" ca="1" si="275"/>
        <v>0</v>
      </c>
      <c r="X496" s="163">
        <f t="shared" ca="1" si="293"/>
        <v>0</v>
      </c>
      <c r="Y496" s="163">
        <f t="shared" ca="1" si="294"/>
        <v>0</v>
      </c>
      <c r="Z496" s="163">
        <f t="shared" ca="1" si="287"/>
        <v>0</v>
      </c>
      <c r="AA496" s="163">
        <f t="shared" ca="1" si="295"/>
        <v>0</v>
      </c>
      <c r="AB496" s="84">
        <f t="shared" ca="1" si="276"/>
        <v>0</v>
      </c>
      <c r="AC496" s="160">
        <f t="shared" si="277"/>
        <v>0</v>
      </c>
      <c r="AD496" s="31">
        <f t="shared" ca="1" si="278"/>
        <v>0</v>
      </c>
      <c r="AE496" s="5"/>
      <c r="AF496" s="151">
        <f t="shared" ca="1" si="279"/>
        <v>0</v>
      </c>
      <c r="AG496" s="151">
        <f t="shared" ca="1" si="280"/>
        <v>0</v>
      </c>
      <c r="AH496" s="5"/>
      <c r="AI496" s="5"/>
      <c r="AS496" s="55">
        <f t="shared" si="288"/>
        <v>42</v>
      </c>
      <c r="AT496" s="56">
        <f t="shared" si="296"/>
        <v>493</v>
      </c>
      <c r="AU496" s="57">
        <f t="shared" si="300"/>
        <v>9.0214799894699771E-2</v>
      </c>
      <c r="AV496" s="58">
        <f t="shared" si="289"/>
        <v>4.8675505653430484E-3</v>
      </c>
      <c r="AW496" s="59">
        <f t="shared" si="290"/>
        <v>1.004867550565343</v>
      </c>
      <c r="AX496" s="60">
        <f>PRODUCT(AW$4:AW496)</f>
        <v>10.955931240642936</v>
      </c>
    </row>
    <row r="497" spans="5:50">
      <c r="E497">
        <f t="shared" si="298"/>
        <v>494</v>
      </c>
      <c r="F497" s="9">
        <f t="shared" si="291"/>
        <v>110.083333333331</v>
      </c>
      <c r="G497" s="132">
        <f t="shared" si="269"/>
        <v>0</v>
      </c>
      <c r="H497" s="133">
        <f t="shared" si="297"/>
        <v>1</v>
      </c>
      <c r="I497" s="31">
        <f t="shared" si="281"/>
        <v>0</v>
      </c>
      <c r="J497" s="31">
        <f t="shared" si="270"/>
        <v>0</v>
      </c>
      <c r="K497" s="163">
        <f t="shared" si="271"/>
        <v>0</v>
      </c>
      <c r="L497" s="163">
        <f t="shared" si="282"/>
        <v>0</v>
      </c>
      <c r="M497" s="163">
        <f t="shared" si="299"/>
        <v>0</v>
      </c>
      <c r="N497" s="163">
        <f t="shared" si="283"/>
        <v>0</v>
      </c>
      <c r="O497" s="84">
        <f t="shared" si="272"/>
        <v>0</v>
      </c>
      <c r="P497" s="31">
        <f t="shared" si="273"/>
        <v>0</v>
      </c>
      <c r="Q497" s="5"/>
      <c r="R497">
        <f t="shared" ca="1" si="284"/>
        <v>614</v>
      </c>
      <c r="S497" s="133">
        <f t="shared" ca="1" si="285"/>
        <v>118.44</v>
      </c>
      <c r="T497" s="132">
        <f t="shared" ca="1" si="274"/>
        <v>0</v>
      </c>
      <c r="U497" s="133">
        <f t="shared" ca="1" si="292"/>
        <v>1.9008342029825436E-4</v>
      </c>
      <c r="V497" s="31">
        <f t="shared" ca="1" si="286"/>
        <v>0</v>
      </c>
      <c r="W497" s="31">
        <f t="shared" ca="1" si="275"/>
        <v>0</v>
      </c>
      <c r="X497" s="163">
        <f t="shared" ca="1" si="293"/>
        <v>0</v>
      </c>
      <c r="Y497" s="163">
        <f t="shared" ca="1" si="294"/>
        <v>0</v>
      </c>
      <c r="Z497" s="163">
        <f t="shared" ca="1" si="287"/>
        <v>0</v>
      </c>
      <c r="AA497" s="163">
        <f t="shared" ca="1" si="295"/>
        <v>0</v>
      </c>
      <c r="AB497" s="84">
        <f t="shared" ca="1" si="276"/>
        <v>0</v>
      </c>
      <c r="AC497" s="160">
        <f t="shared" si="277"/>
        <v>0</v>
      </c>
      <c r="AD497" s="31">
        <f t="shared" ca="1" si="278"/>
        <v>0</v>
      </c>
      <c r="AE497" s="5"/>
      <c r="AF497" s="151">
        <f t="shared" ca="1" si="279"/>
        <v>0</v>
      </c>
      <c r="AG497" s="151">
        <f t="shared" ca="1" si="280"/>
        <v>0</v>
      </c>
      <c r="AH497" s="5"/>
      <c r="AI497" s="5"/>
      <c r="AS497" s="55">
        <f t="shared" si="288"/>
        <v>42</v>
      </c>
      <c r="AT497" s="56">
        <f t="shared" si="296"/>
        <v>494</v>
      </c>
      <c r="AU497" s="57">
        <f t="shared" si="300"/>
        <v>8.9775674794470017E-2</v>
      </c>
      <c r="AV497" s="58">
        <f t="shared" si="289"/>
        <v>4.8675505653430484E-3</v>
      </c>
      <c r="AW497" s="59">
        <f t="shared" si="290"/>
        <v>1.004867550565343</v>
      </c>
      <c r="AX497" s="60">
        <f>PRODUCT(AW$4:AW497)</f>
        <v>11.009259789947187</v>
      </c>
    </row>
    <row r="498" spans="5:50">
      <c r="E498">
        <f t="shared" si="298"/>
        <v>495</v>
      </c>
      <c r="F498" s="9">
        <f t="shared" si="291"/>
        <v>110.16666666666433</v>
      </c>
      <c r="G498" s="132">
        <f t="shared" si="269"/>
        <v>0</v>
      </c>
      <c r="H498" s="133">
        <f t="shared" si="297"/>
        <v>1</v>
      </c>
      <c r="I498" s="31">
        <f t="shared" si="281"/>
        <v>0</v>
      </c>
      <c r="J498" s="31">
        <f t="shared" si="270"/>
        <v>0</v>
      </c>
      <c r="K498" s="163">
        <f t="shared" si="271"/>
        <v>0</v>
      </c>
      <c r="L498" s="163">
        <f t="shared" si="282"/>
        <v>0</v>
      </c>
      <c r="M498" s="163">
        <f t="shared" si="299"/>
        <v>0</v>
      </c>
      <c r="N498" s="163">
        <f t="shared" si="283"/>
        <v>0</v>
      </c>
      <c r="O498" s="84">
        <f t="shared" si="272"/>
        <v>0</v>
      </c>
      <c r="P498" s="31">
        <f t="shared" si="273"/>
        <v>0</v>
      </c>
      <c r="Q498" s="5"/>
      <c r="R498">
        <f t="shared" ca="1" si="284"/>
        <v>615</v>
      </c>
      <c r="S498" s="133">
        <f t="shared" ca="1" si="285"/>
        <v>118.52</v>
      </c>
      <c r="T498" s="132">
        <f t="shared" ca="1" si="274"/>
        <v>0</v>
      </c>
      <c r="U498" s="133">
        <f t="shared" ca="1" si="292"/>
        <v>1.9008342029825436E-4</v>
      </c>
      <c r="V498" s="31">
        <f t="shared" ca="1" si="286"/>
        <v>0</v>
      </c>
      <c r="W498" s="31">
        <f t="shared" ca="1" si="275"/>
        <v>0</v>
      </c>
      <c r="X498" s="163">
        <f t="shared" ca="1" si="293"/>
        <v>0</v>
      </c>
      <c r="Y498" s="163">
        <f t="shared" ca="1" si="294"/>
        <v>0</v>
      </c>
      <c r="Z498" s="163">
        <f t="shared" ca="1" si="287"/>
        <v>0</v>
      </c>
      <c r="AA498" s="163">
        <f t="shared" ca="1" si="295"/>
        <v>0</v>
      </c>
      <c r="AB498" s="84">
        <f t="shared" ca="1" si="276"/>
        <v>0</v>
      </c>
      <c r="AC498" s="160">
        <f t="shared" si="277"/>
        <v>0</v>
      </c>
      <c r="AD498" s="31">
        <f t="shared" ca="1" si="278"/>
        <v>0</v>
      </c>
      <c r="AE498" s="5"/>
      <c r="AF498" s="151">
        <f t="shared" ca="1" si="279"/>
        <v>0</v>
      </c>
      <c r="AG498" s="151">
        <f t="shared" ca="1" si="280"/>
        <v>0</v>
      </c>
      <c r="AH498" s="5"/>
      <c r="AI498" s="5"/>
      <c r="AS498" s="55">
        <f t="shared" si="288"/>
        <v>42</v>
      </c>
      <c r="AT498" s="56">
        <f t="shared" si="296"/>
        <v>495</v>
      </c>
      <c r="AU498" s="57">
        <f t="shared" si="300"/>
        <v>8.9338687157870147E-2</v>
      </c>
      <c r="AV498" s="58">
        <f t="shared" si="289"/>
        <v>4.8675505653430484E-3</v>
      </c>
      <c r="AW498" s="59">
        <f t="shared" si="290"/>
        <v>1.004867550565343</v>
      </c>
      <c r="AX498" s="60">
        <f>PRODUCT(AW$4:AW498)</f>
        <v>11.062847918661753</v>
      </c>
    </row>
    <row r="499" spans="5:50">
      <c r="E499">
        <f t="shared" si="298"/>
        <v>496</v>
      </c>
      <c r="F499" s="9">
        <f t="shared" si="291"/>
        <v>110.24999999999766</v>
      </c>
      <c r="G499" s="132">
        <f t="shared" si="269"/>
        <v>0</v>
      </c>
      <c r="H499" s="133">
        <f t="shared" si="297"/>
        <v>1</v>
      </c>
      <c r="I499" s="31">
        <f t="shared" si="281"/>
        <v>0</v>
      </c>
      <c r="J499" s="31">
        <f t="shared" si="270"/>
        <v>0</v>
      </c>
      <c r="K499" s="163">
        <f t="shared" si="271"/>
        <v>0</v>
      </c>
      <c r="L499" s="163">
        <f t="shared" si="282"/>
        <v>0</v>
      </c>
      <c r="M499" s="163">
        <f t="shared" si="299"/>
        <v>0</v>
      </c>
      <c r="N499" s="163">
        <f t="shared" si="283"/>
        <v>0</v>
      </c>
      <c r="O499" s="84">
        <f t="shared" si="272"/>
        <v>0</v>
      </c>
      <c r="P499" s="31">
        <f t="shared" si="273"/>
        <v>0</v>
      </c>
      <c r="Q499" s="5"/>
      <c r="R499">
        <f t="shared" ca="1" si="284"/>
        <v>616</v>
      </c>
      <c r="S499" s="133">
        <f t="shared" ca="1" si="285"/>
        <v>118.6</v>
      </c>
      <c r="T499" s="132">
        <f t="shared" ca="1" si="274"/>
        <v>0</v>
      </c>
      <c r="U499" s="133">
        <f t="shared" ca="1" si="292"/>
        <v>1.9008342029825436E-4</v>
      </c>
      <c r="V499" s="31">
        <f t="shared" ca="1" si="286"/>
        <v>0</v>
      </c>
      <c r="W499" s="31">
        <f t="shared" ca="1" si="275"/>
        <v>0</v>
      </c>
      <c r="X499" s="163">
        <f t="shared" ca="1" si="293"/>
        <v>0</v>
      </c>
      <c r="Y499" s="163">
        <f t="shared" ca="1" si="294"/>
        <v>0</v>
      </c>
      <c r="Z499" s="163">
        <f t="shared" ca="1" si="287"/>
        <v>0</v>
      </c>
      <c r="AA499" s="163">
        <f t="shared" ca="1" si="295"/>
        <v>0</v>
      </c>
      <c r="AB499" s="84">
        <f t="shared" ca="1" si="276"/>
        <v>0</v>
      </c>
      <c r="AC499" s="160">
        <f t="shared" si="277"/>
        <v>0</v>
      </c>
      <c r="AD499" s="31">
        <f t="shared" ca="1" si="278"/>
        <v>0</v>
      </c>
      <c r="AE499" s="5"/>
      <c r="AF499" s="151">
        <f t="shared" ca="1" si="279"/>
        <v>0</v>
      </c>
      <c r="AG499" s="151">
        <f t="shared" ca="1" si="280"/>
        <v>0</v>
      </c>
      <c r="AH499" s="5"/>
      <c r="AI499" s="5"/>
      <c r="AS499" s="55">
        <f t="shared" si="288"/>
        <v>42</v>
      </c>
      <c r="AT499" s="56">
        <f t="shared" si="296"/>
        <v>496</v>
      </c>
      <c r="AU499" s="57">
        <f t="shared" si="300"/>
        <v>8.890382658068785E-2</v>
      </c>
      <c r="AV499" s="58">
        <f t="shared" si="289"/>
        <v>4.8675505653430484E-3</v>
      </c>
      <c r="AW499" s="59">
        <f t="shared" si="290"/>
        <v>1.004867550565343</v>
      </c>
      <c r="AX499" s="60">
        <f>PRODUCT(AW$4:AW499)</f>
        <v>11.116696890302538</v>
      </c>
    </row>
    <row r="500" spans="5:50">
      <c r="E500">
        <f t="shared" si="298"/>
        <v>497</v>
      </c>
      <c r="F500" s="9">
        <f t="shared" si="291"/>
        <v>110.33333333333098</v>
      </c>
      <c r="G500" s="132">
        <f t="shared" si="269"/>
        <v>0</v>
      </c>
      <c r="H500" s="133">
        <f t="shared" si="297"/>
        <v>1</v>
      </c>
      <c r="I500" s="31">
        <f t="shared" si="281"/>
        <v>0</v>
      </c>
      <c r="J500" s="31">
        <f t="shared" si="270"/>
        <v>0</v>
      </c>
      <c r="K500" s="163">
        <f t="shared" si="271"/>
        <v>0</v>
      </c>
      <c r="L500" s="163">
        <f t="shared" si="282"/>
        <v>0</v>
      </c>
      <c r="M500" s="163">
        <f t="shared" si="299"/>
        <v>0</v>
      </c>
      <c r="N500" s="163">
        <f t="shared" si="283"/>
        <v>0</v>
      </c>
      <c r="O500" s="84">
        <f t="shared" si="272"/>
        <v>0</v>
      </c>
      <c r="P500" s="31">
        <f t="shared" si="273"/>
        <v>0</v>
      </c>
      <c r="Q500" s="5"/>
      <c r="R500">
        <f t="shared" ca="1" si="284"/>
        <v>617</v>
      </c>
      <c r="S500" s="133">
        <f t="shared" ca="1" si="285"/>
        <v>118.68</v>
      </c>
      <c r="T500" s="132">
        <f t="shared" ca="1" si="274"/>
        <v>0</v>
      </c>
      <c r="U500" s="133">
        <f t="shared" ca="1" si="292"/>
        <v>1.9008342029825436E-4</v>
      </c>
      <c r="V500" s="31">
        <f t="shared" ca="1" si="286"/>
        <v>0</v>
      </c>
      <c r="W500" s="31">
        <f t="shared" ca="1" si="275"/>
        <v>0</v>
      </c>
      <c r="X500" s="163">
        <f t="shared" ca="1" si="293"/>
        <v>0</v>
      </c>
      <c r="Y500" s="163">
        <f t="shared" ca="1" si="294"/>
        <v>0</v>
      </c>
      <c r="Z500" s="163">
        <f t="shared" ca="1" si="287"/>
        <v>0</v>
      </c>
      <c r="AA500" s="163">
        <f t="shared" ca="1" si="295"/>
        <v>0</v>
      </c>
      <c r="AB500" s="84">
        <f t="shared" ca="1" si="276"/>
        <v>0</v>
      </c>
      <c r="AC500" s="160">
        <f t="shared" si="277"/>
        <v>0</v>
      </c>
      <c r="AD500" s="31">
        <f t="shared" ca="1" si="278"/>
        <v>0</v>
      </c>
      <c r="AE500" s="5"/>
      <c r="AF500" s="151">
        <f t="shared" ca="1" si="279"/>
        <v>0</v>
      </c>
      <c r="AG500" s="151">
        <f t="shared" ca="1" si="280"/>
        <v>0</v>
      </c>
      <c r="AH500" s="5"/>
      <c r="AI500" s="5"/>
      <c r="AS500" s="55">
        <f t="shared" si="288"/>
        <v>42</v>
      </c>
      <c r="AT500" s="56">
        <f t="shared" si="296"/>
        <v>497</v>
      </c>
      <c r="AU500" s="57">
        <f t="shared" si="300"/>
        <v>8.847108270935386E-2</v>
      </c>
      <c r="AV500" s="58">
        <f t="shared" si="289"/>
        <v>4.8675505653430484E-3</v>
      </c>
      <c r="AW500" s="59">
        <f t="shared" si="290"/>
        <v>1.004867550565343</v>
      </c>
      <c r="AX500" s="60">
        <f>PRODUCT(AW$4:AW500)</f>
        <v>11.170807974535679</v>
      </c>
    </row>
    <row r="501" spans="5:50">
      <c r="E501">
        <f t="shared" si="298"/>
        <v>498</v>
      </c>
      <c r="F501" s="9">
        <f t="shared" si="291"/>
        <v>110.41666666666431</v>
      </c>
      <c r="G501" s="132">
        <f t="shared" si="269"/>
        <v>0</v>
      </c>
      <c r="H501" s="133">
        <f t="shared" si="297"/>
        <v>1</v>
      </c>
      <c r="I501" s="31">
        <f t="shared" si="281"/>
        <v>0</v>
      </c>
      <c r="J501" s="31">
        <f t="shared" si="270"/>
        <v>0</v>
      </c>
      <c r="K501" s="163">
        <f t="shared" si="271"/>
        <v>0</v>
      </c>
      <c r="L501" s="163">
        <f t="shared" si="282"/>
        <v>0</v>
      </c>
      <c r="M501" s="163">
        <f t="shared" si="299"/>
        <v>0</v>
      </c>
      <c r="N501" s="163">
        <f t="shared" si="283"/>
        <v>0</v>
      </c>
      <c r="O501" s="84">
        <f t="shared" si="272"/>
        <v>0</v>
      </c>
      <c r="P501" s="31">
        <f t="shared" si="273"/>
        <v>0</v>
      </c>
      <c r="Q501" s="5"/>
      <c r="R501">
        <f t="shared" ca="1" si="284"/>
        <v>618</v>
      </c>
      <c r="S501" s="133">
        <f t="shared" ca="1" si="285"/>
        <v>118.76</v>
      </c>
      <c r="T501" s="132">
        <f t="shared" ca="1" si="274"/>
        <v>0</v>
      </c>
      <c r="U501" s="133">
        <f t="shared" ca="1" si="292"/>
        <v>1.9008342029825436E-4</v>
      </c>
      <c r="V501" s="31">
        <f t="shared" ca="1" si="286"/>
        <v>0</v>
      </c>
      <c r="W501" s="31">
        <f t="shared" ca="1" si="275"/>
        <v>0</v>
      </c>
      <c r="X501" s="163">
        <f t="shared" ca="1" si="293"/>
        <v>0</v>
      </c>
      <c r="Y501" s="163">
        <f t="shared" ca="1" si="294"/>
        <v>0</v>
      </c>
      <c r="Z501" s="163">
        <f t="shared" ca="1" si="287"/>
        <v>0</v>
      </c>
      <c r="AA501" s="163">
        <f t="shared" ca="1" si="295"/>
        <v>0</v>
      </c>
      <c r="AB501" s="84">
        <f t="shared" ca="1" si="276"/>
        <v>0</v>
      </c>
      <c r="AC501" s="160">
        <f t="shared" si="277"/>
        <v>0</v>
      </c>
      <c r="AD501" s="31">
        <f t="shared" ca="1" si="278"/>
        <v>0</v>
      </c>
      <c r="AE501" s="5"/>
      <c r="AF501" s="151">
        <f t="shared" ca="1" si="279"/>
        <v>0</v>
      </c>
      <c r="AG501" s="151">
        <f t="shared" ca="1" si="280"/>
        <v>0</v>
      </c>
      <c r="AH501" s="5"/>
      <c r="AI501" s="5"/>
      <c r="AS501" s="55">
        <f t="shared" si="288"/>
        <v>42</v>
      </c>
      <c r="AT501" s="56">
        <f t="shared" si="296"/>
        <v>498</v>
      </c>
      <c r="AU501" s="57">
        <f t="shared" si="300"/>
        <v>8.8040445240695431E-2</v>
      </c>
      <c r="AV501" s="58">
        <f t="shared" si="289"/>
        <v>4.8675505653430484E-3</v>
      </c>
      <c r="AW501" s="59">
        <f t="shared" si="290"/>
        <v>1.004867550565343</v>
      </c>
      <c r="AX501" s="60">
        <f>PRODUCT(AW$4:AW501)</f>
        <v>11.225182447207468</v>
      </c>
    </row>
    <row r="502" spans="5:50">
      <c r="E502">
        <f t="shared" si="298"/>
        <v>499</v>
      </c>
      <c r="F502" s="9">
        <f t="shared" si="291"/>
        <v>110.49999999999764</v>
      </c>
      <c r="G502" s="132">
        <f t="shared" si="269"/>
        <v>0</v>
      </c>
      <c r="H502" s="133">
        <f t="shared" si="297"/>
        <v>1</v>
      </c>
      <c r="I502" s="31">
        <f t="shared" si="281"/>
        <v>0</v>
      </c>
      <c r="J502" s="31">
        <f t="shared" si="270"/>
        <v>0</v>
      </c>
      <c r="K502" s="163">
        <f t="shared" si="271"/>
        <v>0</v>
      </c>
      <c r="L502" s="163">
        <f t="shared" si="282"/>
        <v>0</v>
      </c>
      <c r="M502" s="163">
        <f t="shared" si="299"/>
        <v>0</v>
      </c>
      <c r="N502" s="163">
        <f t="shared" si="283"/>
        <v>0</v>
      </c>
      <c r="O502" s="84">
        <f t="shared" si="272"/>
        <v>0</v>
      </c>
      <c r="P502" s="31">
        <f t="shared" si="273"/>
        <v>0</v>
      </c>
      <c r="Q502" s="5"/>
      <c r="R502">
        <f t="shared" ca="1" si="284"/>
        <v>619</v>
      </c>
      <c r="S502" s="133">
        <f t="shared" ca="1" si="285"/>
        <v>118.84</v>
      </c>
      <c r="T502" s="132">
        <f t="shared" ca="1" si="274"/>
        <v>0</v>
      </c>
      <c r="U502" s="133">
        <f t="shared" ca="1" si="292"/>
        <v>1.9008342029825436E-4</v>
      </c>
      <c r="V502" s="31">
        <f t="shared" ca="1" si="286"/>
        <v>0</v>
      </c>
      <c r="W502" s="31">
        <f t="shared" ca="1" si="275"/>
        <v>0</v>
      </c>
      <c r="X502" s="163">
        <f t="shared" ca="1" si="293"/>
        <v>0</v>
      </c>
      <c r="Y502" s="163">
        <f t="shared" ca="1" si="294"/>
        <v>0</v>
      </c>
      <c r="Z502" s="163">
        <f t="shared" ca="1" si="287"/>
        <v>0</v>
      </c>
      <c r="AA502" s="163">
        <f t="shared" ca="1" si="295"/>
        <v>0</v>
      </c>
      <c r="AB502" s="84">
        <f t="shared" ca="1" si="276"/>
        <v>0</v>
      </c>
      <c r="AC502" s="160">
        <f t="shared" si="277"/>
        <v>0</v>
      </c>
      <c r="AD502" s="31">
        <f t="shared" ca="1" si="278"/>
        <v>0</v>
      </c>
      <c r="AE502" s="5"/>
      <c r="AF502" s="151">
        <f t="shared" ca="1" si="279"/>
        <v>0</v>
      </c>
      <c r="AG502" s="151">
        <f t="shared" ca="1" si="280"/>
        <v>0</v>
      </c>
      <c r="AH502" s="5"/>
      <c r="AI502" s="5"/>
      <c r="AS502" s="55">
        <f t="shared" si="288"/>
        <v>42</v>
      </c>
      <c r="AT502" s="56">
        <f t="shared" si="296"/>
        <v>499</v>
      </c>
      <c r="AU502" s="57">
        <f t="shared" si="300"/>
        <v>8.7611903921691034E-2</v>
      </c>
      <c r="AV502" s="58">
        <f t="shared" si="289"/>
        <v>4.8675505653430484E-3</v>
      </c>
      <c r="AW502" s="59">
        <f t="shared" si="290"/>
        <v>1.004867550565343</v>
      </c>
      <c r="AX502" s="60">
        <f>PRODUCT(AW$4:AW502)</f>
        <v>11.279821590374452</v>
      </c>
    </row>
    <row r="503" spans="5:50">
      <c r="E503">
        <f t="shared" si="298"/>
        <v>500</v>
      </c>
      <c r="F503" s="9">
        <f t="shared" si="291"/>
        <v>110.58333333333097</v>
      </c>
      <c r="G503" s="132">
        <f t="shared" si="269"/>
        <v>0</v>
      </c>
      <c r="H503" s="133">
        <f t="shared" si="297"/>
        <v>1</v>
      </c>
      <c r="I503" s="31">
        <f t="shared" si="281"/>
        <v>0</v>
      </c>
      <c r="J503" s="31">
        <f t="shared" si="270"/>
        <v>0</v>
      </c>
      <c r="K503" s="163">
        <f t="shared" si="271"/>
        <v>0</v>
      </c>
      <c r="L503" s="163">
        <f t="shared" si="282"/>
        <v>0</v>
      </c>
      <c r="M503" s="163">
        <f t="shared" si="299"/>
        <v>0</v>
      </c>
      <c r="N503" s="163">
        <f t="shared" si="283"/>
        <v>0</v>
      </c>
      <c r="O503" s="84">
        <f t="shared" si="272"/>
        <v>0</v>
      </c>
      <c r="P503" s="31">
        <f t="shared" si="273"/>
        <v>0</v>
      </c>
      <c r="Q503" s="5"/>
      <c r="R503">
        <f t="shared" ca="1" si="284"/>
        <v>620</v>
      </c>
      <c r="S503" s="133">
        <f t="shared" ca="1" si="285"/>
        <v>118.92</v>
      </c>
      <c r="T503" s="132">
        <f t="shared" ca="1" si="274"/>
        <v>0</v>
      </c>
      <c r="U503" s="133">
        <f t="shared" ca="1" si="292"/>
        <v>1.9008342029825436E-4</v>
      </c>
      <c r="V503" s="31">
        <f t="shared" ca="1" si="286"/>
        <v>0</v>
      </c>
      <c r="W503" s="31">
        <f t="shared" ca="1" si="275"/>
        <v>0</v>
      </c>
      <c r="X503" s="163">
        <f t="shared" ca="1" si="293"/>
        <v>0</v>
      </c>
      <c r="Y503" s="163">
        <f t="shared" ca="1" si="294"/>
        <v>0</v>
      </c>
      <c r="Z503" s="163">
        <f t="shared" ca="1" si="287"/>
        <v>0</v>
      </c>
      <c r="AA503" s="163">
        <f t="shared" ca="1" si="295"/>
        <v>0</v>
      </c>
      <c r="AB503" s="84">
        <f t="shared" ca="1" si="276"/>
        <v>0</v>
      </c>
      <c r="AC503" s="160">
        <f t="shared" si="277"/>
        <v>0</v>
      </c>
      <c r="AD503" s="31">
        <f t="shared" ca="1" si="278"/>
        <v>0</v>
      </c>
      <c r="AE503" s="5"/>
      <c r="AF503" s="151">
        <f t="shared" ca="1" si="279"/>
        <v>0</v>
      </c>
      <c r="AG503" s="151">
        <f t="shared" ca="1" si="280"/>
        <v>0</v>
      </c>
      <c r="AH503" s="5"/>
      <c r="AI503" s="5"/>
      <c r="AS503" s="55">
        <f t="shared" si="288"/>
        <v>42</v>
      </c>
      <c r="AT503" s="56">
        <f t="shared" si="296"/>
        <v>500</v>
      </c>
      <c r="AU503" s="57">
        <f t="shared" si="300"/>
        <v>8.7185448549226233E-2</v>
      </c>
      <c r="AV503" s="58">
        <f t="shared" si="289"/>
        <v>4.8675505653430484E-3</v>
      </c>
      <c r="AW503" s="59">
        <f t="shared" si="290"/>
        <v>1.004867550565343</v>
      </c>
      <c r="AX503" s="60">
        <f>PRODUCT(AW$4:AW503)</f>
        <v>11.334726692333648</v>
      </c>
    </row>
    <row r="504" spans="5:50">
      <c r="E504">
        <f t="shared" si="298"/>
        <v>501</v>
      </c>
      <c r="F504" s="9">
        <f t="shared" si="291"/>
        <v>110.6666666666643</v>
      </c>
      <c r="G504" s="132">
        <f t="shared" si="269"/>
        <v>0</v>
      </c>
      <c r="H504" s="133">
        <f t="shared" si="297"/>
        <v>1</v>
      </c>
      <c r="I504" s="31">
        <f t="shared" si="281"/>
        <v>0</v>
      </c>
      <c r="J504" s="31">
        <f t="shared" si="270"/>
        <v>0</v>
      </c>
      <c r="K504" s="163">
        <f t="shared" si="271"/>
        <v>0</v>
      </c>
      <c r="L504" s="163">
        <f t="shared" si="282"/>
        <v>0</v>
      </c>
      <c r="M504" s="163">
        <f t="shared" si="299"/>
        <v>0</v>
      </c>
      <c r="N504" s="163">
        <f t="shared" si="283"/>
        <v>0</v>
      </c>
      <c r="O504" s="84">
        <f t="shared" si="272"/>
        <v>0</v>
      </c>
      <c r="P504" s="31">
        <f t="shared" si="273"/>
        <v>0</v>
      </c>
      <c r="Q504" s="5"/>
      <c r="R504">
        <f t="shared" ca="1" si="284"/>
        <v>621</v>
      </c>
      <c r="S504" s="133">
        <f t="shared" ca="1" si="285"/>
        <v>119</v>
      </c>
      <c r="T504" s="132">
        <f t="shared" ca="1" si="274"/>
        <v>0</v>
      </c>
      <c r="U504" s="133">
        <f t="shared" ca="1" si="292"/>
        <v>1.9008342029825436E-4</v>
      </c>
      <c r="V504" s="31">
        <f t="shared" ca="1" si="286"/>
        <v>0</v>
      </c>
      <c r="W504" s="31">
        <f t="shared" ca="1" si="275"/>
        <v>0</v>
      </c>
      <c r="X504" s="163">
        <f t="shared" ca="1" si="293"/>
        <v>0</v>
      </c>
      <c r="Y504" s="163">
        <f t="shared" ca="1" si="294"/>
        <v>0</v>
      </c>
      <c r="Z504" s="163">
        <f t="shared" ca="1" si="287"/>
        <v>0</v>
      </c>
      <c r="AA504" s="163">
        <f t="shared" ca="1" si="295"/>
        <v>0</v>
      </c>
      <c r="AB504" s="84">
        <f t="shared" ca="1" si="276"/>
        <v>0</v>
      </c>
      <c r="AC504" s="160">
        <f t="shared" si="277"/>
        <v>0</v>
      </c>
      <c r="AD504" s="31">
        <f t="shared" ca="1" si="278"/>
        <v>0</v>
      </c>
      <c r="AE504" s="5"/>
      <c r="AF504" s="167">
        <v>1</v>
      </c>
      <c r="AG504" s="151">
        <f t="shared" ca="1" si="280"/>
        <v>0</v>
      </c>
      <c r="AH504" s="5"/>
      <c r="AI504" s="5"/>
      <c r="AS504" s="55">
        <f t="shared" si="288"/>
        <v>42</v>
      </c>
      <c r="AT504" s="56">
        <f t="shared" si="296"/>
        <v>501</v>
      </c>
      <c r="AU504" s="57">
        <f t="shared" si="300"/>
        <v>8.6761068969850766E-2</v>
      </c>
      <c r="AV504" s="58">
        <f t="shared" si="289"/>
        <v>4.8675505653430484E-3</v>
      </c>
      <c r="AW504" s="59">
        <f t="shared" si="290"/>
        <v>1.004867550565343</v>
      </c>
      <c r="AX504" s="60">
        <f>PRODUCT(AW$4:AW504)</f>
        <v>11.389899047652925</v>
      </c>
    </row>
    <row r="505" spans="5:50">
      <c r="E505">
        <f t="shared" si="298"/>
        <v>502</v>
      </c>
      <c r="F505" s="9">
        <f t="shared" si="291"/>
        <v>110.74999999999763</v>
      </c>
      <c r="G505" s="132">
        <f t="shared" si="269"/>
        <v>0</v>
      </c>
      <c r="H505" s="133">
        <f t="shared" si="297"/>
        <v>1</v>
      </c>
      <c r="I505" s="31">
        <f t="shared" si="281"/>
        <v>0</v>
      </c>
      <c r="J505" s="31">
        <f t="shared" si="270"/>
        <v>0</v>
      </c>
      <c r="K505" s="163">
        <f t="shared" si="271"/>
        <v>0</v>
      </c>
      <c r="L505" s="163">
        <f t="shared" si="282"/>
        <v>0</v>
      </c>
      <c r="M505" s="163">
        <f t="shared" si="299"/>
        <v>0</v>
      </c>
      <c r="N505" s="163">
        <f t="shared" si="283"/>
        <v>0</v>
      </c>
      <c r="O505" s="84">
        <f t="shared" si="272"/>
        <v>0</v>
      </c>
      <c r="P505" s="31">
        <f t="shared" si="273"/>
        <v>0</v>
      </c>
      <c r="Q505" s="5"/>
      <c r="R505">
        <f t="shared" ca="1" si="284"/>
        <v>622</v>
      </c>
      <c r="S505" s="133">
        <f t="shared" ca="1" si="285"/>
        <v>119.08</v>
      </c>
      <c r="T505" s="132">
        <f t="shared" ca="1" si="274"/>
        <v>0</v>
      </c>
      <c r="U505" s="133">
        <f t="shared" ca="1" si="292"/>
        <v>1.9008342029825436E-4</v>
      </c>
      <c r="V505" s="31">
        <f t="shared" ca="1" si="286"/>
        <v>0</v>
      </c>
      <c r="W505" s="31">
        <f t="shared" ca="1" si="275"/>
        <v>0</v>
      </c>
      <c r="X505" s="163">
        <f t="shared" ca="1" si="293"/>
        <v>0</v>
      </c>
      <c r="Y505" s="163">
        <f t="shared" ca="1" si="294"/>
        <v>0</v>
      </c>
      <c r="Z505" s="163">
        <f t="shared" ca="1" si="287"/>
        <v>0</v>
      </c>
      <c r="AA505" s="163">
        <f t="shared" ca="1" si="295"/>
        <v>0</v>
      </c>
      <c r="AB505" s="84">
        <f t="shared" ca="1" si="276"/>
        <v>0</v>
      </c>
      <c r="AC505" s="160">
        <f t="shared" si="277"/>
        <v>0</v>
      </c>
      <c r="AD505" s="31">
        <f t="shared" ca="1" si="278"/>
        <v>0</v>
      </c>
      <c r="AE505" s="5"/>
      <c r="AF505" s="151">
        <f ca="1">AB505/U505</f>
        <v>0</v>
      </c>
      <c r="AG505" s="151">
        <f t="shared" ca="1" si="280"/>
        <v>0</v>
      </c>
      <c r="AH505" s="5"/>
      <c r="AI505" s="5"/>
      <c r="AS505" s="55">
        <f t="shared" si="288"/>
        <v>42</v>
      </c>
      <c r="AT505" s="56">
        <f t="shared" si="296"/>
        <v>502</v>
      </c>
      <c r="AU505" s="57">
        <f t="shared" si="300"/>
        <v>8.6338755079536797E-2</v>
      </c>
      <c r="AV505" s="58">
        <f t="shared" si="289"/>
        <v>4.8675505653430484E-3</v>
      </c>
      <c r="AW505" s="59">
        <f t="shared" si="290"/>
        <v>1.004867550565343</v>
      </c>
      <c r="AX505" s="60">
        <f>PRODUCT(AW$4:AW505)</f>
        <v>11.445339957201528</v>
      </c>
    </row>
    <row r="506" spans="5:50">
      <c r="E506">
        <f t="shared" si="298"/>
        <v>503</v>
      </c>
      <c r="F506" s="9">
        <f t="shared" si="291"/>
        <v>110.83333333333096</v>
      </c>
      <c r="G506" s="132">
        <f t="shared" si="269"/>
        <v>0</v>
      </c>
      <c r="H506" s="133">
        <f t="shared" si="297"/>
        <v>1</v>
      </c>
      <c r="I506" s="31">
        <f t="shared" si="281"/>
        <v>0</v>
      </c>
      <c r="J506" s="31">
        <f t="shared" si="270"/>
        <v>0</v>
      </c>
      <c r="K506" s="163">
        <f t="shared" si="271"/>
        <v>0</v>
      </c>
      <c r="L506" s="163">
        <f t="shared" si="282"/>
        <v>0</v>
      </c>
      <c r="M506" s="163">
        <f t="shared" si="299"/>
        <v>0</v>
      </c>
      <c r="N506" s="163">
        <f t="shared" si="283"/>
        <v>0</v>
      </c>
      <c r="O506" s="84">
        <f t="shared" si="272"/>
        <v>0</v>
      </c>
      <c r="P506" s="31">
        <f t="shared" si="273"/>
        <v>0</v>
      </c>
      <c r="Q506" s="5"/>
      <c r="R506">
        <f t="shared" ca="1" si="284"/>
        <v>623</v>
      </c>
      <c r="S506" s="133">
        <f t="shared" ca="1" si="285"/>
        <v>119.16</v>
      </c>
      <c r="T506" s="132">
        <f t="shared" ca="1" si="274"/>
        <v>0</v>
      </c>
      <c r="U506" s="133">
        <f t="shared" ca="1" si="292"/>
        <v>1.9008342029825436E-4</v>
      </c>
      <c r="V506" s="31">
        <f t="shared" ca="1" si="286"/>
        <v>0</v>
      </c>
      <c r="W506" s="31">
        <f t="shared" ca="1" si="275"/>
        <v>0</v>
      </c>
      <c r="X506" s="163">
        <f t="shared" ca="1" si="293"/>
        <v>0</v>
      </c>
      <c r="Y506" s="163">
        <f t="shared" ca="1" si="294"/>
        <v>0</v>
      </c>
      <c r="Z506" s="163">
        <f t="shared" ca="1" si="287"/>
        <v>0</v>
      </c>
      <c r="AA506" s="163">
        <f t="shared" ca="1" si="295"/>
        <v>0</v>
      </c>
      <c r="AB506" s="84">
        <f t="shared" ca="1" si="276"/>
        <v>0</v>
      </c>
      <c r="AC506" s="160">
        <f t="shared" si="277"/>
        <v>0</v>
      </c>
      <c r="AD506" s="31">
        <f t="shared" ca="1" si="278"/>
        <v>0</v>
      </c>
      <c r="AE506" s="5"/>
      <c r="AF506" s="151">
        <f ca="1">AB506/U506</f>
        <v>0</v>
      </c>
      <c r="AG506" s="151">
        <f t="shared" ca="1" si="280"/>
        <v>0</v>
      </c>
      <c r="AH506" s="5"/>
      <c r="AI506" s="5"/>
      <c r="AS506" s="55">
        <f t="shared" si="288"/>
        <v>42</v>
      </c>
      <c r="AT506" s="56">
        <f t="shared" si="296"/>
        <v>503</v>
      </c>
      <c r="AU506" s="57">
        <f t="shared" si="300"/>
        <v>8.5918496823438384E-2</v>
      </c>
      <c r="AV506" s="58">
        <f t="shared" si="289"/>
        <v>4.8675505653430484E-3</v>
      </c>
      <c r="AW506" s="59">
        <f t="shared" si="290"/>
        <v>1.004867550565343</v>
      </c>
      <c r="AX506" s="60">
        <f>PRODUCT(AW$4:AW506)</f>
        <v>11.501050728180747</v>
      </c>
    </row>
    <row r="507" spans="5:50">
      <c r="E507">
        <f t="shared" si="298"/>
        <v>504</v>
      </c>
      <c r="F507" s="9">
        <f t="shared" si="291"/>
        <v>110.91666666666428</v>
      </c>
      <c r="G507" s="132">
        <f t="shared" si="269"/>
        <v>0</v>
      </c>
      <c r="H507" s="133">
        <f t="shared" si="297"/>
        <v>1</v>
      </c>
      <c r="I507" s="31">
        <f t="shared" si="281"/>
        <v>0</v>
      </c>
      <c r="J507" s="31">
        <f t="shared" si="270"/>
        <v>0</v>
      </c>
      <c r="K507" s="163">
        <f t="shared" si="271"/>
        <v>0</v>
      </c>
      <c r="L507" s="163">
        <f t="shared" si="282"/>
        <v>0</v>
      </c>
      <c r="M507" s="163">
        <f t="shared" si="299"/>
        <v>0</v>
      </c>
      <c r="N507" s="163">
        <f t="shared" si="283"/>
        <v>0</v>
      </c>
      <c r="O507" s="84">
        <f t="shared" si="272"/>
        <v>0</v>
      </c>
      <c r="P507" s="31">
        <f t="shared" si="273"/>
        <v>0</v>
      </c>
      <c r="Q507" s="5"/>
      <c r="R507">
        <f t="shared" ca="1" si="284"/>
        <v>624</v>
      </c>
      <c r="S507" s="133">
        <f t="shared" ca="1" si="285"/>
        <v>119.24</v>
      </c>
      <c r="T507" s="132">
        <f t="shared" ca="1" si="274"/>
        <v>0</v>
      </c>
      <c r="U507" s="133">
        <f t="shared" ca="1" si="292"/>
        <v>1.9008342029825436E-4</v>
      </c>
      <c r="V507" s="31">
        <f t="shared" ca="1" si="286"/>
        <v>0</v>
      </c>
      <c r="W507" s="31">
        <f t="shared" ca="1" si="275"/>
        <v>0</v>
      </c>
      <c r="X507" s="163">
        <f t="shared" ca="1" si="293"/>
        <v>0</v>
      </c>
      <c r="Y507" s="163">
        <f t="shared" ca="1" si="294"/>
        <v>0</v>
      </c>
      <c r="Z507" s="163">
        <f t="shared" ca="1" si="287"/>
        <v>0</v>
      </c>
      <c r="AA507" s="163">
        <f t="shared" ca="1" si="295"/>
        <v>0</v>
      </c>
      <c r="AB507" s="84">
        <f t="shared" ca="1" si="276"/>
        <v>0</v>
      </c>
      <c r="AC507" s="160">
        <f t="shared" si="277"/>
        <v>0</v>
      </c>
      <c r="AD507" s="31">
        <f t="shared" ca="1" si="278"/>
        <v>0</v>
      </c>
      <c r="AE507" s="5"/>
      <c r="AF507" s="5"/>
      <c r="AG507" s="5"/>
      <c r="AH507" s="5"/>
      <c r="AI507" s="5"/>
      <c r="AS507" s="55">
        <f t="shared" si="288"/>
        <v>42</v>
      </c>
      <c r="AT507" s="56">
        <f t="shared" si="296"/>
        <v>504</v>
      </c>
      <c r="AU507" s="57">
        <f t="shared" si="300"/>
        <v>8.5500284195652032E-2</v>
      </c>
      <c r="AV507" s="58">
        <f t="shared" si="289"/>
        <v>4.8675505653430484E-3</v>
      </c>
      <c r="AW507" s="59">
        <f t="shared" si="290"/>
        <v>1.004867550565343</v>
      </c>
      <c r="AX507" s="60">
        <f>PRODUCT(AW$4:AW507)</f>
        <v>11.557032674154742</v>
      </c>
    </row>
    <row r="508" spans="5:50">
      <c r="E508">
        <f t="shared" si="298"/>
        <v>505</v>
      </c>
      <c r="F508" s="9">
        <f t="shared" si="291"/>
        <v>110.99999999999761</v>
      </c>
      <c r="G508" s="132">
        <f t="shared" si="269"/>
        <v>0</v>
      </c>
      <c r="H508" s="133">
        <f t="shared" si="297"/>
        <v>1</v>
      </c>
      <c r="I508" s="31">
        <f t="shared" si="281"/>
        <v>0</v>
      </c>
      <c r="J508" s="31">
        <f t="shared" si="270"/>
        <v>0</v>
      </c>
      <c r="K508" s="163">
        <f t="shared" si="271"/>
        <v>0</v>
      </c>
      <c r="L508" s="163">
        <f t="shared" si="282"/>
        <v>0</v>
      </c>
      <c r="M508" s="163">
        <f t="shared" si="299"/>
        <v>0</v>
      </c>
      <c r="N508" s="163">
        <f t="shared" si="283"/>
        <v>0</v>
      </c>
      <c r="O508" s="84">
        <f t="shared" si="272"/>
        <v>0</v>
      </c>
      <c r="P508" s="31">
        <f t="shared" si="273"/>
        <v>0</v>
      </c>
      <c r="Q508" s="5"/>
      <c r="R508">
        <f t="shared" ca="1" si="284"/>
        <v>625</v>
      </c>
      <c r="S508" s="133">
        <f t="shared" ca="1" si="285"/>
        <v>119.32</v>
      </c>
      <c r="T508" s="132">
        <f t="shared" ca="1" si="274"/>
        <v>0</v>
      </c>
      <c r="U508" s="133">
        <f t="shared" ca="1" si="292"/>
        <v>1.9008342029825436E-4</v>
      </c>
      <c r="V508" s="31">
        <f t="shared" ca="1" si="286"/>
        <v>0</v>
      </c>
      <c r="W508" s="31">
        <f t="shared" ca="1" si="275"/>
        <v>0</v>
      </c>
      <c r="X508" s="163">
        <f t="shared" ca="1" si="293"/>
        <v>0</v>
      </c>
      <c r="Y508" s="163">
        <f t="shared" ca="1" si="294"/>
        <v>0</v>
      </c>
      <c r="Z508" s="163">
        <f t="shared" ca="1" si="287"/>
        <v>0</v>
      </c>
      <c r="AA508" s="163">
        <f t="shared" ca="1" si="295"/>
        <v>0</v>
      </c>
      <c r="AB508" s="84">
        <f t="shared" ca="1" si="276"/>
        <v>0</v>
      </c>
      <c r="AC508" s="160">
        <f t="shared" si="277"/>
        <v>0</v>
      </c>
      <c r="AD508" s="31">
        <f t="shared" ca="1" si="278"/>
        <v>0</v>
      </c>
      <c r="AE508" s="5"/>
      <c r="AF508" s="5"/>
      <c r="AG508" s="5"/>
      <c r="AH508" s="5"/>
      <c r="AI508" s="5"/>
      <c r="AS508" s="55">
        <f t="shared" si="288"/>
        <v>43</v>
      </c>
      <c r="AT508" s="56">
        <f t="shared" si="296"/>
        <v>505</v>
      </c>
      <c r="AU508" s="57">
        <f t="shared" si="300"/>
        <v>8.5084107238978496E-2</v>
      </c>
      <c r="AV508" s="58">
        <f t="shared" si="289"/>
        <v>4.8675505653430484E-3</v>
      </c>
      <c r="AW508" s="59">
        <f t="shared" si="290"/>
        <v>1.004867550565343</v>
      </c>
      <c r="AX508" s="60">
        <f>PRODUCT(AW$4:AW508)</f>
        <v>11.613287115081512</v>
      </c>
    </row>
    <row r="509" spans="5:50">
      <c r="E509">
        <f t="shared" si="298"/>
        <v>506</v>
      </c>
      <c r="F509" s="9">
        <f t="shared" si="291"/>
        <v>111.08333333333094</v>
      </c>
      <c r="G509" s="132">
        <f t="shared" si="269"/>
        <v>0</v>
      </c>
      <c r="H509" s="133">
        <f t="shared" si="297"/>
        <v>1</v>
      </c>
      <c r="I509" s="31">
        <f t="shared" si="281"/>
        <v>0</v>
      </c>
      <c r="J509" s="31">
        <f t="shared" si="270"/>
        <v>0</v>
      </c>
      <c r="K509" s="163">
        <f t="shared" si="271"/>
        <v>0</v>
      </c>
      <c r="L509" s="163">
        <f t="shared" si="282"/>
        <v>0</v>
      </c>
      <c r="M509" s="163">
        <f t="shared" si="299"/>
        <v>0</v>
      </c>
      <c r="N509" s="163">
        <f t="shared" si="283"/>
        <v>0</v>
      </c>
      <c r="O509" s="84">
        <f t="shared" si="272"/>
        <v>0</v>
      </c>
      <c r="P509" s="31">
        <f t="shared" si="273"/>
        <v>0</v>
      </c>
      <c r="Q509" s="5"/>
      <c r="R509">
        <f t="shared" ca="1" si="284"/>
        <v>626</v>
      </c>
      <c r="S509" s="133">
        <f t="shared" ca="1" si="285"/>
        <v>119.4</v>
      </c>
      <c r="T509" s="132">
        <f t="shared" ca="1" si="274"/>
        <v>0</v>
      </c>
      <c r="U509" s="133">
        <f t="shared" ca="1" si="292"/>
        <v>1.9008342029825436E-4</v>
      </c>
      <c r="V509" s="31">
        <f t="shared" ca="1" si="286"/>
        <v>0</v>
      </c>
      <c r="W509" s="31">
        <f t="shared" ca="1" si="275"/>
        <v>0</v>
      </c>
      <c r="X509" s="163">
        <f t="shared" ca="1" si="293"/>
        <v>0</v>
      </c>
      <c r="Y509" s="163">
        <f t="shared" ca="1" si="294"/>
        <v>0</v>
      </c>
      <c r="Z509" s="163">
        <f t="shared" ca="1" si="287"/>
        <v>0</v>
      </c>
      <c r="AA509" s="163">
        <f t="shared" ca="1" si="295"/>
        <v>0</v>
      </c>
      <c r="AB509" s="84">
        <f t="shared" ca="1" si="276"/>
        <v>0</v>
      </c>
      <c r="AC509" s="160">
        <f t="shared" si="277"/>
        <v>0</v>
      </c>
      <c r="AD509" s="31">
        <f t="shared" ca="1" si="278"/>
        <v>0</v>
      </c>
      <c r="AE509" s="5"/>
      <c r="AF509" s="5"/>
      <c r="AG509" s="5"/>
      <c r="AH509" s="5"/>
      <c r="AI509" s="5"/>
      <c r="AS509" s="55">
        <f t="shared" si="288"/>
        <v>43</v>
      </c>
      <c r="AT509" s="56">
        <f t="shared" si="296"/>
        <v>506</v>
      </c>
      <c r="AU509" s="57">
        <f t="shared" si="300"/>
        <v>8.4669956044685704E-2</v>
      </c>
      <c r="AV509" s="58">
        <f t="shared" si="289"/>
        <v>4.8675505653430484E-3</v>
      </c>
      <c r="AW509" s="59">
        <f t="shared" si="290"/>
        <v>1.004867550565343</v>
      </c>
      <c r="AX509" s="60">
        <f>PRODUCT(AW$4:AW509)</f>
        <v>11.669815377344019</v>
      </c>
    </row>
    <row r="510" spans="5:50">
      <c r="E510">
        <f t="shared" si="298"/>
        <v>507</v>
      </c>
      <c r="F510" s="9">
        <f t="shared" si="291"/>
        <v>111.16666666666427</v>
      </c>
      <c r="G510" s="132">
        <f t="shared" si="269"/>
        <v>0</v>
      </c>
      <c r="H510" s="133">
        <f t="shared" si="297"/>
        <v>1</v>
      </c>
      <c r="I510" s="31">
        <f t="shared" si="281"/>
        <v>0</v>
      </c>
      <c r="J510" s="31">
        <f t="shared" si="270"/>
        <v>0</v>
      </c>
      <c r="K510" s="163">
        <f t="shared" si="271"/>
        <v>0</v>
      </c>
      <c r="L510" s="163">
        <f t="shared" si="282"/>
        <v>0</v>
      </c>
      <c r="M510" s="163">
        <f t="shared" si="299"/>
        <v>0</v>
      </c>
      <c r="N510" s="163">
        <f t="shared" si="283"/>
        <v>0</v>
      </c>
      <c r="O510" s="84">
        <f t="shared" si="272"/>
        <v>0</v>
      </c>
      <c r="P510" s="31">
        <f t="shared" si="273"/>
        <v>0</v>
      </c>
      <c r="Q510" s="5"/>
      <c r="R510">
        <f t="shared" ca="1" si="284"/>
        <v>627</v>
      </c>
      <c r="S510" s="133">
        <f t="shared" ca="1" si="285"/>
        <v>119.48</v>
      </c>
      <c r="T510" s="132">
        <f t="shared" ca="1" si="274"/>
        <v>0</v>
      </c>
      <c r="U510" s="133">
        <f t="shared" ca="1" si="292"/>
        <v>1.9008342029825436E-4</v>
      </c>
      <c r="V510" s="31">
        <f t="shared" ca="1" si="286"/>
        <v>0</v>
      </c>
      <c r="W510" s="31">
        <f t="shared" ca="1" si="275"/>
        <v>0</v>
      </c>
      <c r="X510" s="163">
        <f t="shared" ca="1" si="293"/>
        <v>0</v>
      </c>
      <c r="Y510" s="163">
        <f t="shared" ca="1" si="294"/>
        <v>0</v>
      </c>
      <c r="Z510" s="163">
        <f t="shared" ca="1" si="287"/>
        <v>0</v>
      </c>
      <c r="AA510" s="163">
        <f t="shared" ca="1" si="295"/>
        <v>0</v>
      </c>
      <c r="AB510" s="84">
        <f t="shared" ca="1" si="276"/>
        <v>0</v>
      </c>
      <c r="AC510" s="160">
        <f t="shared" si="277"/>
        <v>0</v>
      </c>
      <c r="AD510" s="31">
        <f t="shared" ca="1" si="278"/>
        <v>0</v>
      </c>
      <c r="AE510" s="5"/>
      <c r="AF510" s="5"/>
      <c r="AG510" s="5"/>
      <c r="AH510" s="5"/>
      <c r="AI510" s="5"/>
      <c r="AS510" s="55">
        <f t="shared" si="288"/>
        <v>43</v>
      </c>
      <c r="AT510" s="56">
        <f t="shared" si="296"/>
        <v>507</v>
      </c>
      <c r="AU510" s="57">
        <f t="shared" si="300"/>
        <v>8.4257820752272825E-2</v>
      </c>
      <c r="AV510" s="58">
        <f t="shared" si="289"/>
        <v>4.8675505653430484E-3</v>
      </c>
      <c r="AW510" s="59">
        <f t="shared" si="290"/>
        <v>1.004867550565343</v>
      </c>
      <c r="AX510" s="60">
        <f>PRODUCT(AW$4:AW510)</f>
        <v>11.726618793781459</v>
      </c>
    </row>
    <row r="511" spans="5:50">
      <c r="E511">
        <f t="shared" si="298"/>
        <v>508</v>
      </c>
      <c r="F511" s="9">
        <f t="shared" si="291"/>
        <v>111.2499999999976</v>
      </c>
      <c r="G511" s="132">
        <f t="shared" si="269"/>
        <v>0</v>
      </c>
      <c r="H511" s="133">
        <f t="shared" si="297"/>
        <v>1</v>
      </c>
      <c r="I511" s="31">
        <f t="shared" si="281"/>
        <v>0</v>
      </c>
      <c r="J511" s="31">
        <f t="shared" si="270"/>
        <v>0</v>
      </c>
      <c r="K511" s="163">
        <f t="shared" si="271"/>
        <v>0</v>
      </c>
      <c r="L511" s="163">
        <f t="shared" si="282"/>
        <v>0</v>
      </c>
      <c r="M511" s="163">
        <f t="shared" si="299"/>
        <v>0</v>
      </c>
      <c r="N511" s="163">
        <f t="shared" si="283"/>
        <v>0</v>
      </c>
      <c r="O511" s="84">
        <f t="shared" si="272"/>
        <v>0</v>
      </c>
      <c r="P511" s="31">
        <f t="shared" si="273"/>
        <v>0</v>
      </c>
      <c r="Q511" s="5"/>
      <c r="R511">
        <f t="shared" ca="1" si="284"/>
        <v>628</v>
      </c>
      <c r="S511" s="133">
        <f t="shared" ca="1" si="285"/>
        <v>119.56</v>
      </c>
      <c r="T511" s="132">
        <f t="shared" ca="1" si="274"/>
        <v>0</v>
      </c>
      <c r="U511" s="133">
        <f t="shared" ca="1" si="292"/>
        <v>1.9008342029825436E-4</v>
      </c>
      <c r="V511" s="31">
        <f t="shared" ca="1" si="286"/>
        <v>0</v>
      </c>
      <c r="W511" s="31">
        <f t="shared" ca="1" si="275"/>
        <v>0</v>
      </c>
      <c r="X511" s="163">
        <f t="shared" ca="1" si="293"/>
        <v>0</v>
      </c>
      <c r="Y511" s="163">
        <f t="shared" ca="1" si="294"/>
        <v>0</v>
      </c>
      <c r="Z511" s="163">
        <f t="shared" ca="1" si="287"/>
        <v>0</v>
      </c>
      <c r="AA511" s="163">
        <f t="shared" ca="1" si="295"/>
        <v>0</v>
      </c>
      <c r="AB511" s="84">
        <f t="shared" ca="1" si="276"/>
        <v>0</v>
      </c>
      <c r="AC511" s="160">
        <f t="shared" si="277"/>
        <v>0</v>
      </c>
      <c r="AD511" s="31">
        <f t="shared" ca="1" si="278"/>
        <v>0</v>
      </c>
      <c r="AE511" s="5"/>
      <c r="AF511" s="5"/>
      <c r="AG511" s="5"/>
      <c r="AH511" s="5"/>
      <c r="AI511" s="5"/>
      <c r="AS511" s="55">
        <f t="shared" si="288"/>
        <v>43</v>
      </c>
      <c r="AT511" s="56">
        <f t="shared" si="296"/>
        <v>508</v>
      </c>
      <c r="AU511" s="57">
        <f t="shared" si="300"/>
        <v>8.384769154923552E-2</v>
      </c>
      <c r="AV511" s="58">
        <f t="shared" si="289"/>
        <v>4.8675505653430484E-3</v>
      </c>
      <c r="AW511" s="59">
        <f t="shared" si="290"/>
        <v>1.004867550565343</v>
      </c>
      <c r="AX511" s="60">
        <f>PRODUCT(AW$4:AW511)</f>
        <v>11.783698703720692</v>
      </c>
    </row>
    <row r="512" spans="5:50">
      <c r="E512">
        <f t="shared" si="298"/>
        <v>509</v>
      </c>
      <c r="F512" s="9">
        <f t="shared" si="291"/>
        <v>111.33333333333093</v>
      </c>
      <c r="G512" s="132">
        <f t="shared" si="269"/>
        <v>0</v>
      </c>
      <c r="H512" s="133">
        <f t="shared" si="297"/>
        <v>1</v>
      </c>
      <c r="I512" s="31">
        <f t="shared" si="281"/>
        <v>0</v>
      </c>
      <c r="J512" s="31">
        <f t="shared" si="270"/>
        <v>0</v>
      </c>
      <c r="K512" s="163">
        <f t="shared" si="271"/>
        <v>0</v>
      </c>
      <c r="L512" s="163">
        <f t="shared" si="282"/>
        <v>0</v>
      </c>
      <c r="M512" s="163">
        <f t="shared" si="299"/>
        <v>0</v>
      </c>
      <c r="N512" s="163">
        <f t="shared" si="283"/>
        <v>0</v>
      </c>
      <c r="O512" s="84">
        <f t="shared" si="272"/>
        <v>0</v>
      </c>
      <c r="P512" s="31">
        <f t="shared" si="273"/>
        <v>0</v>
      </c>
      <c r="Q512" s="5"/>
      <c r="R512">
        <f t="shared" ca="1" si="284"/>
        <v>629</v>
      </c>
      <c r="S512" s="133">
        <f t="shared" ca="1" si="285"/>
        <v>119.64</v>
      </c>
      <c r="T512" s="132">
        <f t="shared" ca="1" si="274"/>
        <v>0</v>
      </c>
      <c r="U512" s="133">
        <f t="shared" ca="1" si="292"/>
        <v>1.9008342029825436E-4</v>
      </c>
      <c r="V512" s="31">
        <f t="shared" ca="1" si="286"/>
        <v>0</v>
      </c>
      <c r="W512" s="31">
        <f t="shared" ca="1" si="275"/>
        <v>0</v>
      </c>
      <c r="X512" s="163">
        <f t="shared" ca="1" si="293"/>
        <v>0</v>
      </c>
      <c r="Y512" s="163">
        <f t="shared" ca="1" si="294"/>
        <v>0</v>
      </c>
      <c r="Z512" s="163">
        <f t="shared" ca="1" si="287"/>
        <v>0</v>
      </c>
      <c r="AA512" s="163">
        <f t="shared" ca="1" si="295"/>
        <v>0</v>
      </c>
      <c r="AB512" s="84">
        <f t="shared" ca="1" si="276"/>
        <v>0</v>
      </c>
      <c r="AC512" s="160">
        <f t="shared" si="277"/>
        <v>0</v>
      </c>
      <c r="AD512" s="31">
        <f t="shared" ca="1" si="278"/>
        <v>0</v>
      </c>
      <c r="AE512" s="5"/>
      <c r="AF512" s="5"/>
      <c r="AG512" s="5"/>
      <c r="AH512" s="5"/>
      <c r="AI512" s="5"/>
      <c r="AS512" s="55">
        <f t="shared" si="288"/>
        <v>43</v>
      </c>
      <c r="AT512" s="56">
        <f t="shared" si="296"/>
        <v>509</v>
      </c>
      <c r="AU512" s="57">
        <f t="shared" si="300"/>
        <v>8.3439558670832331E-2</v>
      </c>
      <c r="AV512" s="58">
        <f t="shared" si="289"/>
        <v>4.8675505653430484E-3</v>
      </c>
      <c r="AW512" s="59">
        <f t="shared" si="290"/>
        <v>1.004867550565343</v>
      </c>
      <c r="AX512" s="60">
        <f>PRODUCT(AW$4:AW512)</f>
        <v>11.84105645300782</v>
      </c>
    </row>
    <row r="513" spans="5:50">
      <c r="E513">
        <f t="shared" si="298"/>
        <v>510</v>
      </c>
      <c r="F513" s="9">
        <f t="shared" si="291"/>
        <v>111.41666666666426</v>
      </c>
      <c r="G513" s="132">
        <f t="shared" si="269"/>
        <v>0</v>
      </c>
      <c r="H513" s="133">
        <f t="shared" si="297"/>
        <v>1</v>
      </c>
      <c r="I513" s="31">
        <f t="shared" si="281"/>
        <v>0</v>
      </c>
      <c r="J513" s="31">
        <f t="shared" si="270"/>
        <v>0</v>
      </c>
      <c r="K513" s="163">
        <f t="shared" si="271"/>
        <v>0</v>
      </c>
      <c r="L513" s="163">
        <f t="shared" si="282"/>
        <v>0</v>
      </c>
      <c r="M513" s="163">
        <f t="shared" si="299"/>
        <v>0</v>
      </c>
      <c r="N513" s="163">
        <f t="shared" si="283"/>
        <v>0</v>
      </c>
      <c r="O513" s="84">
        <f t="shared" si="272"/>
        <v>0</v>
      </c>
      <c r="P513" s="31">
        <f t="shared" si="273"/>
        <v>0</v>
      </c>
      <c r="Q513" s="5"/>
      <c r="R513">
        <f t="shared" ca="1" si="284"/>
        <v>630</v>
      </c>
      <c r="S513" s="133">
        <f t="shared" ca="1" si="285"/>
        <v>119.72</v>
      </c>
      <c r="T513" s="132">
        <f t="shared" ca="1" si="274"/>
        <v>0</v>
      </c>
      <c r="U513" s="133">
        <f t="shared" ca="1" si="292"/>
        <v>1.9008342029825436E-4</v>
      </c>
      <c r="V513" s="31">
        <f t="shared" ca="1" si="286"/>
        <v>0</v>
      </c>
      <c r="W513" s="31">
        <f t="shared" ca="1" si="275"/>
        <v>0</v>
      </c>
      <c r="X513" s="163">
        <f t="shared" ca="1" si="293"/>
        <v>0</v>
      </c>
      <c r="Y513" s="163">
        <f t="shared" ca="1" si="294"/>
        <v>0</v>
      </c>
      <c r="Z513" s="163">
        <f t="shared" ca="1" si="287"/>
        <v>0</v>
      </c>
      <c r="AA513" s="163">
        <f t="shared" ca="1" si="295"/>
        <v>0</v>
      </c>
      <c r="AB513" s="84">
        <f t="shared" ca="1" si="276"/>
        <v>0</v>
      </c>
      <c r="AC513" s="160">
        <f t="shared" si="277"/>
        <v>0</v>
      </c>
      <c r="AD513" s="31">
        <f t="shared" ca="1" si="278"/>
        <v>0</v>
      </c>
      <c r="AE513" s="5"/>
      <c r="AF513" s="5"/>
      <c r="AG513" s="5"/>
      <c r="AH513" s="5"/>
      <c r="AI513" s="5"/>
      <c r="AS513" s="55">
        <f t="shared" si="288"/>
        <v>43</v>
      </c>
      <c r="AT513" s="56">
        <f t="shared" si="296"/>
        <v>510</v>
      </c>
      <c r="AU513" s="57">
        <f t="shared" si="300"/>
        <v>8.3033412399852152E-2</v>
      </c>
      <c r="AV513" s="58">
        <f t="shared" si="289"/>
        <v>4.8675505653430484E-3</v>
      </c>
      <c r="AW513" s="59">
        <f t="shared" si="290"/>
        <v>1.004867550565343</v>
      </c>
      <c r="AX513" s="60">
        <f>PRODUCT(AW$4:AW513)</f>
        <v>11.898693394039917</v>
      </c>
    </row>
    <row r="514" spans="5:50">
      <c r="E514">
        <f t="shared" si="298"/>
        <v>511</v>
      </c>
      <c r="F514" s="9">
        <f t="shared" si="291"/>
        <v>111.49999999999758</v>
      </c>
      <c r="G514" s="132">
        <f t="shared" si="269"/>
        <v>0</v>
      </c>
      <c r="H514" s="133">
        <f t="shared" si="297"/>
        <v>1</v>
      </c>
      <c r="I514" s="31">
        <f t="shared" si="281"/>
        <v>0</v>
      </c>
      <c r="J514" s="31">
        <f t="shared" si="270"/>
        <v>0</v>
      </c>
      <c r="K514" s="163">
        <f t="shared" si="271"/>
        <v>0</v>
      </c>
      <c r="L514" s="163">
        <f t="shared" si="282"/>
        <v>0</v>
      </c>
      <c r="M514" s="163">
        <f t="shared" si="299"/>
        <v>0</v>
      </c>
      <c r="N514" s="163">
        <f t="shared" si="283"/>
        <v>0</v>
      </c>
      <c r="O514" s="84">
        <f t="shared" si="272"/>
        <v>0</v>
      </c>
      <c r="P514" s="31">
        <f t="shared" si="273"/>
        <v>0</v>
      </c>
      <c r="Q514" s="5"/>
      <c r="R514">
        <f t="shared" ca="1" si="284"/>
        <v>631</v>
      </c>
      <c r="S514" s="133">
        <f t="shared" ca="1" si="285"/>
        <v>119.8</v>
      </c>
      <c r="T514" s="132">
        <f t="shared" ca="1" si="274"/>
        <v>0</v>
      </c>
      <c r="U514" s="133">
        <f t="shared" ca="1" si="292"/>
        <v>1.9008342029825436E-4</v>
      </c>
      <c r="V514" s="31">
        <f t="shared" ca="1" si="286"/>
        <v>0</v>
      </c>
      <c r="W514" s="31">
        <f t="shared" ca="1" si="275"/>
        <v>0</v>
      </c>
      <c r="X514" s="163">
        <f t="shared" ca="1" si="293"/>
        <v>0</v>
      </c>
      <c r="Y514" s="163">
        <f t="shared" ca="1" si="294"/>
        <v>0</v>
      </c>
      <c r="Z514" s="163">
        <f t="shared" ca="1" si="287"/>
        <v>0</v>
      </c>
      <c r="AA514" s="163">
        <f t="shared" ca="1" si="295"/>
        <v>0</v>
      </c>
      <c r="AB514" s="84">
        <f t="shared" ca="1" si="276"/>
        <v>0</v>
      </c>
      <c r="AC514" s="160">
        <f t="shared" si="277"/>
        <v>0</v>
      </c>
      <c r="AD514" s="31">
        <f t="shared" ca="1" si="278"/>
        <v>0</v>
      </c>
      <c r="AE514" s="5"/>
      <c r="AF514" s="5"/>
      <c r="AG514" s="5"/>
      <c r="AH514" s="5"/>
      <c r="AI514" s="5"/>
      <c r="AS514" s="55">
        <f t="shared" si="288"/>
        <v>43</v>
      </c>
      <c r="AT514" s="56">
        <f t="shared" si="296"/>
        <v>511</v>
      </c>
      <c r="AU514" s="57">
        <f t="shared" si="300"/>
        <v>8.262924306638289E-2</v>
      </c>
      <c r="AV514" s="58">
        <f t="shared" si="289"/>
        <v>4.8675505653430484E-3</v>
      </c>
      <c r="AW514" s="59">
        <f t="shared" si="290"/>
        <v>1.004867550565343</v>
      </c>
      <c r="AX514" s="60">
        <f>PRODUCT(AW$4:AW514)</f>
        <v>11.95661088579692</v>
      </c>
    </row>
    <row r="515" spans="5:50">
      <c r="E515">
        <f t="shared" si="298"/>
        <v>512</v>
      </c>
      <c r="F515" s="9">
        <f t="shared" si="291"/>
        <v>111.58333333333091</v>
      </c>
      <c r="G515" s="132">
        <f t="shared" si="269"/>
        <v>0</v>
      </c>
      <c r="H515" s="133">
        <f t="shared" si="297"/>
        <v>1</v>
      </c>
      <c r="I515" s="31">
        <f t="shared" si="281"/>
        <v>0</v>
      </c>
      <c r="J515" s="31">
        <f t="shared" si="270"/>
        <v>0</v>
      </c>
      <c r="K515" s="163">
        <f t="shared" si="271"/>
        <v>0</v>
      </c>
      <c r="L515" s="163">
        <f t="shared" si="282"/>
        <v>0</v>
      </c>
      <c r="M515" s="163">
        <f t="shared" si="299"/>
        <v>0</v>
      </c>
      <c r="N515" s="163">
        <f t="shared" si="283"/>
        <v>0</v>
      </c>
      <c r="O515" s="84">
        <f t="shared" si="272"/>
        <v>0</v>
      </c>
      <c r="P515" s="31">
        <f t="shared" si="273"/>
        <v>0</v>
      </c>
      <c r="Q515" s="5"/>
      <c r="R515">
        <f t="shared" ca="1" si="284"/>
        <v>632</v>
      </c>
      <c r="S515" s="133">
        <f t="shared" ca="1" si="285"/>
        <v>119.88</v>
      </c>
      <c r="T515" s="132">
        <f t="shared" ca="1" si="274"/>
        <v>0</v>
      </c>
      <c r="U515" s="133">
        <f t="shared" ca="1" si="292"/>
        <v>1.9008342029825436E-4</v>
      </c>
      <c r="V515" s="31">
        <f t="shared" ca="1" si="286"/>
        <v>0</v>
      </c>
      <c r="W515" s="31">
        <f t="shared" ca="1" si="275"/>
        <v>0</v>
      </c>
      <c r="X515" s="163">
        <f t="shared" ca="1" si="293"/>
        <v>0</v>
      </c>
      <c r="Y515" s="163">
        <f t="shared" ca="1" si="294"/>
        <v>0</v>
      </c>
      <c r="Z515" s="163">
        <f t="shared" ca="1" si="287"/>
        <v>0</v>
      </c>
      <c r="AA515" s="163">
        <f t="shared" ca="1" si="295"/>
        <v>0</v>
      </c>
      <c r="AB515" s="84">
        <f t="shared" ca="1" si="276"/>
        <v>0</v>
      </c>
      <c r="AC515" s="160">
        <f t="shared" si="277"/>
        <v>0</v>
      </c>
      <c r="AD515" s="31">
        <f t="shared" ca="1" si="278"/>
        <v>0</v>
      </c>
      <c r="AE515" s="5"/>
      <c r="AF515" s="5"/>
      <c r="AG515" s="5"/>
      <c r="AH515" s="5"/>
      <c r="AI515" s="5"/>
      <c r="AS515" s="55">
        <f t="shared" si="288"/>
        <v>43</v>
      </c>
      <c r="AT515" s="56">
        <f t="shared" si="296"/>
        <v>512</v>
      </c>
      <c r="AU515" s="57">
        <f t="shared" si="300"/>
        <v>8.2227041047581245E-2</v>
      </c>
      <c r="AV515" s="58">
        <f t="shared" si="289"/>
        <v>4.8675505653430484E-3</v>
      </c>
      <c r="AW515" s="59">
        <f t="shared" si="290"/>
        <v>1.004867550565343</v>
      </c>
      <c r="AX515" s="60">
        <f>PRODUCT(AW$4:AW515)</f>
        <v>12.014810293873667</v>
      </c>
    </row>
    <row r="516" spans="5:50">
      <c r="E516">
        <f t="shared" si="298"/>
        <v>513</v>
      </c>
      <c r="F516" s="9">
        <f t="shared" si="291"/>
        <v>111.66666666666424</v>
      </c>
      <c r="G516" s="132">
        <f t="shared" ref="G516:G579" si="301">(1-(1-IF(F516&gt;$AK$90,0,VLOOKUP(ROUND(F516,0),$AK$4:$AL$90,2,FALSE)))^(1/12))*0</f>
        <v>0</v>
      </c>
      <c r="H516" s="133">
        <f t="shared" si="297"/>
        <v>1</v>
      </c>
      <c r="I516" s="31">
        <f t="shared" si="281"/>
        <v>0</v>
      </c>
      <c r="J516" s="31">
        <f t="shared" ref="J516:J579" si="302">(I516)*$AV516</f>
        <v>0</v>
      </c>
      <c r="K516" s="163">
        <f t="shared" ref="K516:K579" si="303">IF(I516=0,0,-$C$19)*H516</f>
        <v>0</v>
      </c>
      <c r="L516" s="163">
        <f t="shared" si="282"/>
        <v>0</v>
      </c>
      <c r="M516" s="163">
        <f t="shared" si="299"/>
        <v>0</v>
      </c>
      <c r="N516" s="163">
        <f t="shared" si="283"/>
        <v>0</v>
      </c>
      <c r="O516" s="84">
        <f t="shared" ref="O516:O579" si="304">-MIN(
IF(MOD(E516-1,IF($C$7="Annual",12,1))=0,1,0)
*IF(F516&lt;=$C$6,H516*$C$5*$C$4/IF($C$7="Monthly",12,1),$C$12),I516)</f>
        <v>0</v>
      </c>
      <c r="P516" s="31">
        <f t="shared" ref="P516:P579" si="305">SUM(I516:O516)</f>
        <v>0</v>
      </c>
      <c r="Q516" s="5"/>
      <c r="R516">
        <f t="shared" ca="1" si="284"/>
        <v>633</v>
      </c>
      <c r="S516" s="133">
        <f t="shared" ca="1" si="285"/>
        <v>119.96</v>
      </c>
      <c r="T516" s="132">
        <f t="shared" ref="T516:T579" ca="1" si="306">(1-(1-IF(S516&gt;$AK$90,0,VLOOKUP(ROUND(S516,0),$AK$4:$AL$90,2,FALSE)))^(1/12))</f>
        <v>0</v>
      </c>
      <c r="U516" s="133">
        <f t="shared" ca="1" si="292"/>
        <v>1.9008342029825436E-4</v>
      </c>
      <c r="V516" s="31">
        <f t="shared" ca="1" si="286"/>
        <v>0</v>
      </c>
      <c r="W516" s="31">
        <f t="shared" ref="W516:W579" ca="1" si="307">(V516)*$AV516</f>
        <v>0</v>
      </c>
      <c r="X516" s="163">
        <f t="shared" ca="1" si="293"/>
        <v>0</v>
      </c>
      <c r="Y516" s="163">
        <f t="shared" ca="1" si="294"/>
        <v>0</v>
      </c>
      <c r="Z516" s="163">
        <f t="shared" ca="1" si="287"/>
        <v>0</v>
      </c>
      <c r="AA516" s="163">
        <f t="shared" ca="1" si="295"/>
        <v>0</v>
      </c>
      <c r="AB516" s="84">
        <f t="shared" ref="AB516:AB579" ca="1" si="308">-MIN(IF(MOD(R516,IF($C$7="Annual",12,1))=0,1,0)*$C$39*U516/IF($C$7="Monthly",12,1),V516)</f>
        <v>0</v>
      </c>
      <c r="AC516" s="160">
        <f t="shared" ref="AC516:AC579" si="309">IF($C$8="Yes",-V516*T516,0)</f>
        <v>0</v>
      </c>
      <c r="AD516" s="31">
        <f t="shared" ref="AD516:AD579" ca="1" si="310">SUM(V516:AC516)</f>
        <v>0</v>
      </c>
      <c r="AE516" s="5"/>
      <c r="AF516" s="5"/>
      <c r="AG516" s="5"/>
      <c r="AH516" s="5"/>
      <c r="AI516" s="5"/>
      <c r="AS516" s="55">
        <f t="shared" si="288"/>
        <v>43</v>
      </c>
      <c r="AT516" s="56">
        <f t="shared" si="296"/>
        <v>513</v>
      </c>
      <c r="AU516" s="57">
        <f t="shared" si="300"/>
        <v>8.1826796767443602E-2</v>
      </c>
      <c r="AV516" s="58">
        <f t="shared" si="289"/>
        <v>4.8675505653430484E-3</v>
      </c>
      <c r="AW516" s="59">
        <f t="shared" si="290"/>
        <v>1.004867550565343</v>
      </c>
      <c r="AX516" s="60">
        <f>PRODUCT(AW$4:AW516)</f>
        <v>12.073292990512101</v>
      </c>
    </row>
    <row r="517" spans="5:50">
      <c r="E517">
        <f t="shared" si="298"/>
        <v>514</v>
      </c>
      <c r="F517" s="9">
        <f t="shared" si="291"/>
        <v>111.74999999999757</v>
      </c>
      <c r="G517" s="132">
        <f t="shared" si="301"/>
        <v>0</v>
      </c>
      <c r="H517" s="133">
        <f t="shared" si="297"/>
        <v>1</v>
      </c>
      <c r="I517" s="31">
        <f t="shared" ref="I517:I580" si="311">MAX(P516,0)*(1-G517)</f>
        <v>0</v>
      </c>
      <c r="J517" s="31">
        <f t="shared" si="302"/>
        <v>0</v>
      </c>
      <c r="K517" s="163">
        <f t="shared" si="303"/>
        <v>0</v>
      </c>
      <c r="L517" s="163">
        <f t="shared" ref="L517:L580" si="312">IF(OR(I516+O516=0,K516=0),0,-I517*($C$16/12))</f>
        <v>0</v>
      </c>
      <c r="M517" s="163">
        <f t="shared" si="299"/>
        <v>0</v>
      </c>
      <c r="N517" s="163">
        <f t="shared" ref="N517:N580" si="313">IF(OR(I516+O516=0,K516=0),0,-I517*($C$18*(1+$C$20))/12)</f>
        <v>0</v>
      </c>
      <c r="O517" s="84">
        <f t="shared" si="304"/>
        <v>0</v>
      </c>
      <c r="P517" s="31">
        <f t="shared" si="305"/>
        <v>0</v>
      </c>
      <c r="Q517" s="5"/>
      <c r="R517">
        <f t="shared" ref="R517:R580" ca="1" si="314">R516+1</f>
        <v>634</v>
      </c>
      <c r="S517" s="133">
        <f t="shared" ref="S517:S580" ca="1" si="315">ROUND((R517-R516)/12+S516,2)</f>
        <v>120.04</v>
      </c>
      <c r="T517" s="132">
        <f t="shared" ca="1" si="306"/>
        <v>0</v>
      </c>
      <c r="U517" s="133">
        <f t="shared" ca="1" si="292"/>
        <v>1.9008342029825436E-4</v>
      </c>
      <c r="V517" s="31">
        <f t="shared" ref="V517:V580" ca="1" si="316">MAX(AD516,0)*(1-T517)</f>
        <v>0</v>
      </c>
      <c r="W517" s="31">
        <f t="shared" ca="1" si="307"/>
        <v>0</v>
      </c>
      <c r="X517" s="163">
        <f t="shared" ca="1" si="293"/>
        <v>0</v>
      </c>
      <c r="Y517" s="163">
        <f t="shared" ca="1" si="294"/>
        <v>0</v>
      </c>
      <c r="Z517" s="163">
        <f t="shared" ref="Z517:Z580" ca="1" si="317">IF(OR(V516+AB516=0,X516=0),0,-IF(MOD(E517,12)=0,1,0)*V517*($C$17))</f>
        <v>0</v>
      </c>
      <c r="AA517" s="163">
        <f t="shared" ca="1" si="295"/>
        <v>0</v>
      </c>
      <c r="AB517" s="84">
        <f t="shared" ca="1" si="308"/>
        <v>0</v>
      </c>
      <c r="AC517" s="160">
        <f t="shared" si="309"/>
        <v>0</v>
      </c>
      <c r="AD517" s="31">
        <f t="shared" ca="1" si="310"/>
        <v>0</v>
      </c>
      <c r="AE517" s="5"/>
      <c r="AF517" s="5"/>
      <c r="AG517" s="5"/>
      <c r="AH517" s="5"/>
      <c r="AI517" s="5"/>
      <c r="AS517" s="55">
        <f t="shared" ref="AS517:AS580" si="318">ROUNDDOWN((AT517-1)/12,0)+1</f>
        <v>43</v>
      </c>
      <c r="AT517" s="56">
        <f t="shared" si="296"/>
        <v>514</v>
      </c>
      <c r="AU517" s="57">
        <f t="shared" si="300"/>
        <v>8.1428500696578018E-2</v>
      </c>
      <c r="AV517" s="58">
        <f t="shared" ref="AV517:AV580" si="319">((1+$AV$1)^(1/12))-1</f>
        <v>4.8675505653430484E-3</v>
      </c>
      <c r="AW517" s="59">
        <f t="shared" ref="AW517:AW580" si="320">(1+AV517)</f>
        <v>1.004867550565343</v>
      </c>
      <c r="AX517" s="60">
        <f>PRODUCT(AW$4:AW517)</f>
        <v>12.132060354633621</v>
      </c>
    </row>
    <row r="518" spans="5:50">
      <c r="E518">
        <f t="shared" si="298"/>
        <v>515</v>
      </c>
      <c r="F518" s="9">
        <f t="shared" ref="F518:F581" si="321">1/12+F517</f>
        <v>111.8333333333309</v>
      </c>
      <c r="G518" s="132">
        <f t="shared" si="301"/>
        <v>0</v>
      </c>
      <c r="H518" s="133">
        <f t="shared" si="297"/>
        <v>1</v>
      </c>
      <c r="I518" s="31">
        <f t="shared" si="311"/>
        <v>0</v>
      </c>
      <c r="J518" s="31">
        <f t="shared" si="302"/>
        <v>0</v>
      </c>
      <c r="K518" s="163">
        <f t="shared" si="303"/>
        <v>0</v>
      </c>
      <c r="L518" s="163">
        <f t="shared" si="312"/>
        <v>0</v>
      </c>
      <c r="M518" s="163">
        <f t="shared" si="299"/>
        <v>0</v>
      </c>
      <c r="N518" s="163">
        <f t="shared" si="313"/>
        <v>0</v>
      </c>
      <c r="O518" s="84">
        <f t="shared" si="304"/>
        <v>0</v>
      </c>
      <c r="P518" s="31">
        <f t="shared" si="305"/>
        <v>0</v>
      </c>
      <c r="Q518" s="5"/>
      <c r="R518">
        <f t="shared" ca="1" si="314"/>
        <v>635</v>
      </c>
      <c r="S518" s="133">
        <f t="shared" ca="1" si="315"/>
        <v>120.12</v>
      </c>
      <c r="T518" s="132">
        <f t="shared" ca="1" si="306"/>
        <v>0</v>
      </c>
      <c r="U518" s="133">
        <f t="shared" ref="U518:U581" ca="1" si="322">U517*(1-T518)</f>
        <v>1.9008342029825436E-4</v>
      </c>
      <c r="V518" s="31">
        <f t="shared" ca="1" si="316"/>
        <v>0</v>
      </c>
      <c r="W518" s="31">
        <f t="shared" ca="1" si="307"/>
        <v>0</v>
      </c>
      <c r="X518" s="163">
        <f t="shared" ref="X518:X581" ca="1" si="323">IF(V518=0,0,-$C$19)*U518</f>
        <v>0</v>
      </c>
      <c r="Y518" s="163">
        <f t="shared" ref="Y518:Y581" ca="1" si="324">IF(OR(V517+AB517=0,X517=0),0,-V518*($C$16/12))</f>
        <v>0</v>
      </c>
      <c r="Z518" s="163">
        <f t="shared" ca="1" si="317"/>
        <v>0</v>
      </c>
      <c r="AA518" s="163">
        <f t="shared" ref="AA518:AA581" ca="1" si="325">IF(OR(V517+AB517=0,X517=0),0,-V518*($C$18*(1+$C$20))/12)</f>
        <v>0</v>
      </c>
      <c r="AB518" s="84">
        <f t="shared" ca="1" si="308"/>
        <v>0</v>
      </c>
      <c r="AC518" s="160">
        <f t="shared" si="309"/>
        <v>0</v>
      </c>
      <c r="AD518" s="31">
        <f t="shared" ca="1" si="310"/>
        <v>0</v>
      </c>
      <c r="AE518" s="5"/>
      <c r="AF518" s="5"/>
      <c r="AG518" s="5"/>
      <c r="AH518" s="5"/>
      <c r="AI518" s="5"/>
      <c r="AS518" s="55">
        <f t="shared" si="318"/>
        <v>43</v>
      </c>
      <c r="AT518" s="56">
        <f t="shared" ref="AT518:AT581" si="326">AT517+1</f>
        <v>515</v>
      </c>
      <c r="AU518" s="57">
        <f t="shared" si="300"/>
        <v>8.1032143351977351E-2</v>
      </c>
      <c r="AV518" s="58">
        <f t="shared" si="319"/>
        <v>4.8675505653430484E-3</v>
      </c>
      <c r="AW518" s="59">
        <f t="shared" si="320"/>
        <v>1.004867550565343</v>
      </c>
      <c r="AX518" s="60">
        <f>PRODUCT(AW$4:AW518)</f>
        <v>12.191113771871594</v>
      </c>
    </row>
    <row r="519" spans="5:50">
      <c r="E519">
        <f t="shared" si="298"/>
        <v>516</v>
      </c>
      <c r="F519" s="9">
        <f t="shared" si="321"/>
        <v>111.91666666666423</v>
      </c>
      <c r="G519" s="132">
        <f t="shared" si="301"/>
        <v>0</v>
      </c>
      <c r="H519" s="133">
        <f t="shared" ref="H519:H582" si="327">H518*(1-G519)</f>
        <v>1</v>
      </c>
      <c r="I519" s="31">
        <f t="shared" si="311"/>
        <v>0</v>
      </c>
      <c r="J519" s="31">
        <f t="shared" si="302"/>
        <v>0</v>
      </c>
      <c r="K519" s="163">
        <f t="shared" si="303"/>
        <v>0</v>
      </c>
      <c r="L519" s="163">
        <f t="shared" si="312"/>
        <v>0</v>
      </c>
      <c r="M519" s="163">
        <f t="shared" si="299"/>
        <v>0</v>
      </c>
      <c r="N519" s="163">
        <f t="shared" si="313"/>
        <v>0</v>
      </c>
      <c r="O519" s="84">
        <f t="shared" si="304"/>
        <v>0</v>
      </c>
      <c r="P519" s="31">
        <f t="shared" si="305"/>
        <v>0</v>
      </c>
      <c r="Q519" s="5"/>
      <c r="R519">
        <f t="shared" ca="1" si="314"/>
        <v>636</v>
      </c>
      <c r="S519" s="133">
        <f t="shared" ca="1" si="315"/>
        <v>120.2</v>
      </c>
      <c r="T519" s="132">
        <f t="shared" ca="1" si="306"/>
        <v>0</v>
      </c>
      <c r="U519" s="133">
        <f t="shared" ca="1" si="322"/>
        <v>1.9008342029825436E-4</v>
      </c>
      <c r="V519" s="31">
        <f t="shared" ca="1" si="316"/>
        <v>0</v>
      </c>
      <c r="W519" s="31">
        <f t="shared" ca="1" si="307"/>
        <v>0</v>
      </c>
      <c r="X519" s="163">
        <f t="shared" ca="1" si="323"/>
        <v>0</v>
      </c>
      <c r="Y519" s="163">
        <f t="shared" ca="1" si="324"/>
        <v>0</v>
      </c>
      <c r="Z519" s="163">
        <f t="shared" ca="1" si="317"/>
        <v>0</v>
      </c>
      <c r="AA519" s="163">
        <f t="shared" ca="1" si="325"/>
        <v>0</v>
      </c>
      <c r="AB519" s="84">
        <f t="shared" ca="1" si="308"/>
        <v>0</v>
      </c>
      <c r="AC519" s="160">
        <f t="shared" si="309"/>
        <v>0</v>
      </c>
      <c r="AD519" s="31">
        <f t="shared" ca="1" si="310"/>
        <v>0</v>
      </c>
      <c r="AE519" s="5"/>
      <c r="AF519" s="5"/>
      <c r="AG519" s="5"/>
      <c r="AH519" s="5"/>
      <c r="AI519" s="5"/>
      <c r="AS519" s="55">
        <f t="shared" si="318"/>
        <v>43</v>
      </c>
      <c r="AT519" s="56">
        <f t="shared" si="326"/>
        <v>516</v>
      </c>
      <c r="AU519" s="57">
        <f t="shared" si="300"/>
        <v>8.0637715296793477E-2</v>
      </c>
      <c r="AV519" s="58">
        <f t="shared" si="319"/>
        <v>4.8675505653430484E-3</v>
      </c>
      <c r="AW519" s="59">
        <f t="shared" si="320"/>
        <v>1.004867550565343</v>
      </c>
      <c r="AX519" s="60">
        <f>PRODUCT(AW$4:AW519)</f>
        <v>12.250454634604029</v>
      </c>
    </row>
    <row r="520" spans="5:50">
      <c r="E520">
        <f t="shared" si="298"/>
        <v>517</v>
      </c>
      <c r="F520" s="9">
        <f t="shared" si="321"/>
        <v>111.99999999999756</v>
      </c>
      <c r="G520" s="132">
        <f t="shared" si="301"/>
        <v>0</v>
      </c>
      <c r="H520" s="133">
        <f t="shared" si="327"/>
        <v>1</v>
      </c>
      <c r="I520" s="31">
        <f t="shared" si="311"/>
        <v>0</v>
      </c>
      <c r="J520" s="31">
        <f t="shared" si="302"/>
        <v>0</v>
      </c>
      <c r="K520" s="163">
        <f t="shared" si="303"/>
        <v>0</v>
      </c>
      <c r="L520" s="163">
        <f t="shared" si="312"/>
        <v>0</v>
      </c>
      <c r="M520" s="163">
        <f t="shared" si="299"/>
        <v>0</v>
      </c>
      <c r="N520" s="163">
        <f t="shared" si="313"/>
        <v>0</v>
      </c>
      <c r="O520" s="84">
        <f t="shared" si="304"/>
        <v>0</v>
      </c>
      <c r="P520" s="31">
        <f t="shared" si="305"/>
        <v>0</v>
      </c>
      <c r="Q520" s="5"/>
      <c r="R520">
        <f t="shared" ca="1" si="314"/>
        <v>637</v>
      </c>
      <c r="S520" s="133">
        <f t="shared" ca="1" si="315"/>
        <v>120.28</v>
      </c>
      <c r="T520" s="132">
        <f t="shared" ca="1" si="306"/>
        <v>0</v>
      </c>
      <c r="U520" s="133">
        <f t="shared" ca="1" si="322"/>
        <v>1.9008342029825436E-4</v>
      </c>
      <c r="V520" s="31">
        <f t="shared" ca="1" si="316"/>
        <v>0</v>
      </c>
      <c r="W520" s="31">
        <f t="shared" ca="1" si="307"/>
        <v>0</v>
      </c>
      <c r="X520" s="163">
        <f t="shared" ca="1" si="323"/>
        <v>0</v>
      </c>
      <c r="Y520" s="163">
        <f t="shared" ca="1" si="324"/>
        <v>0</v>
      </c>
      <c r="Z520" s="163">
        <f t="shared" ca="1" si="317"/>
        <v>0</v>
      </c>
      <c r="AA520" s="163">
        <f t="shared" ca="1" si="325"/>
        <v>0</v>
      </c>
      <c r="AB520" s="84">
        <f t="shared" ca="1" si="308"/>
        <v>0</v>
      </c>
      <c r="AC520" s="160">
        <f t="shared" si="309"/>
        <v>0</v>
      </c>
      <c r="AD520" s="31">
        <f t="shared" ca="1" si="310"/>
        <v>0</v>
      </c>
      <c r="AE520" s="5"/>
      <c r="AF520" s="5"/>
      <c r="AG520" s="5"/>
      <c r="AH520" s="5"/>
      <c r="AI520" s="5"/>
      <c r="AS520" s="55">
        <f t="shared" si="318"/>
        <v>44</v>
      </c>
      <c r="AT520" s="56">
        <f t="shared" si="326"/>
        <v>517</v>
      </c>
      <c r="AU520" s="57">
        <f t="shared" si="300"/>
        <v>8.0245207140112601E-2</v>
      </c>
      <c r="AV520" s="58">
        <f t="shared" si="319"/>
        <v>4.8675505653430484E-3</v>
      </c>
      <c r="AW520" s="59">
        <f t="shared" si="320"/>
        <v>1.004867550565343</v>
      </c>
      <c r="AX520" s="60">
        <f>PRODUCT(AW$4:AW520)</f>
        <v>12.310084341986405</v>
      </c>
    </row>
    <row r="521" spans="5:50">
      <c r="E521">
        <f t="shared" si="298"/>
        <v>518</v>
      </c>
      <c r="F521" s="9">
        <f t="shared" si="321"/>
        <v>112.08333333333088</v>
      </c>
      <c r="G521" s="132">
        <f t="shared" si="301"/>
        <v>0</v>
      </c>
      <c r="H521" s="133">
        <f t="shared" si="327"/>
        <v>1</v>
      </c>
      <c r="I521" s="31">
        <f t="shared" si="311"/>
        <v>0</v>
      </c>
      <c r="J521" s="31">
        <f t="shared" si="302"/>
        <v>0</v>
      </c>
      <c r="K521" s="163">
        <f t="shared" si="303"/>
        <v>0</v>
      </c>
      <c r="L521" s="163">
        <f t="shared" si="312"/>
        <v>0</v>
      </c>
      <c r="M521" s="163">
        <f t="shared" si="299"/>
        <v>0</v>
      </c>
      <c r="N521" s="163">
        <f t="shared" si="313"/>
        <v>0</v>
      </c>
      <c r="O521" s="84">
        <f t="shared" si="304"/>
        <v>0</v>
      </c>
      <c r="P521" s="31">
        <f t="shared" si="305"/>
        <v>0</v>
      </c>
      <c r="Q521" s="5"/>
      <c r="R521">
        <f t="shared" ca="1" si="314"/>
        <v>638</v>
      </c>
      <c r="S521" s="133">
        <f t="shared" ca="1" si="315"/>
        <v>120.36</v>
      </c>
      <c r="T521" s="132">
        <f t="shared" ca="1" si="306"/>
        <v>0</v>
      </c>
      <c r="U521" s="133">
        <f t="shared" ca="1" si="322"/>
        <v>1.9008342029825436E-4</v>
      </c>
      <c r="V521" s="31">
        <f t="shared" ca="1" si="316"/>
        <v>0</v>
      </c>
      <c r="W521" s="31">
        <f t="shared" ca="1" si="307"/>
        <v>0</v>
      </c>
      <c r="X521" s="163">
        <f t="shared" ca="1" si="323"/>
        <v>0</v>
      </c>
      <c r="Y521" s="163">
        <f t="shared" ca="1" si="324"/>
        <v>0</v>
      </c>
      <c r="Z521" s="163">
        <f t="shared" ca="1" si="317"/>
        <v>0</v>
      </c>
      <c r="AA521" s="163">
        <f t="shared" ca="1" si="325"/>
        <v>0</v>
      </c>
      <c r="AB521" s="84">
        <f t="shared" ca="1" si="308"/>
        <v>0</v>
      </c>
      <c r="AC521" s="160">
        <f t="shared" si="309"/>
        <v>0</v>
      </c>
      <c r="AD521" s="31">
        <f t="shared" ca="1" si="310"/>
        <v>0</v>
      </c>
      <c r="AE521" s="5"/>
      <c r="AF521" s="5"/>
      <c r="AG521" s="5"/>
      <c r="AH521" s="5"/>
      <c r="AI521" s="5"/>
      <c r="AS521" s="55">
        <f t="shared" si="318"/>
        <v>44</v>
      </c>
      <c r="AT521" s="56">
        <f t="shared" si="326"/>
        <v>518</v>
      </c>
      <c r="AU521" s="57">
        <f t="shared" si="300"/>
        <v>7.985460953673168E-2</v>
      </c>
      <c r="AV521" s="58">
        <f t="shared" si="319"/>
        <v>4.8675505653430484E-3</v>
      </c>
      <c r="AW521" s="59">
        <f t="shared" si="320"/>
        <v>1.004867550565343</v>
      </c>
      <c r="AX521" s="60">
        <f>PRODUCT(AW$4:AW521)</f>
        <v>12.370004299984661</v>
      </c>
    </row>
    <row r="522" spans="5:50">
      <c r="E522">
        <f t="shared" si="298"/>
        <v>519</v>
      </c>
      <c r="F522" s="9">
        <f t="shared" si="321"/>
        <v>112.16666666666421</v>
      </c>
      <c r="G522" s="132">
        <f t="shared" si="301"/>
        <v>0</v>
      </c>
      <c r="H522" s="133">
        <f t="shared" si="327"/>
        <v>1</v>
      </c>
      <c r="I522" s="31">
        <f t="shared" si="311"/>
        <v>0</v>
      </c>
      <c r="J522" s="31">
        <f t="shared" si="302"/>
        <v>0</v>
      </c>
      <c r="K522" s="163">
        <f t="shared" si="303"/>
        <v>0</v>
      </c>
      <c r="L522" s="163">
        <f t="shared" si="312"/>
        <v>0</v>
      </c>
      <c r="M522" s="163">
        <f t="shared" si="299"/>
        <v>0</v>
      </c>
      <c r="N522" s="163">
        <f t="shared" si="313"/>
        <v>0</v>
      </c>
      <c r="O522" s="84">
        <f t="shared" si="304"/>
        <v>0</v>
      </c>
      <c r="P522" s="31">
        <f t="shared" si="305"/>
        <v>0</v>
      </c>
      <c r="Q522" s="5"/>
      <c r="R522">
        <f t="shared" ca="1" si="314"/>
        <v>639</v>
      </c>
      <c r="S522" s="133">
        <f t="shared" ca="1" si="315"/>
        <v>120.44</v>
      </c>
      <c r="T522" s="132">
        <f t="shared" ca="1" si="306"/>
        <v>0</v>
      </c>
      <c r="U522" s="133">
        <f t="shared" ca="1" si="322"/>
        <v>1.9008342029825436E-4</v>
      </c>
      <c r="V522" s="31">
        <f t="shared" ca="1" si="316"/>
        <v>0</v>
      </c>
      <c r="W522" s="31">
        <f t="shared" ca="1" si="307"/>
        <v>0</v>
      </c>
      <c r="X522" s="163">
        <f t="shared" ca="1" si="323"/>
        <v>0</v>
      </c>
      <c r="Y522" s="163">
        <f t="shared" ca="1" si="324"/>
        <v>0</v>
      </c>
      <c r="Z522" s="163">
        <f t="shared" ca="1" si="317"/>
        <v>0</v>
      </c>
      <c r="AA522" s="163">
        <f t="shared" ca="1" si="325"/>
        <v>0</v>
      </c>
      <c r="AB522" s="84">
        <f t="shared" ca="1" si="308"/>
        <v>0</v>
      </c>
      <c r="AC522" s="160">
        <f t="shared" si="309"/>
        <v>0</v>
      </c>
      <c r="AD522" s="31">
        <f t="shared" ca="1" si="310"/>
        <v>0</v>
      </c>
      <c r="AE522" s="5"/>
      <c r="AF522" s="5"/>
      <c r="AG522" s="5"/>
      <c r="AH522" s="5"/>
      <c r="AI522" s="5"/>
      <c r="AS522" s="55">
        <f t="shared" si="318"/>
        <v>44</v>
      </c>
      <c r="AT522" s="56">
        <f t="shared" si="326"/>
        <v>519</v>
      </c>
      <c r="AU522" s="57">
        <f t="shared" si="300"/>
        <v>7.946591318693591E-2</v>
      </c>
      <c r="AV522" s="58">
        <f t="shared" si="319"/>
        <v>4.8675505653430484E-3</v>
      </c>
      <c r="AW522" s="59">
        <f t="shared" si="320"/>
        <v>1.004867550565343</v>
      </c>
      <c r="AX522" s="60">
        <f>PRODUCT(AW$4:AW522)</f>
        <v>12.430215921408347</v>
      </c>
    </row>
    <row r="523" spans="5:50">
      <c r="E523">
        <f t="shared" si="298"/>
        <v>520</v>
      </c>
      <c r="F523" s="9">
        <f t="shared" si="321"/>
        <v>112.24999999999754</v>
      </c>
      <c r="G523" s="132">
        <f t="shared" si="301"/>
        <v>0</v>
      </c>
      <c r="H523" s="133">
        <f t="shared" si="327"/>
        <v>1</v>
      </c>
      <c r="I523" s="31">
        <f t="shared" si="311"/>
        <v>0</v>
      </c>
      <c r="J523" s="31">
        <f t="shared" si="302"/>
        <v>0</v>
      </c>
      <c r="K523" s="163">
        <f t="shared" si="303"/>
        <v>0</v>
      </c>
      <c r="L523" s="163">
        <f t="shared" si="312"/>
        <v>0</v>
      </c>
      <c r="M523" s="163">
        <f t="shared" si="299"/>
        <v>0</v>
      </c>
      <c r="N523" s="163">
        <f t="shared" si="313"/>
        <v>0</v>
      </c>
      <c r="O523" s="84">
        <f t="shared" si="304"/>
        <v>0</v>
      </c>
      <c r="P523" s="31">
        <f t="shared" si="305"/>
        <v>0</v>
      </c>
      <c r="Q523" s="5"/>
      <c r="R523">
        <f t="shared" ca="1" si="314"/>
        <v>640</v>
      </c>
      <c r="S523" s="133">
        <f t="shared" ca="1" si="315"/>
        <v>120.52</v>
      </c>
      <c r="T523" s="132">
        <f t="shared" ca="1" si="306"/>
        <v>0</v>
      </c>
      <c r="U523" s="133">
        <f t="shared" ca="1" si="322"/>
        <v>1.9008342029825436E-4</v>
      </c>
      <c r="V523" s="31">
        <f t="shared" ca="1" si="316"/>
        <v>0</v>
      </c>
      <c r="W523" s="31">
        <f t="shared" ca="1" si="307"/>
        <v>0</v>
      </c>
      <c r="X523" s="163">
        <f t="shared" ca="1" si="323"/>
        <v>0</v>
      </c>
      <c r="Y523" s="163">
        <f t="shared" ca="1" si="324"/>
        <v>0</v>
      </c>
      <c r="Z523" s="163">
        <f t="shared" ca="1" si="317"/>
        <v>0</v>
      </c>
      <c r="AA523" s="163">
        <f t="shared" ca="1" si="325"/>
        <v>0</v>
      </c>
      <c r="AB523" s="84">
        <f t="shared" ca="1" si="308"/>
        <v>0</v>
      </c>
      <c r="AC523" s="160">
        <f t="shared" si="309"/>
        <v>0</v>
      </c>
      <c r="AD523" s="31">
        <f t="shared" ca="1" si="310"/>
        <v>0</v>
      </c>
      <c r="AE523" s="5"/>
      <c r="AF523" s="5"/>
      <c r="AG523" s="5"/>
      <c r="AH523" s="5"/>
      <c r="AI523" s="5"/>
      <c r="AS523" s="55">
        <f t="shared" si="318"/>
        <v>44</v>
      </c>
      <c r="AT523" s="56">
        <f t="shared" si="326"/>
        <v>520</v>
      </c>
      <c r="AU523" s="57">
        <f t="shared" si="300"/>
        <v>7.9079108836277334E-2</v>
      </c>
      <c r="AV523" s="58">
        <f t="shared" si="319"/>
        <v>4.8675505653430484E-3</v>
      </c>
      <c r="AW523" s="59">
        <f t="shared" si="320"/>
        <v>1.004867550565343</v>
      </c>
      <c r="AX523" s="60">
        <f>PRODUCT(AW$4:AW523)</f>
        <v>12.490720625943935</v>
      </c>
    </row>
    <row r="524" spans="5:50">
      <c r="E524">
        <f t="shared" si="298"/>
        <v>521</v>
      </c>
      <c r="F524" s="9">
        <f t="shared" si="321"/>
        <v>112.33333333333087</v>
      </c>
      <c r="G524" s="132">
        <f t="shared" si="301"/>
        <v>0</v>
      </c>
      <c r="H524" s="133">
        <f t="shared" si="327"/>
        <v>1</v>
      </c>
      <c r="I524" s="31">
        <f t="shared" si="311"/>
        <v>0</v>
      </c>
      <c r="J524" s="31">
        <f t="shared" si="302"/>
        <v>0</v>
      </c>
      <c r="K524" s="163">
        <f t="shared" si="303"/>
        <v>0</v>
      </c>
      <c r="L524" s="163">
        <f t="shared" si="312"/>
        <v>0</v>
      </c>
      <c r="M524" s="163">
        <f t="shared" si="299"/>
        <v>0</v>
      </c>
      <c r="N524" s="163">
        <f t="shared" si="313"/>
        <v>0</v>
      </c>
      <c r="O524" s="84">
        <f t="shared" si="304"/>
        <v>0</v>
      </c>
      <c r="P524" s="31">
        <f t="shared" si="305"/>
        <v>0</v>
      </c>
      <c r="Q524" s="5"/>
      <c r="R524">
        <f t="shared" ca="1" si="314"/>
        <v>641</v>
      </c>
      <c r="S524" s="133">
        <f t="shared" ca="1" si="315"/>
        <v>120.6</v>
      </c>
      <c r="T524" s="132">
        <f t="shared" ca="1" si="306"/>
        <v>0</v>
      </c>
      <c r="U524" s="133">
        <f t="shared" ca="1" si="322"/>
        <v>1.9008342029825436E-4</v>
      </c>
      <c r="V524" s="31">
        <f t="shared" ca="1" si="316"/>
        <v>0</v>
      </c>
      <c r="W524" s="31">
        <f t="shared" ca="1" si="307"/>
        <v>0</v>
      </c>
      <c r="X524" s="163">
        <f t="shared" ca="1" si="323"/>
        <v>0</v>
      </c>
      <c r="Y524" s="163">
        <f t="shared" ca="1" si="324"/>
        <v>0</v>
      </c>
      <c r="Z524" s="163">
        <f t="shared" ca="1" si="317"/>
        <v>0</v>
      </c>
      <c r="AA524" s="163">
        <f t="shared" ca="1" si="325"/>
        <v>0</v>
      </c>
      <c r="AB524" s="84">
        <f t="shared" ca="1" si="308"/>
        <v>0</v>
      </c>
      <c r="AC524" s="160">
        <f t="shared" si="309"/>
        <v>0</v>
      </c>
      <c r="AD524" s="31">
        <f t="shared" ca="1" si="310"/>
        <v>0</v>
      </c>
      <c r="AE524" s="5"/>
      <c r="AF524" s="5"/>
      <c r="AG524" s="5"/>
      <c r="AH524" s="5"/>
      <c r="AI524" s="5"/>
      <c r="AS524" s="55">
        <f t="shared" si="318"/>
        <v>44</v>
      </c>
      <c r="AT524" s="56">
        <f t="shared" si="326"/>
        <v>521</v>
      </c>
      <c r="AU524" s="57">
        <f t="shared" si="300"/>
        <v>7.8694187275354488E-2</v>
      </c>
      <c r="AV524" s="58">
        <f t="shared" si="319"/>
        <v>4.8675505653430484E-3</v>
      </c>
      <c r="AW524" s="59">
        <f t="shared" si="320"/>
        <v>1.004867550565343</v>
      </c>
      <c r="AX524" s="60">
        <f>PRODUCT(AW$4:AW524)</f>
        <v>12.551519840188289</v>
      </c>
    </row>
    <row r="525" spans="5:50">
      <c r="E525">
        <f t="shared" si="298"/>
        <v>522</v>
      </c>
      <c r="F525" s="9">
        <f t="shared" si="321"/>
        <v>112.4166666666642</v>
      </c>
      <c r="G525" s="132">
        <f t="shared" si="301"/>
        <v>0</v>
      </c>
      <c r="H525" s="133">
        <f t="shared" si="327"/>
        <v>1</v>
      </c>
      <c r="I525" s="31">
        <f t="shared" si="311"/>
        <v>0</v>
      </c>
      <c r="J525" s="31">
        <f t="shared" si="302"/>
        <v>0</v>
      </c>
      <c r="K525" s="163">
        <f t="shared" si="303"/>
        <v>0</v>
      </c>
      <c r="L525" s="163">
        <f t="shared" si="312"/>
        <v>0</v>
      </c>
      <c r="M525" s="163">
        <f t="shared" si="299"/>
        <v>0</v>
      </c>
      <c r="N525" s="163">
        <f t="shared" si="313"/>
        <v>0</v>
      </c>
      <c r="O525" s="84">
        <f t="shared" si="304"/>
        <v>0</v>
      </c>
      <c r="P525" s="31">
        <f t="shared" si="305"/>
        <v>0</v>
      </c>
      <c r="Q525" s="5"/>
      <c r="R525">
        <f t="shared" ca="1" si="314"/>
        <v>642</v>
      </c>
      <c r="S525" s="133">
        <f t="shared" ca="1" si="315"/>
        <v>120.68</v>
      </c>
      <c r="T525" s="132">
        <f t="shared" ca="1" si="306"/>
        <v>0</v>
      </c>
      <c r="U525" s="133">
        <f t="shared" ca="1" si="322"/>
        <v>1.9008342029825436E-4</v>
      </c>
      <c r="V525" s="31">
        <f t="shared" ca="1" si="316"/>
        <v>0</v>
      </c>
      <c r="W525" s="31">
        <f t="shared" ca="1" si="307"/>
        <v>0</v>
      </c>
      <c r="X525" s="163">
        <f t="shared" ca="1" si="323"/>
        <v>0</v>
      </c>
      <c r="Y525" s="163">
        <f t="shared" ca="1" si="324"/>
        <v>0</v>
      </c>
      <c r="Z525" s="163">
        <f t="shared" ca="1" si="317"/>
        <v>0</v>
      </c>
      <c r="AA525" s="163">
        <f t="shared" ca="1" si="325"/>
        <v>0</v>
      </c>
      <c r="AB525" s="84">
        <f t="shared" ca="1" si="308"/>
        <v>0</v>
      </c>
      <c r="AC525" s="160">
        <f t="shared" si="309"/>
        <v>0</v>
      </c>
      <c r="AD525" s="31">
        <f t="shared" ca="1" si="310"/>
        <v>0</v>
      </c>
      <c r="AE525" s="5"/>
      <c r="AF525" s="5"/>
      <c r="AG525" s="5"/>
      <c r="AH525" s="5"/>
      <c r="AI525" s="5"/>
      <c r="AS525" s="55">
        <f t="shared" si="318"/>
        <v>44</v>
      </c>
      <c r="AT525" s="56">
        <f t="shared" si="326"/>
        <v>522</v>
      </c>
      <c r="AU525" s="57">
        <f t="shared" si="300"/>
        <v>7.8311139339593119E-2</v>
      </c>
      <c r="AV525" s="58">
        <f t="shared" si="319"/>
        <v>4.8675505653430484E-3</v>
      </c>
      <c r="AW525" s="59">
        <f t="shared" si="320"/>
        <v>1.004867550565343</v>
      </c>
      <c r="AX525" s="60">
        <f>PRODUCT(AW$4:AW525)</f>
        <v>12.612614997682313</v>
      </c>
    </row>
    <row r="526" spans="5:50">
      <c r="E526">
        <f t="shared" si="298"/>
        <v>523</v>
      </c>
      <c r="F526" s="9">
        <f t="shared" si="321"/>
        <v>112.49999999999753</v>
      </c>
      <c r="G526" s="132">
        <f t="shared" si="301"/>
        <v>0</v>
      </c>
      <c r="H526" s="133">
        <f t="shared" si="327"/>
        <v>1</v>
      </c>
      <c r="I526" s="31">
        <f t="shared" si="311"/>
        <v>0</v>
      </c>
      <c r="J526" s="31">
        <f t="shared" si="302"/>
        <v>0</v>
      </c>
      <c r="K526" s="163">
        <f t="shared" si="303"/>
        <v>0</v>
      </c>
      <c r="L526" s="163">
        <f t="shared" si="312"/>
        <v>0</v>
      </c>
      <c r="M526" s="163">
        <f t="shared" si="299"/>
        <v>0</v>
      </c>
      <c r="N526" s="163">
        <f t="shared" si="313"/>
        <v>0</v>
      </c>
      <c r="O526" s="84">
        <f t="shared" si="304"/>
        <v>0</v>
      </c>
      <c r="P526" s="31">
        <f t="shared" si="305"/>
        <v>0</v>
      </c>
      <c r="Q526" s="5"/>
      <c r="R526">
        <f t="shared" ca="1" si="314"/>
        <v>643</v>
      </c>
      <c r="S526" s="133">
        <f t="shared" ca="1" si="315"/>
        <v>120.76</v>
      </c>
      <c r="T526" s="132">
        <f t="shared" ca="1" si="306"/>
        <v>0</v>
      </c>
      <c r="U526" s="133">
        <f t="shared" ca="1" si="322"/>
        <v>1.9008342029825436E-4</v>
      </c>
      <c r="V526" s="31">
        <f t="shared" ca="1" si="316"/>
        <v>0</v>
      </c>
      <c r="W526" s="31">
        <f t="shared" ca="1" si="307"/>
        <v>0</v>
      </c>
      <c r="X526" s="163">
        <f t="shared" ca="1" si="323"/>
        <v>0</v>
      </c>
      <c r="Y526" s="163">
        <f t="shared" ca="1" si="324"/>
        <v>0</v>
      </c>
      <c r="Z526" s="163">
        <f t="shared" ca="1" si="317"/>
        <v>0</v>
      </c>
      <c r="AA526" s="163">
        <f t="shared" ca="1" si="325"/>
        <v>0</v>
      </c>
      <c r="AB526" s="84">
        <f t="shared" ca="1" si="308"/>
        <v>0</v>
      </c>
      <c r="AC526" s="160">
        <f t="shared" si="309"/>
        <v>0</v>
      </c>
      <c r="AD526" s="31">
        <f t="shared" ca="1" si="310"/>
        <v>0</v>
      </c>
      <c r="AE526" s="5"/>
      <c r="AF526" s="5"/>
      <c r="AG526" s="5"/>
      <c r="AH526" s="5"/>
      <c r="AI526" s="5"/>
      <c r="AS526" s="55">
        <f t="shared" si="318"/>
        <v>44</v>
      </c>
      <c r="AT526" s="56">
        <f t="shared" si="326"/>
        <v>523</v>
      </c>
      <c r="AU526" s="57">
        <f t="shared" si="300"/>
        <v>7.7929955909028029E-2</v>
      </c>
      <c r="AV526" s="58">
        <f t="shared" si="319"/>
        <v>4.8675505653430484E-3</v>
      </c>
      <c r="AW526" s="59">
        <f t="shared" si="320"/>
        <v>1.004867550565343</v>
      </c>
      <c r="AX526" s="60">
        <f>PRODUCT(AW$4:AW526)</f>
        <v>12.674007538944736</v>
      </c>
    </row>
    <row r="527" spans="5:50">
      <c r="E527">
        <f t="shared" si="298"/>
        <v>524</v>
      </c>
      <c r="F527" s="9">
        <f t="shared" si="321"/>
        <v>112.58333333333086</v>
      </c>
      <c r="G527" s="132">
        <f t="shared" si="301"/>
        <v>0</v>
      </c>
      <c r="H527" s="133">
        <f t="shared" si="327"/>
        <v>1</v>
      </c>
      <c r="I527" s="31">
        <f t="shared" si="311"/>
        <v>0</v>
      </c>
      <c r="J527" s="31">
        <f t="shared" si="302"/>
        <v>0</v>
      </c>
      <c r="K527" s="163">
        <f t="shared" si="303"/>
        <v>0</v>
      </c>
      <c r="L527" s="163">
        <f t="shared" si="312"/>
        <v>0</v>
      </c>
      <c r="M527" s="163">
        <f t="shared" si="299"/>
        <v>0</v>
      </c>
      <c r="N527" s="163">
        <f t="shared" si="313"/>
        <v>0</v>
      </c>
      <c r="O527" s="84">
        <f t="shared" si="304"/>
        <v>0</v>
      </c>
      <c r="P527" s="31">
        <f t="shared" si="305"/>
        <v>0</v>
      </c>
      <c r="Q527" s="5"/>
      <c r="R527">
        <f t="shared" ca="1" si="314"/>
        <v>644</v>
      </c>
      <c r="S527" s="133">
        <f t="shared" ca="1" si="315"/>
        <v>120.84</v>
      </c>
      <c r="T527" s="132">
        <f t="shared" ca="1" si="306"/>
        <v>0</v>
      </c>
      <c r="U527" s="133">
        <f t="shared" ca="1" si="322"/>
        <v>1.9008342029825436E-4</v>
      </c>
      <c r="V527" s="31">
        <f t="shared" ca="1" si="316"/>
        <v>0</v>
      </c>
      <c r="W527" s="31">
        <f t="shared" ca="1" si="307"/>
        <v>0</v>
      </c>
      <c r="X527" s="163">
        <f t="shared" ca="1" si="323"/>
        <v>0</v>
      </c>
      <c r="Y527" s="163">
        <f t="shared" ca="1" si="324"/>
        <v>0</v>
      </c>
      <c r="Z527" s="163">
        <f t="shared" ca="1" si="317"/>
        <v>0</v>
      </c>
      <c r="AA527" s="163">
        <f t="shared" ca="1" si="325"/>
        <v>0</v>
      </c>
      <c r="AB527" s="84">
        <f t="shared" ca="1" si="308"/>
        <v>0</v>
      </c>
      <c r="AC527" s="160">
        <f t="shared" si="309"/>
        <v>0</v>
      </c>
      <c r="AD527" s="31">
        <f t="shared" ca="1" si="310"/>
        <v>0</v>
      </c>
      <c r="AE527" s="5"/>
      <c r="AF527" s="5"/>
      <c r="AG527" s="5"/>
      <c r="AH527" s="5"/>
      <c r="AI527" s="5"/>
      <c r="AS527" s="55">
        <f t="shared" si="318"/>
        <v>44</v>
      </c>
      <c r="AT527" s="56">
        <f t="shared" si="326"/>
        <v>524</v>
      </c>
      <c r="AU527" s="57">
        <f t="shared" si="300"/>
        <v>7.7550627908085881E-2</v>
      </c>
      <c r="AV527" s="58">
        <f t="shared" si="319"/>
        <v>4.8675505653430484E-3</v>
      </c>
      <c r="AW527" s="59">
        <f t="shared" si="320"/>
        <v>1.004867550565343</v>
      </c>
      <c r="AX527" s="60">
        <f>PRODUCT(AW$4:AW527)</f>
        <v>12.735698911506088</v>
      </c>
    </row>
    <row r="528" spans="5:50">
      <c r="E528">
        <f t="shared" ref="E528:E591" si="328">E527+1</f>
        <v>525</v>
      </c>
      <c r="F528" s="9">
        <f t="shared" si="321"/>
        <v>112.66666666666418</v>
      </c>
      <c r="G528" s="132">
        <f t="shared" si="301"/>
        <v>0</v>
      </c>
      <c r="H528" s="133">
        <f t="shared" si="327"/>
        <v>1</v>
      </c>
      <c r="I528" s="31">
        <f t="shared" si="311"/>
        <v>0</v>
      </c>
      <c r="J528" s="31">
        <f t="shared" si="302"/>
        <v>0</v>
      </c>
      <c r="K528" s="163">
        <f t="shared" si="303"/>
        <v>0</v>
      </c>
      <c r="L528" s="163">
        <f t="shared" si="312"/>
        <v>0</v>
      </c>
      <c r="M528" s="163">
        <f t="shared" ref="M528:M591" si="329">IF(OR(I527+O527=0,K527=0),0,-IF(MOD(E528-1,12)=0,1,0)*I528*($C$17))</f>
        <v>0</v>
      </c>
      <c r="N528" s="163">
        <f t="shared" si="313"/>
        <v>0</v>
      </c>
      <c r="O528" s="84">
        <f t="shared" si="304"/>
        <v>0</v>
      </c>
      <c r="P528" s="31">
        <f t="shared" si="305"/>
        <v>0</v>
      </c>
      <c r="Q528" s="5"/>
      <c r="R528">
        <f t="shared" ca="1" si="314"/>
        <v>645</v>
      </c>
      <c r="S528" s="133">
        <f t="shared" ca="1" si="315"/>
        <v>120.92</v>
      </c>
      <c r="T528" s="132">
        <f t="shared" ca="1" si="306"/>
        <v>0</v>
      </c>
      <c r="U528" s="133">
        <f t="shared" ca="1" si="322"/>
        <v>1.9008342029825436E-4</v>
      </c>
      <c r="V528" s="31">
        <f t="shared" ca="1" si="316"/>
        <v>0</v>
      </c>
      <c r="W528" s="31">
        <f t="shared" ca="1" si="307"/>
        <v>0</v>
      </c>
      <c r="X528" s="163">
        <f t="shared" ca="1" si="323"/>
        <v>0</v>
      </c>
      <c r="Y528" s="163">
        <f t="shared" ca="1" si="324"/>
        <v>0</v>
      </c>
      <c r="Z528" s="163">
        <f t="shared" ca="1" si="317"/>
        <v>0</v>
      </c>
      <c r="AA528" s="163">
        <f t="shared" ca="1" si="325"/>
        <v>0</v>
      </c>
      <c r="AB528" s="84">
        <f t="shared" ca="1" si="308"/>
        <v>0</v>
      </c>
      <c r="AC528" s="160">
        <f t="shared" si="309"/>
        <v>0</v>
      </c>
      <c r="AD528" s="31">
        <f t="shared" ca="1" si="310"/>
        <v>0</v>
      </c>
      <c r="AE528" s="5"/>
      <c r="AF528" s="5"/>
      <c r="AG528" s="5"/>
      <c r="AH528" s="5"/>
      <c r="AI528" s="5"/>
      <c r="AS528" s="55">
        <f t="shared" si="318"/>
        <v>44</v>
      </c>
      <c r="AT528" s="56">
        <f t="shared" si="326"/>
        <v>525</v>
      </c>
      <c r="AU528" s="57">
        <f t="shared" si="300"/>
        <v>7.7173146305369172E-2</v>
      </c>
      <c r="AV528" s="58">
        <f t="shared" si="319"/>
        <v>4.8675505653430484E-3</v>
      </c>
      <c r="AW528" s="59">
        <f t="shared" si="320"/>
        <v>1.004867550565343</v>
      </c>
      <c r="AX528" s="60">
        <f>PRODUCT(AW$4:AW528)</f>
        <v>12.797690569942828</v>
      </c>
    </row>
    <row r="529" spans="5:50">
      <c r="E529">
        <f t="shared" si="328"/>
        <v>526</v>
      </c>
      <c r="F529" s="9">
        <f t="shared" si="321"/>
        <v>112.74999999999751</v>
      </c>
      <c r="G529" s="132">
        <f t="shared" si="301"/>
        <v>0</v>
      </c>
      <c r="H529" s="133">
        <f t="shared" si="327"/>
        <v>1</v>
      </c>
      <c r="I529" s="31">
        <f t="shared" si="311"/>
        <v>0</v>
      </c>
      <c r="J529" s="31">
        <f t="shared" si="302"/>
        <v>0</v>
      </c>
      <c r="K529" s="163">
        <f t="shared" si="303"/>
        <v>0</v>
      </c>
      <c r="L529" s="163">
        <f t="shared" si="312"/>
        <v>0</v>
      </c>
      <c r="M529" s="163">
        <f t="shared" si="329"/>
        <v>0</v>
      </c>
      <c r="N529" s="163">
        <f t="shared" si="313"/>
        <v>0</v>
      </c>
      <c r="O529" s="84">
        <f t="shared" si="304"/>
        <v>0</v>
      </c>
      <c r="P529" s="31">
        <f t="shared" si="305"/>
        <v>0</v>
      </c>
      <c r="Q529" s="5"/>
      <c r="R529">
        <f t="shared" ca="1" si="314"/>
        <v>646</v>
      </c>
      <c r="S529" s="133">
        <f t="shared" ca="1" si="315"/>
        <v>121</v>
      </c>
      <c r="T529" s="132">
        <f t="shared" ca="1" si="306"/>
        <v>0</v>
      </c>
      <c r="U529" s="133">
        <f t="shared" ca="1" si="322"/>
        <v>1.9008342029825436E-4</v>
      </c>
      <c r="V529" s="31">
        <f t="shared" ca="1" si="316"/>
        <v>0</v>
      </c>
      <c r="W529" s="31">
        <f t="shared" ca="1" si="307"/>
        <v>0</v>
      </c>
      <c r="X529" s="163">
        <f t="shared" ca="1" si="323"/>
        <v>0</v>
      </c>
      <c r="Y529" s="163">
        <f t="shared" ca="1" si="324"/>
        <v>0</v>
      </c>
      <c r="Z529" s="163">
        <f t="shared" ca="1" si="317"/>
        <v>0</v>
      </c>
      <c r="AA529" s="163">
        <f t="shared" ca="1" si="325"/>
        <v>0</v>
      </c>
      <c r="AB529" s="84">
        <f t="shared" ca="1" si="308"/>
        <v>0</v>
      </c>
      <c r="AC529" s="160">
        <f t="shared" si="309"/>
        <v>0</v>
      </c>
      <c r="AD529" s="31">
        <f t="shared" ca="1" si="310"/>
        <v>0</v>
      </c>
      <c r="AE529" s="5"/>
      <c r="AF529" s="5"/>
      <c r="AG529" s="5"/>
      <c r="AH529" s="5"/>
      <c r="AI529" s="5"/>
      <c r="AS529" s="55">
        <f t="shared" si="318"/>
        <v>44</v>
      </c>
      <c r="AT529" s="56">
        <f t="shared" si="326"/>
        <v>526</v>
      </c>
      <c r="AU529" s="57">
        <f t="shared" si="300"/>
        <v>7.6797502113441177E-2</v>
      </c>
      <c r="AV529" s="58">
        <f t="shared" si="319"/>
        <v>4.8675505653430484E-3</v>
      </c>
      <c r="AW529" s="59">
        <f t="shared" si="320"/>
        <v>1.004867550565343</v>
      </c>
      <c r="AX529" s="60">
        <f>PRODUCT(AW$4:AW529)</f>
        <v>12.859983975911639</v>
      </c>
    </row>
    <row r="530" spans="5:50">
      <c r="E530">
        <f t="shared" si="328"/>
        <v>527</v>
      </c>
      <c r="F530" s="9">
        <f t="shared" si="321"/>
        <v>112.83333333333084</v>
      </c>
      <c r="G530" s="132">
        <f t="shared" si="301"/>
        <v>0</v>
      </c>
      <c r="H530" s="133">
        <f t="shared" si="327"/>
        <v>1</v>
      </c>
      <c r="I530" s="31">
        <f t="shared" si="311"/>
        <v>0</v>
      </c>
      <c r="J530" s="31">
        <f t="shared" si="302"/>
        <v>0</v>
      </c>
      <c r="K530" s="163">
        <f t="shared" si="303"/>
        <v>0</v>
      </c>
      <c r="L530" s="163">
        <f t="shared" si="312"/>
        <v>0</v>
      </c>
      <c r="M530" s="163">
        <f t="shared" si="329"/>
        <v>0</v>
      </c>
      <c r="N530" s="163">
        <f t="shared" si="313"/>
        <v>0</v>
      </c>
      <c r="O530" s="84">
        <f t="shared" si="304"/>
        <v>0</v>
      </c>
      <c r="P530" s="31">
        <f t="shared" si="305"/>
        <v>0</v>
      </c>
      <c r="Q530" s="5"/>
      <c r="R530">
        <f t="shared" ca="1" si="314"/>
        <v>647</v>
      </c>
      <c r="S530" s="133">
        <f t="shared" ca="1" si="315"/>
        <v>121.08</v>
      </c>
      <c r="T530" s="132">
        <f t="shared" ca="1" si="306"/>
        <v>0</v>
      </c>
      <c r="U530" s="133">
        <f t="shared" ca="1" si="322"/>
        <v>1.9008342029825436E-4</v>
      </c>
      <c r="V530" s="31">
        <f t="shared" ca="1" si="316"/>
        <v>0</v>
      </c>
      <c r="W530" s="31">
        <f t="shared" ca="1" si="307"/>
        <v>0</v>
      </c>
      <c r="X530" s="163">
        <f t="shared" ca="1" si="323"/>
        <v>0</v>
      </c>
      <c r="Y530" s="163">
        <f t="shared" ca="1" si="324"/>
        <v>0</v>
      </c>
      <c r="Z530" s="163">
        <f t="shared" ca="1" si="317"/>
        <v>0</v>
      </c>
      <c r="AA530" s="163">
        <f t="shared" ca="1" si="325"/>
        <v>0</v>
      </c>
      <c r="AB530" s="84">
        <f t="shared" ca="1" si="308"/>
        <v>0</v>
      </c>
      <c r="AC530" s="160">
        <f t="shared" si="309"/>
        <v>0</v>
      </c>
      <c r="AD530" s="31">
        <f t="shared" ca="1" si="310"/>
        <v>0</v>
      </c>
      <c r="AE530" s="5"/>
      <c r="AF530" s="5"/>
      <c r="AG530" s="5"/>
      <c r="AH530" s="5"/>
      <c r="AI530" s="5"/>
      <c r="AS530" s="55">
        <f t="shared" si="318"/>
        <v>44</v>
      </c>
      <c r="AT530" s="56">
        <f t="shared" si="326"/>
        <v>527</v>
      </c>
      <c r="AU530" s="57">
        <f t="shared" si="300"/>
        <v>7.6423686388611967E-2</v>
      </c>
      <c r="AV530" s="58">
        <f t="shared" si="319"/>
        <v>4.8675505653430484E-3</v>
      </c>
      <c r="AW530" s="59">
        <f t="shared" si="320"/>
        <v>1.004867550565343</v>
      </c>
      <c r="AX530" s="60">
        <f>PRODUCT(AW$4:AW530)</f>
        <v>12.92258059818389</v>
      </c>
    </row>
    <row r="531" spans="5:50">
      <c r="E531">
        <f t="shared" si="328"/>
        <v>528</v>
      </c>
      <c r="F531" s="9">
        <f t="shared" si="321"/>
        <v>112.91666666666417</v>
      </c>
      <c r="G531" s="132">
        <f t="shared" si="301"/>
        <v>0</v>
      </c>
      <c r="H531" s="133">
        <f t="shared" si="327"/>
        <v>1</v>
      </c>
      <c r="I531" s="31">
        <f t="shared" si="311"/>
        <v>0</v>
      </c>
      <c r="J531" s="31">
        <f t="shared" si="302"/>
        <v>0</v>
      </c>
      <c r="K531" s="163">
        <f t="shared" si="303"/>
        <v>0</v>
      </c>
      <c r="L531" s="163">
        <f t="shared" si="312"/>
        <v>0</v>
      </c>
      <c r="M531" s="163">
        <f t="shared" si="329"/>
        <v>0</v>
      </c>
      <c r="N531" s="163">
        <f t="shared" si="313"/>
        <v>0</v>
      </c>
      <c r="O531" s="84">
        <f t="shared" si="304"/>
        <v>0</v>
      </c>
      <c r="P531" s="31">
        <f t="shared" si="305"/>
        <v>0</v>
      </c>
      <c r="Q531" s="5"/>
      <c r="R531">
        <f t="shared" ca="1" si="314"/>
        <v>648</v>
      </c>
      <c r="S531" s="133">
        <f t="shared" ca="1" si="315"/>
        <v>121.16</v>
      </c>
      <c r="T531" s="132">
        <f t="shared" ca="1" si="306"/>
        <v>0</v>
      </c>
      <c r="U531" s="133">
        <f t="shared" ca="1" si="322"/>
        <v>1.9008342029825436E-4</v>
      </c>
      <c r="V531" s="31">
        <f t="shared" ca="1" si="316"/>
        <v>0</v>
      </c>
      <c r="W531" s="31">
        <f t="shared" ca="1" si="307"/>
        <v>0</v>
      </c>
      <c r="X531" s="163">
        <f t="shared" ca="1" si="323"/>
        <v>0</v>
      </c>
      <c r="Y531" s="163">
        <f t="shared" ca="1" si="324"/>
        <v>0</v>
      </c>
      <c r="Z531" s="163">
        <f t="shared" ca="1" si="317"/>
        <v>0</v>
      </c>
      <c r="AA531" s="163">
        <f t="shared" ca="1" si="325"/>
        <v>0</v>
      </c>
      <c r="AB531" s="84">
        <f t="shared" ca="1" si="308"/>
        <v>0</v>
      </c>
      <c r="AC531" s="160">
        <f t="shared" si="309"/>
        <v>0</v>
      </c>
      <c r="AD531" s="31">
        <f t="shared" ca="1" si="310"/>
        <v>0</v>
      </c>
      <c r="AE531" s="5"/>
      <c r="AF531" s="5"/>
      <c r="AG531" s="5"/>
      <c r="AH531" s="5"/>
      <c r="AI531" s="5"/>
      <c r="AS531" s="55">
        <f t="shared" si="318"/>
        <v>44</v>
      </c>
      <c r="AT531" s="56">
        <f t="shared" si="326"/>
        <v>528</v>
      </c>
      <c r="AU531" s="57">
        <f t="shared" si="300"/>
        <v>7.6051690230725486E-2</v>
      </c>
      <c r="AV531" s="58">
        <f t="shared" si="319"/>
        <v>4.8675505653430484E-3</v>
      </c>
      <c r="AW531" s="59">
        <f t="shared" si="320"/>
        <v>1.004867550565343</v>
      </c>
      <c r="AX531" s="60">
        <f>PRODUCT(AW$4:AW531)</f>
        <v>12.985481912680271</v>
      </c>
    </row>
    <row r="532" spans="5:50">
      <c r="E532">
        <f t="shared" si="328"/>
        <v>529</v>
      </c>
      <c r="F532" s="9">
        <f t="shared" si="321"/>
        <v>112.9999999999975</v>
      </c>
      <c r="G532" s="132">
        <f t="shared" si="301"/>
        <v>0</v>
      </c>
      <c r="H532" s="133">
        <f t="shared" si="327"/>
        <v>1</v>
      </c>
      <c r="I532" s="31">
        <f t="shared" si="311"/>
        <v>0</v>
      </c>
      <c r="J532" s="31">
        <f t="shared" si="302"/>
        <v>0</v>
      </c>
      <c r="K532" s="163">
        <f t="shared" si="303"/>
        <v>0</v>
      </c>
      <c r="L532" s="163">
        <f t="shared" si="312"/>
        <v>0</v>
      </c>
      <c r="M532" s="163">
        <f t="shared" si="329"/>
        <v>0</v>
      </c>
      <c r="N532" s="163">
        <f t="shared" si="313"/>
        <v>0</v>
      </c>
      <c r="O532" s="84">
        <f t="shared" si="304"/>
        <v>0</v>
      </c>
      <c r="P532" s="31">
        <f t="shared" si="305"/>
        <v>0</v>
      </c>
      <c r="Q532" s="5"/>
      <c r="R532">
        <f t="shared" ca="1" si="314"/>
        <v>649</v>
      </c>
      <c r="S532" s="133">
        <f t="shared" ca="1" si="315"/>
        <v>121.24</v>
      </c>
      <c r="T532" s="132">
        <f t="shared" ca="1" si="306"/>
        <v>0</v>
      </c>
      <c r="U532" s="133">
        <f t="shared" ca="1" si="322"/>
        <v>1.9008342029825436E-4</v>
      </c>
      <c r="V532" s="31">
        <f t="shared" ca="1" si="316"/>
        <v>0</v>
      </c>
      <c r="W532" s="31">
        <f t="shared" ca="1" si="307"/>
        <v>0</v>
      </c>
      <c r="X532" s="163">
        <f t="shared" ca="1" si="323"/>
        <v>0</v>
      </c>
      <c r="Y532" s="163">
        <f t="shared" ca="1" si="324"/>
        <v>0</v>
      </c>
      <c r="Z532" s="163">
        <f t="shared" ca="1" si="317"/>
        <v>0</v>
      </c>
      <c r="AA532" s="163">
        <f t="shared" ca="1" si="325"/>
        <v>0</v>
      </c>
      <c r="AB532" s="84">
        <f t="shared" ca="1" si="308"/>
        <v>0</v>
      </c>
      <c r="AC532" s="160">
        <f t="shared" si="309"/>
        <v>0</v>
      </c>
      <c r="AD532" s="31">
        <f t="shared" ca="1" si="310"/>
        <v>0</v>
      </c>
      <c r="AE532" s="5"/>
      <c r="AF532" s="5"/>
      <c r="AG532" s="5"/>
      <c r="AH532" s="5"/>
      <c r="AI532" s="5"/>
      <c r="AS532" s="55">
        <f t="shared" si="318"/>
        <v>45</v>
      </c>
      <c r="AT532" s="56">
        <f t="shared" si="326"/>
        <v>529</v>
      </c>
      <c r="AU532" s="57">
        <f t="shared" si="300"/>
        <v>7.568150478294762E-2</v>
      </c>
      <c r="AV532" s="58">
        <f t="shared" si="319"/>
        <v>4.8675505653430484E-3</v>
      </c>
      <c r="AW532" s="59">
        <f t="shared" si="320"/>
        <v>1.004867550565343</v>
      </c>
      <c r="AX532" s="60">
        <f>PRODUCT(AW$4:AW532)</f>
        <v>13.048689402505589</v>
      </c>
    </row>
    <row r="533" spans="5:50">
      <c r="E533">
        <f t="shared" si="328"/>
        <v>530</v>
      </c>
      <c r="F533" s="9">
        <f t="shared" si="321"/>
        <v>113.08333333333083</v>
      </c>
      <c r="G533" s="132">
        <f t="shared" si="301"/>
        <v>0</v>
      </c>
      <c r="H533" s="133">
        <f t="shared" si="327"/>
        <v>1</v>
      </c>
      <c r="I533" s="31">
        <f t="shared" si="311"/>
        <v>0</v>
      </c>
      <c r="J533" s="31">
        <f t="shared" si="302"/>
        <v>0</v>
      </c>
      <c r="K533" s="163">
        <f t="shared" si="303"/>
        <v>0</v>
      </c>
      <c r="L533" s="163">
        <f t="shared" si="312"/>
        <v>0</v>
      </c>
      <c r="M533" s="163">
        <f t="shared" si="329"/>
        <v>0</v>
      </c>
      <c r="N533" s="163">
        <f t="shared" si="313"/>
        <v>0</v>
      </c>
      <c r="O533" s="84">
        <f t="shared" si="304"/>
        <v>0</v>
      </c>
      <c r="P533" s="31">
        <f t="shared" si="305"/>
        <v>0</v>
      </c>
      <c r="Q533" s="5"/>
      <c r="R533">
        <f t="shared" ca="1" si="314"/>
        <v>650</v>
      </c>
      <c r="S533" s="133">
        <f t="shared" ca="1" si="315"/>
        <v>121.32</v>
      </c>
      <c r="T533" s="132">
        <f t="shared" ca="1" si="306"/>
        <v>0</v>
      </c>
      <c r="U533" s="133">
        <f t="shared" ca="1" si="322"/>
        <v>1.9008342029825436E-4</v>
      </c>
      <c r="V533" s="31">
        <f t="shared" ca="1" si="316"/>
        <v>0</v>
      </c>
      <c r="W533" s="31">
        <f t="shared" ca="1" si="307"/>
        <v>0</v>
      </c>
      <c r="X533" s="163">
        <f t="shared" ca="1" si="323"/>
        <v>0</v>
      </c>
      <c r="Y533" s="163">
        <f t="shared" ca="1" si="324"/>
        <v>0</v>
      </c>
      <c r="Z533" s="163">
        <f t="shared" ca="1" si="317"/>
        <v>0</v>
      </c>
      <c r="AA533" s="163">
        <f t="shared" ca="1" si="325"/>
        <v>0</v>
      </c>
      <c r="AB533" s="84">
        <f t="shared" ca="1" si="308"/>
        <v>0</v>
      </c>
      <c r="AC533" s="160">
        <f t="shared" si="309"/>
        <v>0</v>
      </c>
      <c r="AD533" s="31">
        <f t="shared" ca="1" si="310"/>
        <v>0</v>
      </c>
      <c r="AE533" s="5"/>
      <c r="AF533" s="5"/>
      <c r="AG533" s="5"/>
      <c r="AH533" s="5"/>
      <c r="AI533" s="5"/>
      <c r="AS533" s="55">
        <f t="shared" si="318"/>
        <v>45</v>
      </c>
      <c r="AT533" s="56">
        <f t="shared" si="326"/>
        <v>530</v>
      </c>
      <c r="AU533" s="57">
        <f t="shared" si="300"/>
        <v>7.5313121231555369E-2</v>
      </c>
      <c r="AV533" s="58">
        <f t="shared" si="319"/>
        <v>4.8675505653430484E-3</v>
      </c>
      <c r="AW533" s="59">
        <f t="shared" si="320"/>
        <v>1.004867550565343</v>
      </c>
      <c r="AX533" s="60">
        <f>PRODUCT(AW$4:AW533)</f>
        <v>13.112204557983741</v>
      </c>
    </row>
    <row r="534" spans="5:50">
      <c r="E534">
        <f t="shared" si="328"/>
        <v>531</v>
      </c>
      <c r="F534" s="9">
        <f t="shared" si="321"/>
        <v>113.16666666666416</v>
      </c>
      <c r="G534" s="132">
        <f t="shared" si="301"/>
        <v>0</v>
      </c>
      <c r="H534" s="133">
        <f t="shared" si="327"/>
        <v>1</v>
      </c>
      <c r="I534" s="31">
        <f t="shared" si="311"/>
        <v>0</v>
      </c>
      <c r="J534" s="31">
        <f t="shared" si="302"/>
        <v>0</v>
      </c>
      <c r="K534" s="163">
        <f t="shared" si="303"/>
        <v>0</v>
      </c>
      <c r="L534" s="163">
        <f t="shared" si="312"/>
        <v>0</v>
      </c>
      <c r="M534" s="163">
        <f t="shared" si="329"/>
        <v>0</v>
      </c>
      <c r="N534" s="163">
        <f t="shared" si="313"/>
        <v>0</v>
      </c>
      <c r="O534" s="84">
        <f t="shared" si="304"/>
        <v>0</v>
      </c>
      <c r="P534" s="31">
        <f t="shared" si="305"/>
        <v>0</v>
      </c>
      <c r="Q534" s="5"/>
      <c r="R534">
        <f t="shared" ca="1" si="314"/>
        <v>651</v>
      </c>
      <c r="S534" s="133">
        <f t="shared" ca="1" si="315"/>
        <v>121.4</v>
      </c>
      <c r="T534" s="132">
        <f t="shared" ca="1" si="306"/>
        <v>0</v>
      </c>
      <c r="U534" s="133">
        <f t="shared" ca="1" si="322"/>
        <v>1.9008342029825436E-4</v>
      </c>
      <c r="V534" s="31">
        <f t="shared" ca="1" si="316"/>
        <v>0</v>
      </c>
      <c r="W534" s="31">
        <f t="shared" ca="1" si="307"/>
        <v>0</v>
      </c>
      <c r="X534" s="163">
        <f t="shared" ca="1" si="323"/>
        <v>0</v>
      </c>
      <c r="Y534" s="163">
        <f t="shared" ca="1" si="324"/>
        <v>0</v>
      </c>
      <c r="Z534" s="163">
        <f t="shared" ca="1" si="317"/>
        <v>0</v>
      </c>
      <c r="AA534" s="163">
        <f t="shared" ca="1" si="325"/>
        <v>0</v>
      </c>
      <c r="AB534" s="84">
        <f t="shared" ca="1" si="308"/>
        <v>0</v>
      </c>
      <c r="AC534" s="160">
        <f t="shared" si="309"/>
        <v>0</v>
      </c>
      <c r="AD534" s="31">
        <f t="shared" ca="1" si="310"/>
        <v>0</v>
      </c>
      <c r="AE534" s="5"/>
      <c r="AF534" s="5"/>
      <c r="AG534" s="5"/>
      <c r="AH534" s="5"/>
      <c r="AI534" s="5"/>
      <c r="AS534" s="55">
        <f t="shared" si="318"/>
        <v>45</v>
      </c>
      <c r="AT534" s="56">
        <f t="shared" si="326"/>
        <v>531</v>
      </c>
      <c r="AU534" s="57">
        <f t="shared" si="300"/>
        <v>7.4946530805726969E-2</v>
      </c>
      <c r="AV534" s="58">
        <f t="shared" si="319"/>
        <v>4.8675505653430484E-3</v>
      </c>
      <c r="AW534" s="59">
        <f t="shared" si="320"/>
        <v>1.004867550565343</v>
      </c>
      <c r="AX534" s="60">
        <f>PRODUCT(AW$4:AW534)</f>
        <v>13.176028876692849</v>
      </c>
    </row>
    <row r="535" spans="5:50">
      <c r="E535">
        <f t="shared" si="328"/>
        <v>532</v>
      </c>
      <c r="F535" s="9">
        <f t="shared" si="321"/>
        <v>113.24999999999748</v>
      </c>
      <c r="G535" s="132">
        <f t="shared" si="301"/>
        <v>0</v>
      </c>
      <c r="H535" s="133">
        <f t="shared" si="327"/>
        <v>1</v>
      </c>
      <c r="I535" s="31">
        <f t="shared" si="311"/>
        <v>0</v>
      </c>
      <c r="J535" s="31">
        <f t="shared" si="302"/>
        <v>0</v>
      </c>
      <c r="K535" s="163">
        <f t="shared" si="303"/>
        <v>0</v>
      </c>
      <c r="L535" s="163">
        <f t="shared" si="312"/>
        <v>0</v>
      </c>
      <c r="M535" s="163">
        <f t="shared" si="329"/>
        <v>0</v>
      </c>
      <c r="N535" s="163">
        <f t="shared" si="313"/>
        <v>0</v>
      </c>
      <c r="O535" s="84">
        <f t="shared" si="304"/>
        <v>0</v>
      </c>
      <c r="P535" s="31">
        <f t="shared" si="305"/>
        <v>0</v>
      </c>
      <c r="Q535" s="5"/>
      <c r="R535">
        <f t="shared" ca="1" si="314"/>
        <v>652</v>
      </c>
      <c r="S535" s="133">
        <f t="shared" ca="1" si="315"/>
        <v>121.48</v>
      </c>
      <c r="T535" s="132">
        <f t="shared" ca="1" si="306"/>
        <v>0</v>
      </c>
      <c r="U535" s="133">
        <f t="shared" ca="1" si="322"/>
        <v>1.9008342029825436E-4</v>
      </c>
      <c r="V535" s="31">
        <f t="shared" ca="1" si="316"/>
        <v>0</v>
      </c>
      <c r="W535" s="31">
        <f t="shared" ca="1" si="307"/>
        <v>0</v>
      </c>
      <c r="X535" s="163">
        <f t="shared" ca="1" si="323"/>
        <v>0</v>
      </c>
      <c r="Y535" s="163">
        <f t="shared" ca="1" si="324"/>
        <v>0</v>
      </c>
      <c r="Z535" s="163">
        <f t="shared" ca="1" si="317"/>
        <v>0</v>
      </c>
      <c r="AA535" s="163">
        <f t="shared" ca="1" si="325"/>
        <v>0</v>
      </c>
      <c r="AB535" s="84">
        <f t="shared" ca="1" si="308"/>
        <v>0</v>
      </c>
      <c r="AC535" s="160">
        <f t="shared" si="309"/>
        <v>0</v>
      </c>
      <c r="AD535" s="31">
        <f t="shared" ca="1" si="310"/>
        <v>0</v>
      </c>
      <c r="AE535" s="5"/>
      <c r="AF535" s="5"/>
      <c r="AG535" s="5"/>
      <c r="AH535" s="5"/>
      <c r="AI535" s="5"/>
      <c r="AS535" s="55">
        <f t="shared" si="318"/>
        <v>45</v>
      </c>
      <c r="AT535" s="56">
        <f t="shared" si="326"/>
        <v>532</v>
      </c>
      <c r="AU535" s="57">
        <f t="shared" si="300"/>
        <v>7.4581724777333047E-2</v>
      </c>
      <c r="AV535" s="58">
        <f t="shared" si="319"/>
        <v>4.8675505653430484E-3</v>
      </c>
      <c r="AW535" s="59">
        <f t="shared" si="320"/>
        <v>1.004867550565343</v>
      </c>
      <c r="AX535" s="60">
        <f>PRODUCT(AW$4:AW535)</f>
        <v>13.240163863500571</v>
      </c>
    </row>
    <row r="536" spans="5:50">
      <c r="E536">
        <f t="shared" si="328"/>
        <v>533</v>
      </c>
      <c r="F536" s="9">
        <f t="shared" si="321"/>
        <v>113.33333333333081</v>
      </c>
      <c r="G536" s="132">
        <f t="shared" si="301"/>
        <v>0</v>
      </c>
      <c r="H536" s="133">
        <f t="shared" si="327"/>
        <v>1</v>
      </c>
      <c r="I536" s="31">
        <f t="shared" si="311"/>
        <v>0</v>
      </c>
      <c r="J536" s="31">
        <f t="shared" si="302"/>
        <v>0</v>
      </c>
      <c r="K536" s="163">
        <f t="shared" si="303"/>
        <v>0</v>
      </c>
      <c r="L536" s="163">
        <f t="shared" si="312"/>
        <v>0</v>
      </c>
      <c r="M536" s="163">
        <f t="shared" si="329"/>
        <v>0</v>
      </c>
      <c r="N536" s="163">
        <f t="shared" si="313"/>
        <v>0</v>
      </c>
      <c r="O536" s="84">
        <f t="shared" si="304"/>
        <v>0</v>
      </c>
      <c r="P536" s="31">
        <f t="shared" si="305"/>
        <v>0</v>
      </c>
      <c r="Q536" s="5"/>
      <c r="R536">
        <f t="shared" ca="1" si="314"/>
        <v>653</v>
      </c>
      <c r="S536" s="133">
        <f t="shared" ca="1" si="315"/>
        <v>121.56</v>
      </c>
      <c r="T536" s="132">
        <f t="shared" ca="1" si="306"/>
        <v>0</v>
      </c>
      <c r="U536" s="133">
        <f t="shared" ca="1" si="322"/>
        <v>1.9008342029825436E-4</v>
      </c>
      <c r="V536" s="31">
        <f t="shared" ca="1" si="316"/>
        <v>0</v>
      </c>
      <c r="W536" s="31">
        <f t="shared" ca="1" si="307"/>
        <v>0</v>
      </c>
      <c r="X536" s="163">
        <f t="shared" ca="1" si="323"/>
        <v>0</v>
      </c>
      <c r="Y536" s="163">
        <f t="shared" ca="1" si="324"/>
        <v>0</v>
      </c>
      <c r="Z536" s="163">
        <f t="shared" ca="1" si="317"/>
        <v>0</v>
      </c>
      <c r="AA536" s="163">
        <f t="shared" ca="1" si="325"/>
        <v>0</v>
      </c>
      <c r="AB536" s="84">
        <f t="shared" ca="1" si="308"/>
        <v>0</v>
      </c>
      <c r="AC536" s="160">
        <f t="shared" si="309"/>
        <v>0</v>
      </c>
      <c r="AD536" s="31">
        <f t="shared" ca="1" si="310"/>
        <v>0</v>
      </c>
      <c r="AE536" s="5"/>
      <c r="AF536" s="5"/>
      <c r="AG536" s="5"/>
      <c r="AH536" s="5"/>
      <c r="AI536" s="5"/>
      <c r="AS536" s="55">
        <f t="shared" si="318"/>
        <v>45</v>
      </c>
      <c r="AT536" s="56">
        <f t="shared" si="326"/>
        <v>533</v>
      </c>
      <c r="AU536" s="57">
        <f t="shared" si="300"/>
        <v>7.4218694460728873E-2</v>
      </c>
      <c r="AV536" s="58">
        <f t="shared" si="319"/>
        <v>4.8675505653430484E-3</v>
      </c>
      <c r="AW536" s="59">
        <f t="shared" si="320"/>
        <v>1.004867550565343</v>
      </c>
      <c r="AX536" s="60">
        <f>PRODUCT(AW$4:AW536)</f>
        <v>13.304611030599588</v>
      </c>
    </row>
    <row r="537" spans="5:50">
      <c r="E537">
        <f t="shared" si="328"/>
        <v>534</v>
      </c>
      <c r="F537" s="9">
        <f t="shared" si="321"/>
        <v>113.41666666666414</v>
      </c>
      <c r="G537" s="132">
        <f t="shared" si="301"/>
        <v>0</v>
      </c>
      <c r="H537" s="133">
        <f t="shared" si="327"/>
        <v>1</v>
      </c>
      <c r="I537" s="31">
        <f t="shared" si="311"/>
        <v>0</v>
      </c>
      <c r="J537" s="31">
        <f t="shared" si="302"/>
        <v>0</v>
      </c>
      <c r="K537" s="163">
        <f t="shared" si="303"/>
        <v>0</v>
      </c>
      <c r="L537" s="163">
        <f t="shared" si="312"/>
        <v>0</v>
      </c>
      <c r="M537" s="163">
        <f t="shared" si="329"/>
        <v>0</v>
      </c>
      <c r="N537" s="163">
        <f t="shared" si="313"/>
        <v>0</v>
      </c>
      <c r="O537" s="84">
        <f t="shared" si="304"/>
        <v>0</v>
      </c>
      <c r="P537" s="31">
        <f t="shared" si="305"/>
        <v>0</v>
      </c>
      <c r="Q537" s="5"/>
      <c r="R537">
        <f t="shared" ca="1" si="314"/>
        <v>654</v>
      </c>
      <c r="S537" s="133">
        <f t="shared" ca="1" si="315"/>
        <v>121.64</v>
      </c>
      <c r="T537" s="132">
        <f t="shared" ca="1" si="306"/>
        <v>0</v>
      </c>
      <c r="U537" s="133">
        <f t="shared" ca="1" si="322"/>
        <v>1.9008342029825436E-4</v>
      </c>
      <c r="V537" s="31">
        <f t="shared" ca="1" si="316"/>
        <v>0</v>
      </c>
      <c r="W537" s="31">
        <f t="shared" ca="1" si="307"/>
        <v>0</v>
      </c>
      <c r="X537" s="163">
        <f t="shared" ca="1" si="323"/>
        <v>0</v>
      </c>
      <c r="Y537" s="163">
        <f t="shared" ca="1" si="324"/>
        <v>0</v>
      </c>
      <c r="Z537" s="163">
        <f t="shared" ca="1" si="317"/>
        <v>0</v>
      </c>
      <c r="AA537" s="163">
        <f t="shared" ca="1" si="325"/>
        <v>0</v>
      </c>
      <c r="AB537" s="84">
        <f t="shared" ca="1" si="308"/>
        <v>0</v>
      </c>
      <c r="AC537" s="160">
        <f t="shared" si="309"/>
        <v>0</v>
      </c>
      <c r="AD537" s="31">
        <f t="shared" ca="1" si="310"/>
        <v>0</v>
      </c>
      <c r="AE537" s="5"/>
      <c r="AF537" s="5"/>
      <c r="AG537" s="5"/>
      <c r="AH537" s="5"/>
      <c r="AI537" s="5"/>
      <c r="AS537" s="55">
        <f t="shared" si="318"/>
        <v>45</v>
      </c>
      <c r="AT537" s="56">
        <f t="shared" si="326"/>
        <v>534</v>
      </c>
      <c r="AU537" s="57">
        <f t="shared" si="300"/>
        <v>7.3857431212547536E-2</v>
      </c>
      <c r="AV537" s="58">
        <f t="shared" si="319"/>
        <v>4.8675505653430484E-3</v>
      </c>
      <c r="AW537" s="59">
        <f t="shared" si="320"/>
        <v>1.004867550565343</v>
      </c>
      <c r="AX537" s="60">
        <f>PRODUCT(AW$4:AW537)</f>
        <v>13.369371897543253</v>
      </c>
    </row>
    <row r="538" spans="5:50">
      <c r="E538">
        <f t="shared" si="328"/>
        <v>535</v>
      </c>
      <c r="F538" s="9">
        <f t="shared" si="321"/>
        <v>113.49999999999747</v>
      </c>
      <c r="G538" s="132">
        <f t="shared" si="301"/>
        <v>0</v>
      </c>
      <c r="H538" s="133">
        <f t="shared" si="327"/>
        <v>1</v>
      </c>
      <c r="I538" s="31">
        <f t="shared" si="311"/>
        <v>0</v>
      </c>
      <c r="J538" s="31">
        <f t="shared" si="302"/>
        <v>0</v>
      </c>
      <c r="K538" s="163">
        <f t="shared" si="303"/>
        <v>0</v>
      </c>
      <c r="L538" s="163">
        <f t="shared" si="312"/>
        <v>0</v>
      </c>
      <c r="M538" s="163">
        <f t="shared" si="329"/>
        <v>0</v>
      </c>
      <c r="N538" s="163">
        <f t="shared" si="313"/>
        <v>0</v>
      </c>
      <c r="O538" s="84">
        <f t="shared" si="304"/>
        <v>0</v>
      </c>
      <c r="P538" s="31">
        <f t="shared" si="305"/>
        <v>0</v>
      </c>
      <c r="Q538" s="5"/>
      <c r="R538">
        <f t="shared" ca="1" si="314"/>
        <v>655</v>
      </c>
      <c r="S538" s="133">
        <f t="shared" ca="1" si="315"/>
        <v>121.72</v>
      </c>
      <c r="T538" s="132">
        <f t="shared" ca="1" si="306"/>
        <v>0</v>
      </c>
      <c r="U538" s="133">
        <f t="shared" ca="1" si="322"/>
        <v>1.9008342029825436E-4</v>
      </c>
      <c r="V538" s="31">
        <f t="shared" ca="1" si="316"/>
        <v>0</v>
      </c>
      <c r="W538" s="31">
        <f t="shared" ca="1" si="307"/>
        <v>0</v>
      </c>
      <c r="X538" s="163">
        <f t="shared" ca="1" si="323"/>
        <v>0</v>
      </c>
      <c r="Y538" s="163">
        <f t="shared" ca="1" si="324"/>
        <v>0</v>
      </c>
      <c r="Z538" s="163">
        <f t="shared" ca="1" si="317"/>
        <v>0</v>
      </c>
      <c r="AA538" s="163">
        <f t="shared" ca="1" si="325"/>
        <v>0</v>
      </c>
      <c r="AB538" s="84">
        <f t="shared" ca="1" si="308"/>
        <v>0</v>
      </c>
      <c r="AC538" s="160">
        <f t="shared" si="309"/>
        <v>0</v>
      </c>
      <c r="AD538" s="31">
        <f t="shared" ca="1" si="310"/>
        <v>0</v>
      </c>
      <c r="AE538" s="5"/>
      <c r="AF538" s="5"/>
      <c r="AG538" s="5"/>
      <c r="AH538" s="5"/>
      <c r="AI538" s="5"/>
      <c r="AS538" s="55">
        <f t="shared" si="318"/>
        <v>45</v>
      </c>
      <c r="AT538" s="56">
        <f t="shared" si="326"/>
        <v>535</v>
      </c>
      <c r="AU538" s="57">
        <f t="shared" si="300"/>
        <v>7.3497926431494109E-2</v>
      </c>
      <c r="AV538" s="58">
        <f t="shared" si="319"/>
        <v>4.8675505653430484E-3</v>
      </c>
      <c r="AW538" s="59">
        <f t="shared" si="320"/>
        <v>1.004867550565343</v>
      </c>
      <c r="AX538" s="60">
        <f>PRODUCT(AW$4:AW538)</f>
        <v>13.434447991281422</v>
      </c>
    </row>
    <row r="539" spans="5:50">
      <c r="E539">
        <f t="shared" si="328"/>
        <v>536</v>
      </c>
      <c r="F539" s="9">
        <f t="shared" si="321"/>
        <v>113.5833333333308</v>
      </c>
      <c r="G539" s="132">
        <f t="shared" si="301"/>
        <v>0</v>
      </c>
      <c r="H539" s="133">
        <f t="shared" si="327"/>
        <v>1</v>
      </c>
      <c r="I539" s="31">
        <f t="shared" si="311"/>
        <v>0</v>
      </c>
      <c r="J539" s="31">
        <f t="shared" si="302"/>
        <v>0</v>
      </c>
      <c r="K539" s="163">
        <f t="shared" si="303"/>
        <v>0</v>
      </c>
      <c r="L539" s="163">
        <f t="shared" si="312"/>
        <v>0</v>
      </c>
      <c r="M539" s="163">
        <f t="shared" si="329"/>
        <v>0</v>
      </c>
      <c r="N539" s="163">
        <f t="shared" si="313"/>
        <v>0</v>
      </c>
      <c r="O539" s="84">
        <f t="shared" si="304"/>
        <v>0</v>
      </c>
      <c r="P539" s="31">
        <f t="shared" si="305"/>
        <v>0</v>
      </c>
      <c r="Q539" s="5"/>
      <c r="R539">
        <f t="shared" ca="1" si="314"/>
        <v>656</v>
      </c>
      <c r="S539" s="133">
        <f t="shared" ca="1" si="315"/>
        <v>121.8</v>
      </c>
      <c r="T539" s="132">
        <f t="shared" ca="1" si="306"/>
        <v>0</v>
      </c>
      <c r="U539" s="133">
        <f t="shared" ca="1" si="322"/>
        <v>1.9008342029825436E-4</v>
      </c>
      <c r="V539" s="31">
        <f t="shared" ca="1" si="316"/>
        <v>0</v>
      </c>
      <c r="W539" s="31">
        <f t="shared" ca="1" si="307"/>
        <v>0</v>
      </c>
      <c r="X539" s="163">
        <f t="shared" ca="1" si="323"/>
        <v>0</v>
      </c>
      <c r="Y539" s="163">
        <f t="shared" ca="1" si="324"/>
        <v>0</v>
      </c>
      <c r="Z539" s="163">
        <f t="shared" ca="1" si="317"/>
        <v>0</v>
      </c>
      <c r="AA539" s="163">
        <f t="shared" ca="1" si="325"/>
        <v>0</v>
      </c>
      <c r="AB539" s="84">
        <f t="shared" ca="1" si="308"/>
        <v>0</v>
      </c>
      <c r="AC539" s="160">
        <f t="shared" si="309"/>
        <v>0</v>
      </c>
      <c r="AD539" s="31">
        <f t="shared" ca="1" si="310"/>
        <v>0</v>
      </c>
      <c r="AE539" s="5"/>
      <c r="AF539" s="5"/>
      <c r="AG539" s="5"/>
      <c r="AH539" s="5"/>
      <c r="AI539" s="5"/>
      <c r="AS539" s="55">
        <f t="shared" si="318"/>
        <v>45</v>
      </c>
      <c r="AT539" s="56">
        <f t="shared" si="326"/>
        <v>536</v>
      </c>
      <c r="AU539" s="57">
        <f t="shared" si="300"/>
        <v>7.3140171558140954E-2</v>
      </c>
      <c r="AV539" s="58">
        <f t="shared" si="319"/>
        <v>4.8675505653430484E-3</v>
      </c>
      <c r="AW539" s="59">
        <f t="shared" si="320"/>
        <v>1.004867550565343</v>
      </c>
      <c r="AX539" s="60">
        <f>PRODUCT(AW$4:AW539)</f>
        <v>13.499840846196456</v>
      </c>
    </row>
    <row r="540" spans="5:50">
      <c r="E540">
        <f t="shared" si="328"/>
        <v>537</v>
      </c>
      <c r="F540" s="9">
        <f t="shared" si="321"/>
        <v>113.66666666666413</v>
      </c>
      <c r="G540" s="132">
        <f t="shared" si="301"/>
        <v>0</v>
      </c>
      <c r="H540" s="133">
        <f t="shared" si="327"/>
        <v>1</v>
      </c>
      <c r="I540" s="31">
        <f t="shared" si="311"/>
        <v>0</v>
      </c>
      <c r="J540" s="31">
        <f t="shared" si="302"/>
        <v>0</v>
      </c>
      <c r="K540" s="163">
        <f t="shared" si="303"/>
        <v>0</v>
      </c>
      <c r="L540" s="163">
        <f t="shared" si="312"/>
        <v>0</v>
      </c>
      <c r="M540" s="163">
        <f t="shared" si="329"/>
        <v>0</v>
      </c>
      <c r="N540" s="163">
        <f t="shared" si="313"/>
        <v>0</v>
      </c>
      <c r="O540" s="84">
        <f t="shared" si="304"/>
        <v>0</v>
      </c>
      <c r="P540" s="31">
        <f t="shared" si="305"/>
        <v>0</v>
      </c>
      <c r="Q540" s="5"/>
      <c r="R540">
        <f t="shared" ca="1" si="314"/>
        <v>657</v>
      </c>
      <c r="S540" s="133">
        <f t="shared" ca="1" si="315"/>
        <v>121.88</v>
      </c>
      <c r="T540" s="132">
        <f t="shared" ca="1" si="306"/>
        <v>0</v>
      </c>
      <c r="U540" s="133">
        <f t="shared" ca="1" si="322"/>
        <v>1.9008342029825436E-4</v>
      </c>
      <c r="V540" s="31">
        <f t="shared" ca="1" si="316"/>
        <v>0</v>
      </c>
      <c r="W540" s="31">
        <f t="shared" ca="1" si="307"/>
        <v>0</v>
      </c>
      <c r="X540" s="163">
        <f t="shared" ca="1" si="323"/>
        <v>0</v>
      </c>
      <c r="Y540" s="163">
        <f t="shared" ca="1" si="324"/>
        <v>0</v>
      </c>
      <c r="Z540" s="163">
        <f t="shared" ca="1" si="317"/>
        <v>0</v>
      </c>
      <c r="AA540" s="163">
        <f t="shared" ca="1" si="325"/>
        <v>0</v>
      </c>
      <c r="AB540" s="84">
        <f t="shared" ca="1" si="308"/>
        <v>0</v>
      </c>
      <c r="AC540" s="160">
        <f t="shared" si="309"/>
        <v>0</v>
      </c>
      <c r="AD540" s="31">
        <f t="shared" ca="1" si="310"/>
        <v>0</v>
      </c>
      <c r="AE540" s="5"/>
      <c r="AF540" s="5"/>
      <c r="AG540" s="5"/>
      <c r="AH540" s="5"/>
      <c r="AI540" s="5"/>
      <c r="AS540" s="55">
        <f t="shared" si="318"/>
        <v>45</v>
      </c>
      <c r="AT540" s="56">
        <f t="shared" si="326"/>
        <v>537</v>
      </c>
      <c r="AU540" s="57">
        <f t="shared" ref="AU540:AU598" si="330">(1-AV540)*AU539</f>
        <v>7.278415807472384E-2</v>
      </c>
      <c r="AV540" s="58">
        <f t="shared" si="319"/>
        <v>4.8675505653430484E-3</v>
      </c>
      <c r="AW540" s="59">
        <f t="shared" si="320"/>
        <v>1.004867550565343</v>
      </c>
      <c r="AX540" s="60">
        <f>PRODUCT(AW$4:AW540)</f>
        <v>13.5655520041394</v>
      </c>
    </row>
    <row r="541" spans="5:50">
      <c r="E541">
        <f t="shared" si="328"/>
        <v>538</v>
      </c>
      <c r="F541" s="9">
        <f t="shared" si="321"/>
        <v>113.74999999999746</v>
      </c>
      <c r="G541" s="132">
        <f t="shared" si="301"/>
        <v>0</v>
      </c>
      <c r="H541" s="133">
        <f t="shared" si="327"/>
        <v>1</v>
      </c>
      <c r="I541" s="31">
        <f t="shared" si="311"/>
        <v>0</v>
      </c>
      <c r="J541" s="31">
        <f t="shared" si="302"/>
        <v>0</v>
      </c>
      <c r="K541" s="163">
        <f t="shared" si="303"/>
        <v>0</v>
      </c>
      <c r="L541" s="163">
        <f t="shared" si="312"/>
        <v>0</v>
      </c>
      <c r="M541" s="163">
        <f t="shared" si="329"/>
        <v>0</v>
      </c>
      <c r="N541" s="163">
        <f t="shared" si="313"/>
        <v>0</v>
      </c>
      <c r="O541" s="84">
        <f t="shared" si="304"/>
        <v>0</v>
      </c>
      <c r="P541" s="31">
        <f t="shared" si="305"/>
        <v>0</v>
      </c>
      <c r="Q541" s="5"/>
      <c r="R541">
        <f t="shared" ca="1" si="314"/>
        <v>658</v>
      </c>
      <c r="S541" s="133">
        <f t="shared" ca="1" si="315"/>
        <v>121.96</v>
      </c>
      <c r="T541" s="132">
        <f t="shared" ca="1" si="306"/>
        <v>0</v>
      </c>
      <c r="U541" s="133">
        <f t="shared" ca="1" si="322"/>
        <v>1.9008342029825436E-4</v>
      </c>
      <c r="V541" s="31">
        <f t="shared" ca="1" si="316"/>
        <v>0</v>
      </c>
      <c r="W541" s="31">
        <f t="shared" ca="1" si="307"/>
        <v>0</v>
      </c>
      <c r="X541" s="163">
        <f t="shared" ca="1" si="323"/>
        <v>0</v>
      </c>
      <c r="Y541" s="163">
        <f t="shared" ca="1" si="324"/>
        <v>0</v>
      </c>
      <c r="Z541" s="163">
        <f t="shared" ca="1" si="317"/>
        <v>0</v>
      </c>
      <c r="AA541" s="163">
        <f t="shared" ca="1" si="325"/>
        <v>0</v>
      </c>
      <c r="AB541" s="84">
        <f t="shared" ca="1" si="308"/>
        <v>0</v>
      </c>
      <c r="AC541" s="160">
        <f t="shared" si="309"/>
        <v>0</v>
      </c>
      <c r="AD541" s="31">
        <f t="shared" ca="1" si="310"/>
        <v>0</v>
      </c>
      <c r="AE541" s="5"/>
      <c r="AF541" s="5"/>
      <c r="AG541" s="5"/>
      <c r="AH541" s="5"/>
      <c r="AI541" s="5"/>
      <c r="AS541" s="55">
        <f t="shared" si="318"/>
        <v>45</v>
      </c>
      <c r="AT541" s="56">
        <f t="shared" si="326"/>
        <v>538</v>
      </c>
      <c r="AU541" s="57">
        <f t="shared" si="330"/>
        <v>7.2429877504939205E-2</v>
      </c>
      <c r="AV541" s="58">
        <f t="shared" si="319"/>
        <v>4.8675505653430484E-3</v>
      </c>
      <c r="AW541" s="59">
        <f t="shared" si="320"/>
        <v>1.004867550565343</v>
      </c>
      <c r="AX541" s="60">
        <f>PRODUCT(AW$4:AW541)</f>
        <v>13.63158301446634</v>
      </c>
    </row>
    <row r="542" spans="5:50">
      <c r="E542">
        <f t="shared" si="328"/>
        <v>539</v>
      </c>
      <c r="F542" s="9">
        <f t="shared" si="321"/>
        <v>113.83333333333078</v>
      </c>
      <c r="G542" s="132">
        <f t="shared" si="301"/>
        <v>0</v>
      </c>
      <c r="H542" s="133">
        <f t="shared" si="327"/>
        <v>1</v>
      </c>
      <c r="I542" s="31">
        <f t="shared" si="311"/>
        <v>0</v>
      </c>
      <c r="J542" s="31">
        <f t="shared" si="302"/>
        <v>0</v>
      </c>
      <c r="K542" s="163">
        <f t="shared" si="303"/>
        <v>0</v>
      </c>
      <c r="L542" s="163">
        <f t="shared" si="312"/>
        <v>0</v>
      </c>
      <c r="M542" s="163">
        <f t="shared" si="329"/>
        <v>0</v>
      </c>
      <c r="N542" s="163">
        <f t="shared" si="313"/>
        <v>0</v>
      </c>
      <c r="O542" s="84">
        <f t="shared" si="304"/>
        <v>0</v>
      </c>
      <c r="P542" s="31">
        <f t="shared" si="305"/>
        <v>0</v>
      </c>
      <c r="Q542" s="5"/>
      <c r="R542">
        <f t="shared" ca="1" si="314"/>
        <v>659</v>
      </c>
      <c r="S542" s="133">
        <f t="shared" ca="1" si="315"/>
        <v>122.04</v>
      </c>
      <c r="T542" s="132">
        <f t="shared" ca="1" si="306"/>
        <v>0</v>
      </c>
      <c r="U542" s="133">
        <f t="shared" ca="1" si="322"/>
        <v>1.9008342029825436E-4</v>
      </c>
      <c r="V542" s="31">
        <f t="shared" ca="1" si="316"/>
        <v>0</v>
      </c>
      <c r="W542" s="31">
        <f t="shared" ca="1" si="307"/>
        <v>0</v>
      </c>
      <c r="X542" s="163">
        <f t="shared" ca="1" si="323"/>
        <v>0</v>
      </c>
      <c r="Y542" s="163">
        <f t="shared" ca="1" si="324"/>
        <v>0</v>
      </c>
      <c r="Z542" s="163">
        <f t="shared" ca="1" si="317"/>
        <v>0</v>
      </c>
      <c r="AA542" s="163">
        <f t="shared" ca="1" si="325"/>
        <v>0</v>
      </c>
      <c r="AB542" s="84">
        <f t="shared" ca="1" si="308"/>
        <v>0</v>
      </c>
      <c r="AC542" s="160">
        <f t="shared" si="309"/>
        <v>0</v>
      </c>
      <c r="AD542" s="31">
        <f t="shared" ca="1" si="310"/>
        <v>0</v>
      </c>
      <c r="AE542" s="5"/>
      <c r="AF542" s="5"/>
      <c r="AG542" s="5"/>
      <c r="AH542" s="5"/>
      <c r="AI542" s="5"/>
      <c r="AS542" s="55">
        <f t="shared" si="318"/>
        <v>45</v>
      </c>
      <c r="AT542" s="56">
        <f t="shared" si="326"/>
        <v>539</v>
      </c>
      <c r="AU542" s="57">
        <f t="shared" si="330"/>
        <v>7.2077321413742304E-2</v>
      </c>
      <c r="AV542" s="58">
        <f t="shared" si="319"/>
        <v>4.8675505653430484E-3</v>
      </c>
      <c r="AW542" s="59">
        <f t="shared" si="320"/>
        <v>1.004867550565343</v>
      </c>
      <c r="AX542" s="60">
        <f>PRODUCT(AW$4:AW542)</f>
        <v>13.697935434074926</v>
      </c>
    </row>
    <row r="543" spans="5:50">
      <c r="E543">
        <f t="shared" si="328"/>
        <v>540</v>
      </c>
      <c r="F543" s="9">
        <f t="shared" si="321"/>
        <v>113.91666666666411</v>
      </c>
      <c r="G543" s="132">
        <f t="shared" si="301"/>
        <v>0</v>
      </c>
      <c r="H543" s="133">
        <f t="shared" si="327"/>
        <v>1</v>
      </c>
      <c r="I543" s="31">
        <f t="shared" si="311"/>
        <v>0</v>
      </c>
      <c r="J543" s="31">
        <f t="shared" si="302"/>
        <v>0</v>
      </c>
      <c r="K543" s="163">
        <f t="shared" si="303"/>
        <v>0</v>
      </c>
      <c r="L543" s="163">
        <f t="shared" si="312"/>
        <v>0</v>
      </c>
      <c r="M543" s="163">
        <f t="shared" si="329"/>
        <v>0</v>
      </c>
      <c r="N543" s="163">
        <f t="shared" si="313"/>
        <v>0</v>
      </c>
      <c r="O543" s="84">
        <f t="shared" si="304"/>
        <v>0</v>
      </c>
      <c r="P543" s="31">
        <f t="shared" si="305"/>
        <v>0</v>
      </c>
      <c r="Q543" s="5"/>
      <c r="R543">
        <f t="shared" ca="1" si="314"/>
        <v>660</v>
      </c>
      <c r="S543" s="133">
        <f t="shared" ca="1" si="315"/>
        <v>122.12</v>
      </c>
      <c r="T543" s="132">
        <f t="shared" ca="1" si="306"/>
        <v>0</v>
      </c>
      <c r="U543" s="133">
        <f t="shared" ca="1" si="322"/>
        <v>1.9008342029825436E-4</v>
      </c>
      <c r="V543" s="31">
        <f t="shared" ca="1" si="316"/>
        <v>0</v>
      </c>
      <c r="W543" s="31">
        <f t="shared" ca="1" si="307"/>
        <v>0</v>
      </c>
      <c r="X543" s="163">
        <f t="shared" ca="1" si="323"/>
        <v>0</v>
      </c>
      <c r="Y543" s="163">
        <f t="shared" ca="1" si="324"/>
        <v>0</v>
      </c>
      <c r="Z543" s="163">
        <f t="shared" ca="1" si="317"/>
        <v>0</v>
      </c>
      <c r="AA543" s="163">
        <f t="shared" ca="1" si="325"/>
        <v>0</v>
      </c>
      <c r="AB543" s="84">
        <f t="shared" ca="1" si="308"/>
        <v>0</v>
      </c>
      <c r="AC543" s="160">
        <f t="shared" si="309"/>
        <v>0</v>
      </c>
      <c r="AD543" s="31">
        <f t="shared" ca="1" si="310"/>
        <v>0</v>
      </c>
      <c r="AE543" s="5"/>
      <c r="AF543" s="5"/>
      <c r="AG543" s="5"/>
      <c r="AH543" s="5"/>
      <c r="AI543" s="5"/>
      <c r="AS543" s="55">
        <f t="shared" si="318"/>
        <v>45</v>
      </c>
      <c r="AT543" s="56">
        <f t="shared" si="326"/>
        <v>540</v>
      </c>
      <c r="AU543" s="57">
        <f t="shared" si="330"/>
        <v>7.1726481407146436E-2</v>
      </c>
      <c r="AV543" s="58">
        <f t="shared" si="319"/>
        <v>4.8675505653430484E-3</v>
      </c>
      <c r="AW543" s="59">
        <f t="shared" si="320"/>
        <v>1.004867550565343</v>
      </c>
      <c r="AX543" s="60">
        <f>PRODUCT(AW$4:AW543)</f>
        <v>13.764610827441091</v>
      </c>
    </row>
    <row r="544" spans="5:50">
      <c r="E544">
        <f t="shared" si="328"/>
        <v>541</v>
      </c>
      <c r="F544" s="9">
        <f t="shared" si="321"/>
        <v>113.99999999999744</v>
      </c>
      <c r="G544" s="132">
        <f t="shared" si="301"/>
        <v>0</v>
      </c>
      <c r="H544" s="133">
        <f t="shared" si="327"/>
        <v>1</v>
      </c>
      <c r="I544" s="31">
        <f t="shared" si="311"/>
        <v>0</v>
      </c>
      <c r="J544" s="31">
        <f t="shared" si="302"/>
        <v>0</v>
      </c>
      <c r="K544" s="163">
        <f t="shared" si="303"/>
        <v>0</v>
      </c>
      <c r="L544" s="163">
        <f t="shared" si="312"/>
        <v>0</v>
      </c>
      <c r="M544" s="163">
        <f t="shared" si="329"/>
        <v>0</v>
      </c>
      <c r="N544" s="163">
        <f t="shared" si="313"/>
        <v>0</v>
      </c>
      <c r="O544" s="84">
        <f t="shared" si="304"/>
        <v>0</v>
      </c>
      <c r="P544" s="31">
        <f t="shared" si="305"/>
        <v>0</v>
      </c>
      <c r="Q544" s="5"/>
      <c r="R544">
        <f t="shared" ca="1" si="314"/>
        <v>661</v>
      </c>
      <c r="S544" s="133">
        <f t="shared" ca="1" si="315"/>
        <v>122.2</v>
      </c>
      <c r="T544" s="132">
        <f t="shared" ca="1" si="306"/>
        <v>0</v>
      </c>
      <c r="U544" s="133">
        <f t="shared" ca="1" si="322"/>
        <v>1.9008342029825436E-4</v>
      </c>
      <c r="V544" s="31">
        <f t="shared" ca="1" si="316"/>
        <v>0</v>
      </c>
      <c r="W544" s="31">
        <f t="shared" ca="1" si="307"/>
        <v>0</v>
      </c>
      <c r="X544" s="163">
        <f t="shared" ca="1" si="323"/>
        <v>0</v>
      </c>
      <c r="Y544" s="163">
        <f t="shared" ca="1" si="324"/>
        <v>0</v>
      </c>
      <c r="Z544" s="163">
        <f t="shared" ca="1" si="317"/>
        <v>0</v>
      </c>
      <c r="AA544" s="163">
        <f t="shared" ca="1" si="325"/>
        <v>0</v>
      </c>
      <c r="AB544" s="84">
        <f t="shared" ca="1" si="308"/>
        <v>0</v>
      </c>
      <c r="AC544" s="160">
        <f t="shared" si="309"/>
        <v>0</v>
      </c>
      <c r="AD544" s="31">
        <f t="shared" ca="1" si="310"/>
        <v>0</v>
      </c>
      <c r="AE544" s="5"/>
      <c r="AF544" s="5"/>
      <c r="AG544" s="5"/>
      <c r="AH544" s="5"/>
      <c r="AI544" s="5"/>
      <c r="AS544" s="55">
        <f t="shared" si="318"/>
        <v>46</v>
      </c>
      <c r="AT544" s="56">
        <f t="shared" si="326"/>
        <v>541</v>
      </c>
      <c r="AU544" s="57">
        <f t="shared" si="330"/>
        <v>7.137734913202301E-2</v>
      </c>
      <c r="AV544" s="58">
        <f t="shared" si="319"/>
        <v>4.8675505653430484E-3</v>
      </c>
      <c r="AW544" s="59">
        <f t="shared" si="320"/>
        <v>1.004867550565343</v>
      </c>
      <c r="AX544" s="60">
        <f>PRODUCT(AW$4:AW544)</f>
        <v>13.831610766655929</v>
      </c>
    </row>
    <row r="545" spans="5:50">
      <c r="E545">
        <f t="shared" si="328"/>
        <v>542</v>
      </c>
      <c r="F545" s="9">
        <f t="shared" si="321"/>
        <v>114.08333333333077</v>
      </c>
      <c r="G545" s="132">
        <f t="shared" si="301"/>
        <v>0</v>
      </c>
      <c r="H545" s="133">
        <f t="shared" si="327"/>
        <v>1</v>
      </c>
      <c r="I545" s="31">
        <f t="shared" si="311"/>
        <v>0</v>
      </c>
      <c r="J545" s="31">
        <f t="shared" si="302"/>
        <v>0</v>
      </c>
      <c r="K545" s="163">
        <f t="shared" si="303"/>
        <v>0</v>
      </c>
      <c r="L545" s="163">
        <f t="shared" si="312"/>
        <v>0</v>
      </c>
      <c r="M545" s="163">
        <f t="shared" si="329"/>
        <v>0</v>
      </c>
      <c r="N545" s="163">
        <f t="shared" si="313"/>
        <v>0</v>
      </c>
      <c r="O545" s="84">
        <f t="shared" si="304"/>
        <v>0</v>
      </c>
      <c r="P545" s="31">
        <f t="shared" si="305"/>
        <v>0</v>
      </c>
      <c r="Q545" s="5"/>
      <c r="R545">
        <f t="shared" ca="1" si="314"/>
        <v>662</v>
      </c>
      <c r="S545" s="133">
        <f t="shared" ca="1" si="315"/>
        <v>122.28</v>
      </c>
      <c r="T545" s="132">
        <f t="shared" ca="1" si="306"/>
        <v>0</v>
      </c>
      <c r="U545" s="133">
        <f t="shared" ca="1" si="322"/>
        <v>1.9008342029825436E-4</v>
      </c>
      <c r="V545" s="31">
        <f t="shared" ca="1" si="316"/>
        <v>0</v>
      </c>
      <c r="W545" s="31">
        <f t="shared" ca="1" si="307"/>
        <v>0</v>
      </c>
      <c r="X545" s="163">
        <f t="shared" ca="1" si="323"/>
        <v>0</v>
      </c>
      <c r="Y545" s="163">
        <f t="shared" ca="1" si="324"/>
        <v>0</v>
      </c>
      <c r="Z545" s="163">
        <f t="shared" ca="1" si="317"/>
        <v>0</v>
      </c>
      <c r="AA545" s="163">
        <f t="shared" ca="1" si="325"/>
        <v>0</v>
      </c>
      <c r="AB545" s="84">
        <f t="shared" ca="1" si="308"/>
        <v>0</v>
      </c>
      <c r="AC545" s="160">
        <f t="shared" si="309"/>
        <v>0</v>
      </c>
      <c r="AD545" s="31">
        <f t="shared" ca="1" si="310"/>
        <v>0</v>
      </c>
      <c r="AE545" s="5"/>
      <c r="AF545" s="5"/>
      <c r="AG545" s="5"/>
      <c r="AH545" s="5"/>
      <c r="AI545" s="5"/>
      <c r="AS545" s="55">
        <f t="shared" si="318"/>
        <v>46</v>
      </c>
      <c r="AT545" s="56">
        <f t="shared" si="326"/>
        <v>542</v>
      </c>
      <c r="AU545" s="57">
        <f t="shared" si="330"/>
        <v>7.1029916275902744E-2</v>
      </c>
      <c r="AV545" s="58">
        <f t="shared" si="319"/>
        <v>4.8675505653430484E-3</v>
      </c>
      <c r="AW545" s="59">
        <f t="shared" si="320"/>
        <v>1.004867550565343</v>
      </c>
      <c r="AX545" s="60">
        <f>PRODUCT(AW$4:AW545)</f>
        <v>13.89893683146277</v>
      </c>
    </row>
    <row r="546" spans="5:50">
      <c r="E546">
        <f t="shared" si="328"/>
        <v>543</v>
      </c>
      <c r="F546" s="9">
        <f t="shared" si="321"/>
        <v>114.1666666666641</v>
      </c>
      <c r="G546" s="132">
        <f t="shared" si="301"/>
        <v>0</v>
      </c>
      <c r="H546" s="133">
        <f t="shared" si="327"/>
        <v>1</v>
      </c>
      <c r="I546" s="31">
        <f t="shared" si="311"/>
        <v>0</v>
      </c>
      <c r="J546" s="31">
        <f t="shared" si="302"/>
        <v>0</v>
      </c>
      <c r="K546" s="163">
        <f t="shared" si="303"/>
        <v>0</v>
      </c>
      <c r="L546" s="163">
        <f t="shared" si="312"/>
        <v>0</v>
      </c>
      <c r="M546" s="163">
        <f t="shared" si="329"/>
        <v>0</v>
      </c>
      <c r="N546" s="163">
        <f t="shared" si="313"/>
        <v>0</v>
      </c>
      <c r="O546" s="84">
        <f t="shared" si="304"/>
        <v>0</v>
      </c>
      <c r="P546" s="31">
        <f t="shared" si="305"/>
        <v>0</v>
      </c>
      <c r="R546">
        <f t="shared" ca="1" si="314"/>
        <v>663</v>
      </c>
      <c r="S546" s="133">
        <f t="shared" ca="1" si="315"/>
        <v>122.36</v>
      </c>
      <c r="T546" s="132">
        <f t="shared" ca="1" si="306"/>
        <v>0</v>
      </c>
      <c r="U546" s="133">
        <f t="shared" ca="1" si="322"/>
        <v>1.9008342029825436E-4</v>
      </c>
      <c r="V546" s="31">
        <f t="shared" ca="1" si="316"/>
        <v>0</v>
      </c>
      <c r="W546" s="31">
        <f t="shared" ca="1" si="307"/>
        <v>0</v>
      </c>
      <c r="X546" s="163">
        <f t="shared" ca="1" si="323"/>
        <v>0</v>
      </c>
      <c r="Y546" s="163">
        <f t="shared" ca="1" si="324"/>
        <v>0</v>
      </c>
      <c r="Z546" s="163">
        <f t="shared" ca="1" si="317"/>
        <v>0</v>
      </c>
      <c r="AA546" s="163">
        <f t="shared" ca="1" si="325"/>
        <v>0</v>
      </c>
      <c r="AB546" s="84">
        <f t="shared" ca="1" si="308"/>
        <v>0</v>
      </c>
      <c r="AC546" s="160">
        <f t="shared" si="309"/>
        <v>0</v>
      </c>
      <c r="AD546" s="31">
        <f t="shared" ca="1" si="310"/>
        <v>0</v>
      </c>
      <c r="AF546" s="5"/>
      <c r="AG546" s="5"/>
      <c r="AS546" s="55">
        <f t="shared" si="318"/>
        <v>46</v>
      </c>
      <c r="AT546" s="56">
        <f t="shared" si="326"/>
        <v>543</v>
      </c>
      <c r="AU546" s="57">
        <f t="shared" si="330"/>
        <v>7.068417456677771E-2</v>
      </c>
      <c r="AV546" s="58">
        <f t="shared" si="319"/>
        <v>4.8675505653430484E-3</v>
      </c>
      <c r="AW546" s="59">
        <f t="shared" si="320"/>
        <v>1.004867550565343</v>
      </c>
      <c r="AX546" s="60">
        <f>PRODUCT(AW$4:AW546)</f>
        <v>13.966590609294423</v>
      </c>
    </row>
    <row r="547" spans="5:50">
      <c r="E547">
        <f t="shared" si="328"/>
        <v>544</v>
      </c>
      <c r="F547" s="9">
        <f t="shared" si="321"/>
        <v>114.24999999999743</v>
      </c>
      <c r="G547" s="132">
        <f t="shared" si="301"/>
        <v>0</v>
      </c>
      <c r="H547" s="133">
        <f t="shared" si="327"/>
        <v>1</v>
      </c>
      <c r="I547" s="31">
        <f t="shared" si="311"/>
        <v>0</v>
      </c>
      <c r="J547" s="31">
        <f t="shared" si="302"/>
        <v>0</v>
      </c>
      <c r="K547" s="163">
        <f t="shared" si="303"/>
        <v>0</v>
      </c>
      <c r="L547" s="163">
        <f t="shared" si="312"/>
        <v>0</v>
      </c>
      <c r="M547" s="163">
        <f t="shared" si="329"/>
        <v>0</v>
      </c>
      <c r="N547" s="163">
        <f t="shared" si="313"/>
        <v>0</v>
      </c>
      <c r="O547" s="84">
        <f t="shared" si="304"/>
        <v>0</v>
      </c>
      <c r="P547" s="31">
        <f t="shared" si="305"/>
        <v>0</v>
      </c>
      <c r="R547">
        <f t="shared" ca="1" si="314"/>
        <v>664</v>
      </c>
      <c r="S547" s="133">
        <f t="shared" ca="1" si="315"/>
        <v>122.44</v>
      </c>
      <c r="T547" s="132">
        <f t="shared" ca="1" si="306"/>
        <v>0</v>
      </c>
      <c r="U547" s="133">
        <f t="shared" ca="1" si="322"/>
        <v>1.9008342029825436E-4</v>
      </c>
      <c r="V547" s="31">
        <f t="shared" ca="1" si="316"/>
        <v>0</v>
      </c>
      <c r="W547" s="31">
        <f t="shared" ca="1" si="307"/>
        <v>0</v>
      </c>
      <c r="X547" s="163">
        <f t="shared" ca="1" si="323"/>
        <v>0</v>
      </c>
      <c r="Y547" s="163">
        <f t="shared" ca="1" si="324"/>
        <v>0</v>
      </c>
      <c r="Z547" s="163">
        <f t="shared" ca="1" si="317"/>
        <v>0</v>
      </c>
      <c r="AA547" s="163">
        <f t="shared" ca="1" si="325"/>
        <v>0</v>
      </c>
      <c r="AB547" s="84">
        <f t="shared" ca="1" si="308"/>
        <v>0</v>
      </c>
      <c r="AC547" s="160">
        <f t="shared" si="309"/>
        <v>0</v>
      </c>
      <c r="AD547" s="31">
        <f t="shared" ca="1" si="310"/>
        <v>0</v>
      </c>
      <c r="AF547" s="5"/>
      <c r="AG547" s="5"/>
      <c r="AS547" s="55">
        <f t="shared" si="318"/>
        <v>46</v>
      </c>
      <c r="AT547" s="56">
        <f t="shared" si="326"/>
        <v>544</v>
      </c>
      <c r="AU547" s="57">
        <f t="shared" si="330"/>
        <v>7.0340115772904388E-2</v>
      </c>
      <c r="AV547" s="58">
        <f t="shared" si="319"/>
        <v>4.8675505653430484E-3</v>
      </c>
      <c r="AW547" s="59">
        <f t="shared" si="320"/>
        <v>1.004867550565343</v>
      </c>
      <c r="AX547" s="60">
        <f>PRODUCT(AW$4:AW547)</f>
        <v>14.034573695310609</v>
      </c>
    </row>
    <row r="548" spans="5:50">
      <c r="E548">
        <f t="shared" si="328"/>
        <v>545</v>
      </c>
      <c r="F548" s="9">
        <f t="shared" si="321"/>
        <v>114.33333333333076</v>
      </c>
      <c r="G548" s="132">
        <f t="shared" si="301"/>
        <v>0</v>
      </c>
      <c r="H548" s="133">
        <f t="shared" si="327"/>
        <v>1</v>
      </c>
      <c r="I548" s="31">
        <f t="shared" si="311"/>
        <v>0</v>
      </c>
      <c r="J548" s="31">
        <f t="shared" si="302"/>
        <v>0</v>
      </c>
      <c r="K548" s="163">
        <f t="shared" si="303"/>
        <v>0</v>
      </c>
      <c r="L548" s="163">
        <f t="shared" si="312"/>
        <v>0</v>
      </c>
      <c r="M548" s="163">
        <f t="shared" si="329"/>
        <v>0</v>
      </c>
      <c r="N548" s="163">
        <f t="shared" si="313"/>
        <v>0</v>
      </c>
      <c r="O548" s="84">
        <f t="shared" si="304"/>
        <v>0</v>
      </c>
      <c r="P548" s="31">
        <f t="shared" si="305"/>
        <v>0</v>
      </c>
      <c r="R548">
        <f t="shared" ca="1" si="314"/>
        <v>665</v>
      </c>
      <c r="S548" s="133">
        <f t="shared" ca="1" si="315"/>
        <v>122.52</v>
      </c>
      <c r="T548" s="132">
        <f t="shared" ca="1" si="306"/>
        <v>0</v>
      </c>
      <c r="U548" s="133">
        <f t="shared" ca="1" si="322"/>
        <v>1.9008342029825436E-4</v>
      </c>
      <c r="V548" s="31">
        <f t="shared" ca="1" si="316"/>
        <v>0</v>
      </c>
      <c r="W548" s="31">
        <f t="shared" ca="1" si="307"/>
        <v>0</v>
      </c>
      <c r="X548" s="163">
        <f t="shared" ca="1" si="323"/>
        <v>0</v>
      </c>
      <c r="Y548" s="163">
        <f t="shared" ca="1" si="324"/>
        <v>0</v>
      </c>
      <c r="Z548" s="163">
        <f t="shared" ca="1" si="317"/>
        <v>0</v>
      </c>
      <c r="AA548" s="163">
        <f t="shared" ca="1" si="325"/>
        <v>0</v>
      </c>
      <c r="AB548" s="84">
        <f t="shared" ca="1" si="308"/>
        <v>0</v>
      </c>
      <c r="AC548" s="160">
        <f t="shared" si="309"/>
        <v>0</v>
      </c>
      <c r="AD548" s="31">
        <f t="shared" ca="1" si="310"/>
        <v>0</v>
      </c>
      <c r="AF548" s="5"/>
      <c r="AG548" s="5"/>
      <c r="AS548" s="55">
        <f t="shared" si="318"/>
        <v>46</v>
      </c>
      <c r="AT548" s="56">
        <f t="shared" si="326"/>
        <v>545</v>
      </c>
      <c r="AU548" s="57">
        <f t="shared" si="330"/>
        <v>6.9997731702607688E-2</v>
      </c>
      <c r="AV548" s="58">
        <f t="shared" si="319"/>
        <v>4.8675505653430484E-3</v>
      </c>
      <c r="AW548" s="59">
        <f t="shared" si="320"/>
        <v>1.004867550565343</v>
      </c>
      <c r="AX548" s="60">
        <f>PRODUCT(AW$4:AW548)</f>
        <v>14.102887692435568</v>
      </c>
    </row>
    <row r="549" spans="5:50">
      <c r="E549">
        <f t="shared" si="328"/>
        <v>546</v>
      </c>
      <c r="F549" s="9">
        <f t="shared" si="321"/>
        <v>114.41666666666409</v>
      </c>
      <c r="G549" s="132">
        <f t="shared" si="301"/>
        <v>0</v>
      </c>
      <c r="H549" s="133">
        <f t="shared" si="327"/>
        <v>1</v>
      </c>
      <c r="I549" s="31">
        <f t="shared" si="311"/>
        <v>0</v>
      </c>
      <c r="J549" s="31">
        <f t="shared" si="302"/>
        <v>0</v>
      </c>
      <c r="K549" s="163">
        <f t="shared" si="303"/>
        <v>0</v>
      </c>
      <c r="L549" s="163">
        <f t="shared" si="312"/>
        <v>0</v>
      </c>
      <c r="M549" s="163">
        <f t="shared" si="329"/>
        <v>0</v>
      </c>
      <c r="N549" s="163">
        <f t="shared" si="313"/>
        <v>0</v>
      </c>
      <c r="O549" s="84">
        <f t="shared" si="304"/>
        <v>0</v>
      </c>
      <c r="P549" s="31">
        <f t="shared" si="305"/>
        <v>0</v>
      </c>
      <c r="R549">
        <f t="shared" ca="1" si="314"/>
        <v>666</v>
      </c>
      <c r="S549" s="133">
        <f t="shared" ca="1" si="315"/>
        <v>122.6</v>
      </c>
      <c r="T549" s="132">
        <f t="shared" ca="1" si="306"/>
        <v>0</v>
      </c>
      <c r="U549" s="133">
        <f t="shared" ca="1" si="322"/>
        <v>1.9008342029825436E-4</v>
      </c>
      <c r="V549" s="31">
        <f t="shared" ca="1" si="316"/>
        <v>0</v>
      </c>
      <c r="W549" s="31">
        <f t="shared" ca="1" si="307"/>
        <v>0</v>
      </c>
      <c r="X549" s="163">
        <f t="shared" ca="1" si="323"/>
        <v>0</v>
      </c>
      <c r="Y549" s="163">
        <f t="shared" ca="1" si="324"/>
        <v>0</v>
      </c>
      <c r="Z549" s="163">
        <f t="shared" ca="1" si="317"/>
        <v>0</v>
      </c>
      <c r="AA549" s="163">
        <f t="shared" ca="1" si="325"/>
        <v>0</v>
      </c>
      <c r="AB549" s="84">
        <f t="shared" ca="1" si="308"/>
        <v>0</v>
      </c>
      <c r="AC549" s="160">
        <f t="shared" si="309"/>
        <v>0</v>
      </c>
      <c r="AD549" s="31">
        <f t="shared" ca="1" si="310"/>
        <v>0</v>
      </c>
      <c r="AF549" s="5"/>
      <c r="AG549" s="5"/>
      <c r="AS549" s="55">
        <f t="shared" si="318"/>
        <v>46</v>
      </c>
      <c r="AT549" s="56">
        <f t="shared" si="326"/>
        <v>546</v>
      </c>
      <c r="AU549" s="57">
        <f t="shared" si="330"/>
        <v>6.9657014204085932E-2</v>
      </c>
      <c r="AV549" s="58">
        <f t="shared" si="319"/>
        <v>4.8675505653430484E-3</v>
      </c>
      <c r="AW549" s="59">
        <f t="shared" si="320"/>
        <v>1.004867550565343</v>
      </c>
      <c r="AX549" s="60">
        <f>PRODUCT(AW$4:AW549)</f>
        <v>14.171534211395851</v>
      </c>
    </row>
    <row r="550" spans="5:50">
      <c r="E550">
        <f t="shared" si="328"/>
        <v>547</v>
      </c>
      <c r="F550" s="9">
        <f t="shared" si="321"/>
        <v>114.49999999999741</v>
      </c>
      <c r="G550" s="132">
        <f t="shared" si="301"/>
        <v>0</v>
      </c>
      <c r="H550" s="133">
        <f t="shared" si="327"/>
        <v>1</v>
      </c>
      <c r="I550" s="31">
        <f t="shared" si="311"/>
        <v>0</v>
      </c>
      <c r="J550" s="31">
        <f t="shared" si="302"/>
        <v>0</v>
      </c>
      <c r="K550" s="163">
        <f t="shared" si="303"/>
        <v>0</v>
      </c>
      <c r="L550" s="163">
        <f t="shared" si="312"/>
        <v>0</v>
      </c>
      <c r="M550" s="163">
        <f t="shared" si="329"/>
        <v>0</v>
      </c>
      <c r="N550" s="163">
        <f t="shared" si="313"/>
        <v>0</v>
      </c>
      <c r="O550" s="84">
        <f t="shared" si="304"/>
        <v>0</v>
      </c>
      <c r="P550" s="31">
        <f t="shared" si="305"/>
        <v>0</v>
      </c>
      <c r="R550">
        <f t="shared" ca="1" si="314"/>
        <v>667</v>
      </c>
      <c r="S550" s="133">
        <f t="shared" ca="1" si="315"/>
        <v>122.68</v>
      </c>
      <c r="T550" s="132">
        <f t="shared" ca="1" si="306"/>
        <v>0</v>
      </c>
      <c r="U550" s="133">
        <f t="shared" ca="1" si="322"/>
        <v>1.9008342029825436E-4</v>
      </c>
      <c r="V550" s="31">
        <f t="shared" ca="1" si="316"/>
        <v>0</v>
      </c>
      <c r="W550" s="31">
        <f t="shared" ca="1" si="307"/>
        <v>0</v>
      </c>
      <c r="X550" s="163">
        <f t="shared" ca="1" si="323"/>
        <v>0</v>
      </c>
      <c r="Y550" s="163">
        <f t="shared" ca="1" si="324"/>
        <v>0</v>
      </c>
      <c r="Z550" s="163">
        <f t="shared" ca="1" si="317"/>
        <v>0</v>
      </c>
      <c r="AA550" s="163">
        <f t="shared" ca="1" si="325"/>
        <v>0</v>
      </c>
      <c r="AB550" s="84">
        <f t="shared" ca="1" si="308"/>
        <v>0</v>
      </c>
      <c r="AC550" s="160">
        <f t="shared" si="309"/>
        <v>0</v>
      </c>
      <c r="AD550" s="31">
        <f t="shared" ca="1" si="310"/>
        <v>0</v>
      </c>
      <c r="AF550" s="5"/>
      <c r="AG550" s="5"/>
      <c r="AS550" s="55">
        <f t="shared" si="318"/>
        <v>46</v>
      </c>
      <c r="AT550" s="56">
        <f t="shared" si="326"/>
        <v>547</v>
      </c>
      <c r="AU550" s="57">
        <f t="shared" si="330"/>
        <v>6.931795516521673E-2</v>
      </c>
      <c r="AV550" s="58">
        <f t="shared" si="319"/>
        <v>4.8675505653430484E-3</v>
      </c>
      <c r="AW550" s="59">
        <f t="shared" si="320"/>
        <v>1.004867550565343</v>
      </c>
      <c r="AX550" s="60">
        <f>PRODUCT(AW$4:AW550)</f>
        <v>14.240514870758309</v>
      </c>
    </row>
    <row r="551" spans="5:50">
      <c r="E551">
        <f t="shared" si="328"/>
        <v>548</v>
      </c>
      <c r="F551" s="9">
        <f t="shared" si="321"/>
        <v>114.58333333333074</v>
      </c>
      <c r="G551" s="132">
        <f t="shared" si="301"/>
        <v>0</v>
      </c>
      <c r="H551" s="133">
        <f t="shared" si="327"/>
        <v>1</v>
      </c>
      <c r="I551" s="31">
        <f t="shared" si="311"/>
        <v>0</v>
      </c>
      <c r="J551" s="31">
        <f t="shared" si="302"/>
        <v>0</v>
      </c>
      <c r="K551" s="163">
        <f t="shared" si="303"/>
        <v>0</v>
      </c>
      <c r="L551" s="163">
        <f t="shared" si="312"/>
        <v>0</v>
      </c>
      <c r="M551" s="163">
        <f t="shared" si="329"/>
        <v>0</v>
      </c>
      <c r="N551" s="163">
        <f t="shared" si="313"/>
        <v>0</v>
      </c>
      <c r="O551" s="84">
        <f t="shared" si="304"/>
        <v>0</v>
      </c>
      <c r="P551" s="31">
        <f t="shared" si="305"/>
        <v>0</v>
      </c>
      <c r="R551">
        <f t="shared" ca="1" si="314"/>
        <v>668</v>
      </c>
      <c r="S551" s="133">
        <f t="shared" ca="1" si="315"/>
        <v>122.76</v>
      </c>
      <c r="T551" s="132">
        <f t="shared" ca="1" si="306"/>
        <v>0</v>
      </c>
      <c r="U551" s="133">
        <f t="shared" ca="1" si="322"/>
        <v>1.9008342029825436E-4</v>
      </c>
      <c r="V551" s="31">
        <f t="shared" ca="1" si="316"/>
        <v>0</v>
      </c>
      <c r="W551" s="31">
        <f t="shared" ca="1" si="307"/>
        <v>0</v>
      </c>
      <c r="X551" s="163">
        <f t="shared" ca="1" si="323"/>
        <v>0</v>
      </c>
      <c r="Y551" s="163">
        <f t="shared" ca="1" si="324"/>
        <v>0</v>
      </c>
      <c r="Z551" s="163">
        <f t="shared" ca="1" si="317"/>
        <v>0</v>
      </c>
      <c r="AA551" s="163">
        <f t="shared" ca="1" si="325"/>
        <v>0</v>
      </c>
      <c r="AB551" s="84">
        <f t="shared" ca="1" si="308"/>
        <v>0</v>
      </c>
      <c r="AC551" s="160">
        <f t="shared" si="309"/>
        <v>0</v>
      </c>
      <c r="AD551" s="31">
        <f t="shared" ca="1" si="310"/>
        <v>0</v>
      </c>
      <c r="AF551" s="5"/>
      <c r="AG551" s="5"/>
      <c r="AS551" s="55">
        <f t="shared" si="318"/>
        <v>46</v>
      </c>
      <c r="AT551" s="56">
        <f t="shared" si="326"/>
        <v>548</v>
      </c>
      <c r="AU551" s="57">
        <f t="shared" si="330"/>
        <v>6.8980546513363855E-2</v>
      </c>
      <c r="AV551" s="58">
        <f t="shared" si="319"/>
        <v>4.8675505653430484E-3</v>
      </c>
      <c r="AW551" s="59">
        <f t="shared" si="320"/>
        <v>1.004867550565343</v>
      </c>
      <c r="AX551" s="60">
        <f>PRODUCT(AW$4:AW551)</f>
        <v>14.309831296968245</v>
      </c>
    </row>
    <row r="552" spans="5:50">
      <c r="E552">
        <f t="shared" si="328"/>
        <v>549</v>
      </c>
      <c r="F552" s="9">
        <f t="shared" si="321"/>
        <v>114.66666666666407</v>
      </c>
      <c r="G552" s="132">
        <f t="shared" si="301"/>
        <v>0</v>
      </c>
      <c r="H552" s="133">
        <f t="shared" si="327"/>
        <v>1</v>
      </c>
      <c r="I552" s="31">
        <f t="shared" si="311"/>
        <v>0</v>
      </c>
      <c r="J552" s="31">
        <f t="shared" si="302"/>
        <v>0</v>
      </c>
      <c r="K552" s="163">
        <f t="shared" si="303"/>
        <v>0</v>
      </c>
      <c r="L552" s="163">
        <f t="shared" si="312"/>
        <v>0</v>
      </c>
      <c r="M552" s="163">
        <f t="shared" si="329"/>
        <v>0</v>
      </c>
      <c r="N552" s="163">
        <f t="shared" si="313"/>
        <v>0</v>
      </c>
      <c r="O552" s="84">
        <f t="shared" si="304"/>
        <v>0</v>
      </c>
      <c r="P552" s="31">
        <f t="shared" si="305"/>
        <v>0</v>
      </c>
      <c r="R552">
        <f t="shared" ca="1" si="314"/>
        <v>669</v>
      </c>
      <c r="S552" s="133">
        <f t="shared" ca="1" si="315"/>
        <v>122.84</v>
      </c>
      <c r="T552" s="132">
        <f t="shared" ca="1" si="306"/>
        <v>0</v>
      </c>
      <c r="U552" s="133">
        <f t="shared" ca="1" si="322"/>
        <v>1.9008342029825436E-4</v>
      </c>
      <c r="V552" s="31">
        <f t="shared" ca="1" si="316"/>
        <v>0</v>
      </c>
      <c r="W552" s="31">
        <f t="shared" ca="1" si="307"/>
        <v>0</v>
      </c>
      <c r="X552" s="163">
        <f t="shared" ca="1" si="323"/>
        <v>0</v>
      </c>
      <c r="Y552" s="163">
        <f t="shared" ca="1" si="324"/>
        <v>0</v>
      </c>
      <c r="Z552" s="163">
        <f t="shared" ca="1" si="317"/>
        <v>0</v>
      </c>
      <c r="AA552" s="163">
        <f t="shared" ca="1" si="325"/>
        <v>0</v>
      </c>
      <c r="AB552" s="84">
        <f t="shared" ca="1" si="308"/>
        <v>0</v>
      </c>
      <c r="AC552" s="160">
        <f t="shared" si="309"/>
        <v>0</v>
      </c>
      <c r="AD552" s="31">
        <f t="shared" ca="1" si="310"/>
        <v>0</v>
      </c>
      <c r="AF552" s="5"/>
      <c r="AG552" s="5"/>
      <c r="AS552" s="55">
        <f t="shared" si="318"/>
        <v>46</v>
      </c>
      <c r="AT552" s="56">
        <f t="shared" si="326"/>
        <v>549</v>
      </c>
      <c r="AU552" s="57">
        <f t="shared" si="330"/>
        <v>6.8644780215185053E-2</v>
      </c>
      <c r="AV552" s="58">
        <f t="shared" si="319"/>
        <v>4.8675505653430484E-3</v>
      </c>
      <c r="AW552" s="59">
        <f t="shared" si="320"/>
        <v>1.004867550565343</v>
      </c>
      <c r="AX552" s="60">
        <f>PRODUCT(AW$4:AW552)</f>
        <v>14.379485124387767</v>
      </c>
    </row>
    <row r="553" spans="5:50">
      <c r="E553">
        <f t="shared" si="328"/>
        <v>550</v>
      </c>
      <c r="F553" s="9">
        <f t="shared" si="321"/>
        <v>114.7499999999974</v>
      </c>
      <c r="G553" s="132">
        <f t="shared" si="301"/>
        <v>0</v>
      </c>
      <c r="H553" s="133">
        <f t="shared" si="327"/>
        <v>1</v>
      </c>
      <c r="I553" s="31">
        <f t="shared" si="311"/>
        <v>0</v>
      </c>
      <c r="J553" s="31">
        <f t="shared" si="302"/>
        <v>0</v>
      </c>
      <c r="K553" s="163">
        <f t="shared" si="303"/>
        <v>0</v>
      </c>
      <c r="L553" s="163">
        <f t="shared" si="312"/>
        <v>0</v>
      </c>
      <c r="M553" s="163">
        <f t="shared" si="329"/>
        <v>0</v>
      </c>
      <c r="N553" s="163">
        <f t="shared" si="313"/>
        <v>0</v>
      </c>
      <c r="O553" s="84">
        <f t="shared" si="304"/>
        <v>0</v>
      </c>
      <c r="P553" s="31">
        <f t="shared" si="305"/>
        <v>0</v>
      </c>
      <c r="R553">
        <f t="shared" ca="1" si="314"/>
        <v>670</v>
      </c>
      <c r="S553" s="133">
        <f t="shared" ca="1" si="315"/>
        <v>122.92</v>
      </c>
      <c r="T553" s="132">
        <f t="shared" ca="1" si="306"/>
        <v>0</v>
      </c>
      <c r="U553" s="133">
        <f t="shared" ca="1" si="322"/>
        <v>1.9008342029825436E-4</v>
      </c>
      <c r="V553" s="31">
        <f t="shared" ca="1" si="316"/>
        <v>0</v>
      </c>
      <c r="W553" s="31">
        <f t="shared" ca="1" si="307"/>
        <v>0</v>
      </c>
      <c r="X553" s="163">
        <f t="shared" ca="1" si="323"/>
        <v>0</v>
      </c>
      <c r="Y553" s="163">
        <f t="shared" ca="1" si="324"/>
        <v>0</v>
      </c>
      <c r="Z553" s="163">
        <f t="shared" ca="1" si="317"/>
        <v>0</v>
      </c>
      <c r="AA553" s="163">
        <f t="shared" ca="1" si="325"/>
        <v>0</v>
      </c>
      <c r="AB553" s="84">
        <f t="shared" ca="1" si="308"/>
        <v>0</v>
      </c>
      <c r="AC553" s="160">
        <f t="shared" si="309"/>
        <v>0</v>
      </c>
      <c r="AD553" s="31">
        <f t="shared" ca="1" si="310"/>
        <v>0</v>
      </c>
      <c r="AF553" s="5"/>
      <c r="AG553" s="5"/>
      <c r="AS553" s="55">
        <f t="shared" si="318"/>
        <v>46</v>
      </c>
      <c r="AT553" s="56">
        <f t="shared" si="326"/>
        <v>550</v>
      </c>
      <c r="AU553" s="57">
        <f t="shared" si="330"/>
        <v>6.8310648276440775E-2</v>
      </c>
      <c r="AV553" s="58">
        <f t="shared" si="319"/>
        <v>4.8675505653430484E-3</v>
      </c>
      <c r="AW553" s="59">
        <f t="shared" si="320"/>
        <v>1.004867550565343</v>
      </c>
      <c r="AX553" s="60">
        <f>PRODUCT(AW$4:AW553)</f>
        <v>14.449477995334322</v>
      </c>
    </row>
    <row r="554" spans="5:50">
      <c r="E554">
        <f t="shared" si="328"/>
        <v>551</v>
      </c>
      <c r="F554" s="9">
        <f t="shared" si="321"/>
        <v>114.83333333333073</v>
      </c>
      <c r="G554" s="132">
        <f t="shared" si="301"/>
        <v>0</v>
      </c>
      <c r="H554" s="133">
        <f t="shared" si="327"/>
        <v>1</v>
      </c>
      <c r="I554" s="31">
        <f t="shared" si="311"/>
        <v>0</v>
      </c>
      <c r="J554" s="31">
        <f t="shared" si="302"/>
        <v>0</v>
      </c>
      <c r="K554" s="163">
        <f t="shared" si="303"/>
        <v>0</v>
      </c>
      <c r="L554" s="163">
        <f t="shared" si="312"/>
        <v>0</v>
      </c>
      <c r="M554" s="163">
        <f t="shared" si="329"/>
        <v>0</v>
      </c>
      <c r="N554" s="163">
        <f t="shared" si="313"/>
        <v>0</v>
      </c>
      <c r="O554" s="84">
        <f t="shared" si="304"/>
        <v>0</v>
      </c>
      <c r="P554" s="31">
        <f t="shared" si="305"/>
        <v>0</v>
      </c>
      <c r="R554">
        <f t="shared" ca="1" si="314"/>
        <v>671</v>
      </c>
      <c r="S554" s="133">
        <f t="shared" ca="1" si="315"/>
        <v>123</v>
      </c>
      <c r="T554" s="132">
        <f t="shared" ca="1" si="306"/>
        <v>0</v>
      </c>
      <c r="U554" s="133">
        <f t="shared" ca="1" si="322"/>
        <v>1.9008342029825436E-4</v>
      </c>
      <c r="V554" s="31">
        <f t="shared" ca="1" si="316"/>
        <v>0</v>
      </c>
      <c r="W554" s="31">
        <f t="shared" ca="1" si="307"/>
        <v>0</v>
      </c>
      <c r="X554" s="163">
        <f t="shared" ca="1" si="323"/>
        <v>0</v>
      </c>
      <c r="Y554" s="163">
        <f t="shared" ca="1" si="324"/>
        <v>0</v>
      </c>
      <c r="Z554" s="163">
        <f t="shared" ca="1" si="317"/>
        <v>0</v>
      </c>
      <c r="AA554" s="163">
        <f t="shared" ca="1" si="325"/>
        <v>0</v>
      </c>
      <c r="AB554" s="84">
        <f t="shared" ca="1" si="308"/>
        <v>0</v>
      </c>
      <c r="AC554" s="160">
        <f t="shared" si="309"/>
        <v>0</v>
      </c>
      <c r="AD554" s="31">
        <f t="shared" ca="1" si="310"/>
        <v>0</v>
      </c>
      <c r="AF554" s="5"/>
      <c r="AG554" s="5"/>
      <c r="AS554" s="55">
        <f t="shared" si="318"/>
        <v>46</v>
      </c>
      <c r="AT554" s="56">
        <f t="shared" si="326"/>
        <v>551</v>
      </c>
      <c r="AU554" s="57">
        <f t="shared" si="330"/>
        <v>6.7978142741803832E-2</v>
      </c>
      <c r="AV554" s="58">
        <f t="shared" si="319"/>
        <v>4.8675505653430484E-3</v>
      </c>
      <c r="AW554" s="59">
        <f t="shared" si="320"/>
        <v>1.004867550565343</v>
      </c>
      <c r="AX554" s="60">
        <f>PRODUCT(AW$4:AW554)</f>
        <v>14.519811560119424</v>
      </c>
    </row>
    <row r="555" spans="5:50">
      <c r="E555">
        <f t="shared" si="328"/>
        <v>552</v>
      </c>
      <c r="F555" s="9">
        <f t="shared" si="321"/>
        <v>114.91666666666406</v>
      </c>
      <c r="G555" s="132">
        <f t="shared" si="301"/>
        <v>0</v>
      </c>
      <c r="H555" s="133">
        <f t="shared" si="327"/>
        <v>1</v>
      </c>
      <c r="I555" s="31">
        <f t="shared" si="311"/>
        <v>0</v>
      </c>
      <c r="J555" s="31">
        <f t="shared" si="302"/>
        <v>0</v>
      </c>
      <c r="K555" s="163">
        <f t="shared" si="303"/>
        <v>0</v>
      </c>
      <c r="L555" s="163">
        <f t="shared" si="312"/>
        <v>0</v>
      </c>
      <c r="M555" s="163">
        <f t="shared" si="329"/>
        <v>0</v>
      </c>
      <c r="N555" s="163">
        <f t="shared" si="313"/>
        <v>0</v>
      </c>
      <c r="O555" s="84">
        <f t="shared" si="304"/>
        <v>0</v>
      </c>
      <c r="P555" s="31">
        <f t="shared" si="305"/>
        <v>0</v>
      </c>
      <c r="R555">
        <f t="shared" ca="1" si="314"/>
        <v>672</v>
      </c>
      <c r="S555" s="133">
        <f t="shared" ca="1" si="315"/>
        <v>123.08</v>
      </c>
      <c r="T555" s="132">
        <f t="shared" ca="1" si="306"/>
        <v>0</v>
      </c>
      <c r="U555" s="133">
        <f t="shared" ca="1" si="322"/>
        <v>1.9008342029825436E-4</v>
      </c>
      <c r="V555" s="31">
        <f t="shared" ca="1" si="316"/>
        <v>0</v>
      </c>
      <c r="W555" s="31">
        <f t="shared" ca="1" si="307"/>
        <v>0</v>
      </c>
      <c r="X555" s="163">
        <f t="shared" ca="1" si="323"/>
        <v>0</v>
      </c>
      <c r="Y555" s="163">
        <f t="shared" ca="1" si="324"/>
        <v>0</v>
      </c>
      <c r="Z555" s="163">
        <f t="shared" ca="1" si="317"/>
        <v>0</v>
      </c>
      <c r="AA555" s="163">
        <f t="shared" ca="1" si="325"/>
        <v>0</v>
      </c>
      <c r="AB555" s="84">
        <f t="shared" ca="1" si="308"/>
        <v>0</v>
      </c>
      <c r="AC555" s="160">
        <f t="shared" si="309"/>
        <v>0</v>
      </c>
      <c r="AD555" s="31">
        <f t="shared" ca="1" si="310"/>
        <v>0</v>
      </c>
      <c r="AF555" s="5"/>
      <c r="AG555" s="5"/>
      <c r="AS555" s="55">
        <f t="shared" si="318"/>
        <v>46</v>
      </c>
      <c r="AT555" s="56">
        <f t="shared" si="326"/>
        <v>552</v>
      </c>
      <c r="AU555" s="57">
        <f t="shared" si="330"/>
        <v>6.7647255694669992E-2</v>
      </c>
      <c r="AV555" s="58">
        <f t="shared" si="319"/>
        <v>4.8675505653430484E-3</v>
      </c>
      <c r="AW555" s="59">
        <f t="shared" si="320"/>
        <v>1.004867550565343</v>
      </c>
      <c r="AX555" s="60">
        <f>PRODUCT(AW$4:AW555)</f>
        <v>14.590487477087557</v>
      </c>
    </row>
    <row r="556" spans="5:50">
      <c r="E556">
        <f t="shared" si="328"/>
        <v>553</v>
      </c>
      <c r="F556" s="9">
        <f t="shared" si="321"/>
        <v>114.99999999999739</v>
      </c>
      <c r="G556" s="132">
        <f t="shared" si="301"/>
        <v>0</v>
      </c>
      <c r="H556" s="133">
        <f t="shared" si="327"/>
        <v>1</v>
      </c>
      <c r="I556" s="31">
        <f t="shared" si="311"/>
        <v>0</v>
      </c>
      <c r="J556" s="31">
        <f t="shared" si="302"/>
        <v>0</v>
      </c>
      <c r="K556" s="163">
        <f t="shared" si="303"/>
        <v>0</v>
      </c>
      <c r="L556" s="163">
        <f t="shared" si="312"/>
        <v>0</v>
      </c>
      <c r="M556" s="163">
        <f t="shared" si="329"/>
        <v>0</v>
      </c>
      <c r="N556" s="163">
        <f t="shared" si="313"/>
        <v>0</v>
      </c>
      <c r="O556" s="84">
        <f t="shared" si="304"/>
        <v>0</v>
      </c>
      <c r="P556" s="31">
        <f t="shared" si="305"/>
        <v>0</v>
      </c>
      <c r="R556">
        <f t="shared" ca="1" si="314"/>
        <v>673</v>
      </c>
      <c r="S556" s="133">
        <f t="shared" ca="1" si="315"/>
        <v>123.16</v>
      </c>
      <c r="T556" s="132">
        <f t="shared" ca="1" si="306"/>
        <v>0</v>
      </c>
      <c r="U556" s="133">
        <f t="shared" ca="1" si="322"/>
        <v>1.9008342029825436E-4</v>
      </c>
      <c r="V556" s="31">
        <f t="shared" ca="1" si="316"/>
        <v>0</v>
      </c>
      <c r="W556" s="31">
        <f t="shared" ca="1" si="307"/>
        <v>0</v>
      </c>
      <c r="X556" s="163">
        <f t="shared" ca="1" si="323"/>
        <v>0</v>
      </c>
      <c r="Y556" s="163">
        <f t="shared" ca="1" si="324"/>
        <v>0</v>
      </c>
      <c r="Z556" s="163">
        <f t="shared" ca="1" si="317"/>
        <v>0</v>
      </c>
      <c r="AA556" s="163">
        <f t="shared" ca="1" si="325"/>
        <v>0</v>
      </c>
      <c r="AB556" s="84">
        <f t="shared" ca="1" si="308"/>
        <v>0</v>
      </c>
      <c r="AC556" s="160">
        <f t="shared" si="309"/>
        <v>0</v>
      </c>
      <c r="AD556" s="31">
        <f t="shared" ca="1" si="310"/>
        <v>0</v>
      </c>
      <c r="AF556" s="5"/>
      <c r="AG556" s="5"/>
      <c r="AS556" s="55">
        <f t="shared" si="318"/>
        <v>47</v>
      </c>
      <c r="AT556" s="56">
        <f t="shared" si="326"/>
        <v>553</v>
      </c>
      <c r="AU556" s="57">
        <f t="shared" si="330"/>
        <v>6.7317979256969501E-2</v>
      </c>
      <c r="AV556" s="58">
        <f t="shared" si="319"/>
        <v>4.8675505653430484E-3</v>
      </c>
      <c r="AW556" s="59">
        <f t="shared" si="320"/>
        <v>1.004867550565343</v>
      </c>
      <c r="AX556" s="60">
        <f>PRODUCT(AW$4:AW556)</f>
        <v>14.661507412655284</v>
      </c>
    </row>
    <row r="557" spans="5:50">
      <c r="E557">
        <f t="shared" si="328"/>
        <v>554</v>
      </c>
      <c r="F557" s="9">
        <f t="shared" si="321"/>
        <v>115.08333333333071</v>
      </c>
      <c r="G557" s="132">
        <f t="shared" si="301"/>
        <v>0</v>
      </c>
      <c r="H557" s="133">
        <f t="shared" si="327"/>
        <v>1</v>
      </c>
      <c r="I557" s="31">
        <f t="shared" si="311"/>
        <v>0</v>
      </c>
      <c r="J557" s="31">
        <f t="shared" si="302"/>
        <v>0</v>
      </c>
      <c r="K557" s="163">
        <f t="shared" si="303"/>
        <v>0</v>
      </c>
      <c r="L557" s="163">
        <f t="shared" si="312"/>
        <v>0</v>
      </c>
      <c r="M557" s="163">
        <f t="shared" si="329"/>
        <v>0</v>
      </c>
      <c r="N557" s="163">
        <f t="shared" si="313"/>
        <v>0</v>
      </c>
      <c r="O557" s="84">
        <f t="shared" si="304"/>
        <v>0</v>
      </c>
      <c r="P557" s="31">
        <f t="shared" si="305"/>
        <v>0</v>
      </c>
      <c r="R557">
        <f t="shared" ca="1" si="314"/>
        <v>674</v>
      </c>
      <c r="S557" s="133">
        <f t="shared" ca="1" si="315"/>
        <v>123.24</v>
      </c>
      <c r="T557" s="132">
        <f t="shared" ca="1" si="306"/>
        <v>0</v>
      </c>
      <c r="U557" s="133">
        <f t="shared" ca="1" si="322"/>
        <v>1.9008342029825436E-4</v>
      </c>
      <c r="V557" s="31">
        <f t="shared" ca="1" si="316"/>
        <v>0</v>
      </c>
      <c r="W557" s="31">
        <f t="shared" ca="1" si="307"/>
        <v>0</v>
      </c>
      <c r="X557" s="163">
        <f t="shared" ca="1" si="323"/>
        <v>0</v>
      </c>
      <c r="Y557" s="163">
        <f t="shared" ca="1" si="324"/>
        <v>0</v>
      </c>
      <c r="Z557" s="163">
        <f t="shared" ca="1" si="317"/>
        <v>0</v>
      </c>
      <c r="AA557" s="163">
        <f t="shared" ca="1" si="325"/>
        <v>0</v>
      </c>
      <c r="AB557" s="84">
        <f t="shared" ca="1" si="308"/>
        <v>0</v>
      </c>
      <c r="AC557" s="160">
        <f t="shared" si="309"/>
        <v>0</v>
      </c>
      <c r="AD557" s="31">
        <f t="shared" ca="1" si="310"/>
        <v>0</v>
      </c>
      <c r="AF557" s="5"/>
      <c r="AG557" s="5"/>
      <c r="AS557" s="55">
        <f t="shared" si="318"/>
        <v>47</v>
      </c>
      <c r="AT557" s="56">
        <f t="shared" si="326"/>
        <v>554</v>
      </c>
      <c r="AU557" s="57">
        <f t="shared" si="330"/>
        <v>6.699030558897949E-2</v>
      </c>
      <c r="AV557" s="58">
        <f t="shared" si="319"/>
        <v>4.8675505653430484E-3</v>
      </c>
      <c r="AW557" s="59">
        <f t="shared" si="320"/>
        <v>1.004867550565343</v>
      </c>
      <c r="AX557" s="60">
        <f>PRODUCT(AW$4:AW557)</f>
        <v>14.732873041350535</v>
      </c>
    </row>
    <row r="558" spans="5:50">
      <c r="E558">
        <f t="shared" si="328"/>
        <v>555</v>
      </c>
      <c r="F558" s="9">
        <f t="shared" si="321"/>
        <v>115.16666666666404</v>
      </c>
      <c r="G558" s="132">
        <f t="shared" si="301"/>
        <v>0</v>
      </c>
      <c r="H558" s="133">
        <f t="shared" si="327"/>
        <v>1</v>
      </c>
      <c r="I558" s="31">
        <f t="shared" si="311"/>
        <v>0</v>
      </c>
      <c r="J558" s="31">
        <f t="shared" si="302"/>
        <v>0</v>
      </c>
      <c r="K558" s="163">
        <f t="shared" si="303"/>
        <v>0</v>
      </c>
      <c r="L558" s="163">
        <f t="shared" si="312"/>
        <v>0</v>
      </c>
      <c r="M558" s="163">
        <f t="shared" si="329"/>
        <v>0</v>
      </c>
      <c r="N558" s="163">
        <f t="shared" si="313"/>
        <v>0</v>
      </c>
      <c r="O558" s="84">
        <f t="shared" si="304"/>
        <v>0</v>
      </c>
      <c r="P558" s="31">
        <f t="shared" si="305"/>
        <v>0</v>
      </c>
      <c r="R558">
        <f t="shared" ca="1" si="314"/>
        <v>675</v>
      </c>
      <c r="S558" s="133">
        <f t="shared" ca="1" si="315"/>
        <v>123.32</v>
      </c>
      <c r="T558" s="132">
        <f t="shared" ca="1" si="306"/>
        <v>0</v>
      </c>
      <c r="U558" s="133">
        <f t="shared" ca="1" si="322"/>
        <v>1.9008342029825436E-4</v>
      </c>
      <c r="V558" s="31">
        <f t="shared" ca="1" si="316"/>
        <v>0</v>
      </c>
      <c r="W558" s="31">
        <f t="shared" ca="1" si="307"/>
        <v>0</v>
      </c>
      <c r="X558" s="163">
        <f t="shared" ca="1" si="323"/>
        <v>0</v>
      </c>
      <c r="Y558" s="163">
        <f t="shared" ca="1" si="324"/>
        <v>0</v>
      </c>
      <c r="Z558" s="163">
        <f t="shared" ca="1" si="317"/>
        <v>0</v>
      </c>
      <c r="AA558" s="163">
        <f t="shared" ca="1" si="325"/>
        <v>0</v>
      </c>
      <c r="AB558" s="84">
        <f t="shared" ca="1" si="308"/>
        <v>0</v>
      </c>
      <c r="AC558" s="160">
        <f t="shared" si="309"/>
        <v>0</v>
      </c>
      <c r="AD558" s="31">
        <f t="shared" ca="1" si="310"/>
        <v>0</v>
      </c>
      <c r="AF558" s="5"/>
      <c r="AG558" s="5"/>
      <c r="AS558" s="55">
        <f t="shared" si="318"/>
        <v>47</v>
      </c>
      <c r="AT558" s="56">
        <f t="shared" si="326"/>
        <v>555</v>
      </c>
      <c r="AU558" s="57">
        <f t="shared" si="330"/>
        <v>6.6664226889137354E-2</v>
      </c>
      <c r="AV558" s="58">
        <f t="shared" si="319"/>
        <v>4.8675505653430484E-3</v>
      </c>
      <c r="AW558" s="59">
        <f t="shared" si="320"/>
        <v>1.004867550565343</v>
      </c>
      <c r="AX558" s="60">
        <f>PRODUCT(AW$4:AW558)</f>
        <v>14.804586045852089</v>
      </c>
    </row>
    <row r="559" spans="5:50">
      <c r="E559">
        <f t="shared" si="328"/>
        <v>556</v>
      </c>
      <c r="F559" s="9">
        <f t="shared" si="321"/>
        <v>115.24999999999737</v>
      </c>
      <c r="G559" s="132">
        <f t="shared" si="301"/>
        <v>0</v>
      </c>
      <c r="H559" s="133">
        <f t="shared" si="327"/>
        <v>1</v>
      </c>
      <c r="I559" s="31">
        <f t="shared" si="311"/>
        <v>0</v>
      </c>
      <c r="J559" s="31">
        <f t="shared" si="302"/>
        <v>0</v>
      </c>
      <c r="K559" s="163">
        <f t="shared" si="303"/>
        <v>0</v>
      </c>
      <c r="L559" s="163">
        <f t="shared" si="312"/>
        <v>0</v>
      </c>
      <c r="M559" s="163">
        <f t="shared" si="329"/>
        <v>0</v>
      </c>
      <c r="N559" s="163">
        <f t="shared" si="313"/>
        <v>0</v>
      </c>
      <c r="O559" s="84">
        <f t="shared" si="304"/>
        <v>0</v>
      </c>
      <c r="P559" s="31">
        <f t="shared" si="305"/>
        <v>0</v>
      </c>
      <c r="R559">
        <f t="shared" ca="1" si="314"/>
        <v>676</v>
      </c>
      <c r="S559" s="133">
        <f t="shared" ca="1" si="315"/>
        <v>123.4</v>
      </c>
      <c r="T559" s="132">
        <f t="shared" ca="1" si="306"/>
        <v>0</v>
      </c>
      <c r="U559" s="133">
        <f t="shared" ca="1" si="322"/>
        <v>1.9008342029825436E-4</v>
      </c>
      <c r="V559" s="31">
        <f t="shared" ca="1" si="316"/>
        <v>0</v>
      </c>
      <c r="W559" s="31">
        <f t="shared" ca="1" si="307"/>
        <v>0</v>
      </c>
      <c r="X559" s="163">
        <f t="shared" ca="1" si="323"/>
        <v>0</v>
      </c>
      <c r="Y559" s="163">
        <f t="shared" ca="1" si="324"/>
        <v>0</v>
      </c>
      <c r="Z559" s="163">
        <f t="shared" ca="1" si="317"/>
        <v>0</v>
      </c>
      <c r="AA559" s="163">
        <f t="shared" ca="1" si="325"/>
        <v>0</v>
      </c>
      <c r="AB559" s="84">
        <f t="shared" ca="1" si="308"/>
        <v>0</v>
      </c>
      <c r="AC559" s="160">
        <f t="shared" si="309"/>
        <v>0</v>
      </c>
      <c r="AD559" s="31">
        <f t="shared" ca="1" si="310"/>
        <v>0</v>
      </c>
      <c r="AF559" s="5"/>
      <c r="AG559" s="5"/>
      <c r="AS559" s="55">
        <f t="shared" si="318"/>
        <v>47</v>
      </c>
      <c r="AT559" s="56">
        <f t="shared" si="326"/>
        <v>556</v>
      </c>
      <c r="AU559" s="57">
        <f t="shared" si="330"/>
        <v>6.6339735393854973E-2</v>
      </c>
      <c r="AV559" s="58">
        <f t="shared" si="319"/>
        <v>4.8675505653430484E-3</v>
      </c>
      <c r="AW559" s="59">
        <f t="shared" si="320"/>
        <v>1.004867550565343</v>
      </c>
      <c r="AX559" s="60">
        <f>PRODUCT(AW$4:AW559)</f>
        <v>14.876648117029246</v>
      </c>
    </row>
    <row r="560" spans="5:50">
      <c r="E560">
        <f t="shared" si="328"/>
        <v>557</v>
      </c>
      <c r="F560" s="9">
        <f t="shared" si="321"/>
        <v>115.3333333333307</v>
      </c>
      <c r="G560" s="132">
        <f t="shared" si="301"/>
        <v>0</v>
      </c>
      <c r="H560" s="133">
        <f t="shared" si="327"/>
        <v>1</v>
      </c>
      <c r="I560" s="31">
        <f t="shared" si="311"/>
        <v>0</v>
      </c>
      <c r="J560" s="31">
        <f t="shared" si="302"/>
        <v>0</v>
      </c>
      <c r="K560" s="163">
        <f t="shared" si="303"/>
        <v>0</v>
      </c>
      <c r="L560" s="163">
        <f t="shared" si="312"/>
        <v>0</v>
      </c>
      <c r="M560" s="163">
        <f t="shared" si="329"/>
        <v>0</v>
      </c>
      <c r="N560" s="163">
        <f t="shared" si="313"/>
        <v>0</v>
      </c>
      <c r="O560" s="84">
        <f t="shared" si="304"/>
        <v>0</v>
      </c>
      <c r="P560" s="31">
        <f t="shared" si="305"/>
        <v>0</v>
      </c>
      <c r="R560">
        <f t="shared" ca="1" si="314"/>
        <v>677</v>
      </c>
      <c r="S560" s="133">
        <f t="shared" ca="1" si="315"/>
        <v>123.48</v>
      </c>
      <c r="T560" s="132">
        <f t="shared" ca="1" si="306"/>
        <v>0</v>
      </c>
      <c r="U560" s="133">
        <f t="shared" ca="1" si="322"/>
        <v>1.9008342029825436E-4</v>
      </c>
      <c r="V560" s="31">
        <f t="shared" ca="1" si="316"/>
        <v>0</v>
      </c>
      <c r="W560" s="31">
        <f t="shared" ca="1" si="307"/>
        <v>0</v>
      </c>
      <c r="X560" s="163">
        <f t="shared" ca="1" si="323"/>
        <v>0</v>
      </c>
      <c r="Y560" s="163">
        <f t="shared" ca="1" si="324"/>
        <v>0</v>
      </c>
      <c r="Z560" s="163">
        <f t="shared" ca="1" si="317"/>
        <v>0</v>
      </c>
      <c r="AA560" s="163">
        <f t="shared" ca="1" si="325"/>
        <v>0</v>
      </c>
      <c r="AB560" s="84">
        <f t="shared" ca="1" si="308"/>
        <v>0</v>
      </c>
      <c r="AC560" s="160">
        <f t="shared" si="309"/>
        <v>0</v>
      </c>
      <c r="AD560" s="31">
        <f t="shared" ca="1" si="310"/>
        <v>0</v>
      </c>
      <c r="AF560" s="5"/>
      <c r="AG560" s="5"/>
      <c r="AS560" s="55">
        <f t="shared" si="318"/>
        <v>47</v>
      </c>
      <c r="AT560" s="56">
        <f t="shared" si="326"/>
        <v>557</v>
      </c>
      <c r="AU560" s="57">
        <f t="shared" si="330"/>
        <v>6.6016823377333902E-2</v>
      </c>
      <c r="AV560" s="58">
        <f t="shared" si="319"/>
        <v>4.8675505653430484E-3</v>
      </c>
      <c r="AW560" s="59">
        <f t="shared" si="320"/>
        <v>1.004867550565343</v>
      </c>
      <c r="AX560" s="60">
        <f>PRODUCT(AW$4:AW560)</f>
        <v>14.949060953981702</v>
      </c>
    </row>
    <row r="561" spans="5:50">
      <c r="E561">
        <f t="shared" si="328"/>
        <v>558</v>
      </c>
      <c r="F561" s="9">
        <f t="shared" si="321"/>
        <v>115.41666666666403</v>
      </c>
      <c r="G561" s="132">
        <f t="shared" si="301"/>
        <v>0</v>
      </c>
      <c r="H561" s="133">
        <f t="shared" si="327"/>
        <v>1</v>
      </c>
      <c r="I561" s="31">
        <f t="shared" si="311"/>
        <v>0</v>
      </c>
      <c r="J561" s="31">
        <f t="shared" si="302"/>
        <v>0</v>
      </c>
      <c r="K561" s="163">
        <f t="shared" si="303"/>
        <v>0</v>
      </c>
      <c r="L561" s="163">
        <f t="shared" si="312"/>
        <v>0</v>
      </c>
      <c r="M561" s="163">
        <f t="shared" si="329"/>
        <v>0</v>
      </c>
      <c r="N561" s="163">
        <f t="shared" si="313"/>
        <v>0</v>
      </c>
      <c r="O561" s="84">
        <f t="shared" si="304"/>
        <v>0</v>
      </c>
      <c r="P561" s="31">
        <f t="shared" si="305"/>
        <v>0</v>
      </c>
      <c r="R561">
        <f t="shared" ca="1" si="314"/>
        <v>678</v>
      </c>
      <c r="S561" s="133">
        <f t="shared" ca="1" si="315"/>
        <v>123.56</v>
      </c>
      <c r="T561" s="132">
        <f t="shared" ca="1" si="306"/>
        <v>0</v>
      </c>
      <c r="U561" s="133">
        <f t="shared" ca="1" si="322"/>
        <v>1.9008342029825436E-4</v>
      </c>
      <c r="V561" s="31">
        <f t="shared" ca="1" si="316"/>
        <v>0</v>
      </c>
      <c r="W561" s="31">
        <f t="shared" ca="1" si="307"/>
        <v>0</v>
      </c>
      <c r="X561" s="163">
        <f t="shared" ca="1" si="323"/>
        <v>0</v>
      </c>
      <c r="Y561" s="163">
        <f t="shared" ca="1" si="324"/>
        <v>0</v>
      </c>
      <c r="Z561" s="163">
        <f t="shared" ca="1" si="317"/>
        <v>0</v>
      </c>
      <c r="AA561" s="163">
        <f t="shared" ca="1" si="325"/>
        <v>0</v>
      </c>
      <c r="AB561" s="84">
        <f t="shared" ca="1" si="308"/>
        <v>0</v>
      </c>
      <c r="AC561" s="160">
        <f t="shared" si="309"/>
        <v>0</v>
      </c>
      <c r="AD561" s="31">
        <f t="shared" ca="1" si="310"/>
        <v>0</v>
      </c>
      <c r="AF561" s="5"/>
      <c r="AG561" s="5"/>
      <c r="AS561" s="55">
        <f t="shared" si="318"/>
        <v>47</v>
      </c>
      <c r="AT561" s="56">
        <f t="shared" si="326"/>
        <v>558</v>
      </c>
      <c r="AU561" s="57">
        <f t="shared" si="330"/>
        <v>6.5695483151381406E-2</v>
      </c>
      <c r="AV561" s="58">
        <f t="shared" si="319"/>
        <v>4.8675505653430484E-3</v>
      </c>
      <c r="AW561" s="59">
        <f t="shared" si="320"/>
        <v>1.004867550565343</v>
      </c>
      <c r="AX561" s="60">
        <f>PRODUCT(AW$4:AW561)</f>
        <v>15.021826264079603</v>
      </c>
    </row>
    <row r="562" spans="5:50">
      <c r="E562">
        <f t="shared" si="328"/>
        <v>559</v>
      </c>
      <c r="F562" s="9">
        <f t="shared" si="321"/>
        <v>115.49999999999736</v>
      </c>
      <c r="G562" s="132">
        <f t="shared" si="301"/>
        <v>0</v>
      </c>
      <c r="H562" s="133">
        <f t="shared" si="327"/>
        <v>1</v>
      </c>
      <c r="I562" s="31">
        <f t="shared" si="311"/>
        <v>0</v>
      </c>
      <c r="J562" s="31">
        <f t="shared" si="302"/>
        <v>0</v>
      </c>
      <c r="K562" s="163">
        <f t="shared" si="303"/>
        <v>0</v>
      </c>
      <c r="L562" s="163">
        <f t="shared" si="312"/>
        <v>0</v>
      </c>
      <c r="M562" s="163">
        <f t="shared" si="329"/>
        <v>0</v>
      </c>
      <c r="N562" s="163">
        <f t="shared" si="313"/>
        <v>0</v>
      </c>
      <c r="O562" s="84">
        <f t="shared" si="304"/>
        <v>0</v>
      </c>
      <c r="P562" s="31">
        <f t="shared" si="305"/>
        <v>0</v>
      </c>
      <c r="R562">
        <f t="shared" ca="1" si="314"/>
        <v>679</v>
      </c>
      <c r="S562" s="133">
        <f t="shared" ca="1" si="315"/>
        <v>123.64</v>
      </c>
      <c r="T562" s="132">
        <f t="shared" ca="1" si="306"/>
        <v>0</v>
      </c>
      <c r="U562" s="133">
        <f t="shared" ca="1" si="322"/>
        <v>1.9008342029825436E-4</v>
      </c>
      <c r="V562" s="31">
        <f t="shared" ca="1" si="316"/>
        <v>0</v>
      </c>
      <c r="W562" s="31">
        <f t="shared" ca="1" si="307"/>
        <v>0</v>
      </c>
      <c r="X562" s="163">
        <f t="shared" ca="1" si="323"/>
        <v>0</v>
      </c>
      <c r="Y562" s="163">
        <f t="shared" ca="1" si="324"/>
        <v>0</v>
      </c>
      <c r="Z562" s="163">
        <f t="shared" ca="1" si="317"/>
        <v>0</v>
      </c>
      <c r="AA562" s="163">
        <f t="shared" ca="1" si="325"/>
        <v>0</v>
      </c>
      <c r="AB562" s="84">
        <f t="shared" ca="1" si="308"/>
        <v>0</v>
      </c>
      <c r="AC562" s="160">
        <f t="shared" si="309"/>
        <v>0</v>
      </c>
      <c r="AD562" s="31">
        <f t="shared" ca="1" si="310"/>
        <v>0</v>
      </c>
      <c r="AF562" s="5"/>
      <c r="AG562" s="5"/>
      <c r="AS562" s="55">
        <f t="shared" si="318"/>
        <v>47</v>
      </c>
      <c r="AT562" s="56">
        <f t="shared" si="326"/>
        <v>559</v>
      </c>
      <c r="AU562" s="57">
        <f t="shared" si="330"/>
        <v>6.5375707065227412E-2</v>
      </c>
      <c r="AV562" s="58">
        <f t="shared" si="319"/>
        <v>4.8675505653430484E-3</v>
      </c>
      <c r="AW562" s="59">
        <f t="shared" si="320"/>
        <v>1.004867550565343</v>
      </c>
      <c r="AX562" s="60">
        <f>PRODUCT(AW$4:AW562)</f>
        <v>15.094945763003809</v>
      </c>
    </row>
    <row r="563" spans="5:50">
      <c r="E563">
        <f t="shared" si="328"/>
        <v>560</v>
      </c>
      <c r="F563" s="9">
        <f t="shared" si="321"/>
        <v>115.58333333333069</v>
      </c>
      <c r="G563" s="132">
        <f t="shared" si="301"/>
        <v>0</v>
      </c>
      <c r="H563" s="133">
        <f t="shared" si="327"/>
        <v>1</v>
      </c>
      <c r="I563" s="31">
        <f t="shared" si="311"/>
        <v>0</v>
      </c>
      <c r="J563" s="31">
        <f t="shared" si="302"/>
        <v>0</v>
      </c>
      <c r="K563" s="163">
        <f t="shared" si="303"/>
        <v>0</v>
      </c>
      <c r="L563" s="163">
        <f t="shared" si="312"/>
        <v>0</v>
      </c>
      <c r="M563" s="163">
        <f t="shared" si="329"/>
        <v>0</v>
      </c>
      <c r="N563" s="163">
        <f t="shared" si="313"/>
        <v>0</v>
      </c>
      <c r="O563" s="84">
        <f t="shared" si="304"/>
        <v>0</v>
      </c>
      <c r="P563" s="31">
        <f t="shared" si="305"/>
        <v>0</v>
      </c>
      <c r="R563">
        <f t="shared" ca="1" si="314"/>
        <v>680</v>
      </c>
      <c r="S563" s="133">
        <f t="shared" ca="1" si="315"/>
        <v>123.72</v>
      </c>
      <c r="T563" s="132">
        <f t="shared" ca="1" si="306"/>
        <v>0</v>
      </c>
      <c r="U563" s="133">
        <f t="shared" ca="1" si="322"/>
        <v>1.9008342029825436E-4</v>
      </c>
      <c r="V563" s="31">
        <f t="shared" ca="1" si="316"/>
        <v>0</v>
      </c>
      <c r="W563" s="31">
        <f t="shared" ca="1" si="307"/>
        <v>0</v>
      </c>
      <c r="X563" s="163">
        <f t="shared" ca="1" si="323"/>
        <v>0</v>
      </c>
      <c r="Y563" s="163">
        <f t="shared" ca="1" si="324"/>
        <v>0</v>
      </c>
      <c r="Z563" s="163">
        <f t="shared" ca="1" si="317"/>
        <v>0</v>
      </c>
      <c r="AA563" s="163">
        <f t="shared" ca="1" si="325"/>
        <v>0</v>
      </c>
      <c r="AB563" s="84">
        <f t="shared" ca="1" si="308"/>
        <v>0</v>
      </c>
      <c r="AC563" s="160">
        <f t="shared" si="309"/>
        <v>0</v>
      </c>
      <c r="AD563" s="31">
        <f t="shared" ca="1" si="310"/>
        <v>0</v>
      </c>
      <c r="AF563" s="5"/>
      <c r="AG563" s="5"/>
      <c r="AS563" s="55">
        <f t="shared" si="318"/>
        <v>47</v>
      </c>
      <c r="AT563" s="56">
        <f t="shared" si="326"/>
        <v>560</v>
      </c>
      <c r="AU563" s="57">
        <f t="shared" si="330"/>
        <v>6.5057487505342362E-2</v>
      </c>
      <c r="AV563" s="58">
        <f t="shared" si="319"/>
        <v>4.8675505653430484E-3</v>
      </c>
      <c r="AW563" s="59">
        <f t="shared" si="320"/>
        <v>1.004867550565343</v>
      </c>
      <c r="AX563" s="60">
        <f>PRODUCT(AW$4:AW563)</f>
        <v>15.16842117478634</v>
      </c>
    </row>
    <row r="564" spans="5:50">
      <c r="E564">
        <f t="shared" si="328"/>
        <v>561</v>
      </c>
      <c r="F564" s="9">
        <f t="shared" si="321"/>
        <v>115.66666666666401</v>
      </c>
      <c r="G564" s="132">
        <f t="shared" si="301"/>
        <v>0</v>
      </c>
      <c r="H564" s="133">
        <f t="shared" si="327"/>
        <v>1</v>
      </c>
      <c r="I564" s="31">
        <f t="shared" si="311"/>
        <v>0</v>
      </c>
      <c r="J564" s="31">
        <f t="shared" si="302"/>
        <v>0</v>
      </c>
      <c r="K564" s="163">
        <f t="shared" si="303"/>
        <v>0</v>
      </c>
      <c r="L564" s="163">
        <f t="shared" si="312"/>
        <v>0</v>
      </c>
      <c r="M564" s="163">
        <f t="shared" si="329"/>
        <v>0</v>
      </c>
      <c r="N564" s="163">
        <f t="shared" si="313"/>
        <v>0</v>
      </c>
      <c r="O564" s="84">
        <f t="shared" si="304"/>
        <v>0</v>
      </c>
      <c r="P564" s="31">
        <f t="shared" si="305"/>
        <v>0</v>
      </c>
      <c r="R564">
        <f t="shared" ca="1" si="314"/>
        <v>681</v>
      </c>
      <c r="S564" s="133">
        <f t="shared" ca="1" si="315"/>
        <v>123.8</v>
      </c>
      <c r="T564" s="132">
        <f t="shared" ca="1" si="306"/>
        <v>0</v>
      </c>
      <c r="U564" s="133">
        <f t="shared" ca="1" si="322"/>
        <v>1.9008342029825436E-4</v>
      </c>
      <c r="V564" s="31">
        <f t="shared" ca="1" si="316"/>
        <v>0</v>
      </c>
      <c r="W564" s="31">
        <f t="shared" ca="1" si="307"/>
        <v>0</v>
      </c>
      <c r="X564" s="163">
        <f t="shared" ca="1" si="323"/>
        <v>0</v>
      </c>
      <c r="Y564" s="163">
        <f t="shared" ca="1" si="324"/>
        <v>0</v>
      </c>
      <c r="Z564" s="163">
        <f t="shared" ca="1" si="317"/>
        <v>0</v>
      </c>
      <c r="AA564" s="163">
        <f t="shared" ca="1" si="325"/>
        <v>0</v>
      </c>
      <c r="AB564" s="84">
        <f t="shared" ca="1" si="308"/>
        <v>0</v>
      </c>
      <c r="AC564" s="160">
        <f t="shared" si="309"/>
        <v>0</v>
      </c>
      <c r="AD564" s="31">
        <f t="shared" ca="1" si="310"/>
        <v>0</v>
      </c>
      <c r="AF564" s="5"/>
      <c r="AG564" s="5"/>
      <c r="AS564" s="55">
        <f t="shared" si="318"/>
        <v>47</v>
      </c>
      <c r="AT564" s="56">
        <f t="shared" si="326"/>
        <v>561</v>
      </c>
      <c r="AU564" s="57">
        <f t="shared" si="330"/>
        <v>6.4740816895255932E-2</v>
      </c>
      <c r="AV564" s="58">
        <f t="shared" si="319"/>
        <v>4.8675505653430484E-3</v>
      </c>
      <c r="AW564" s="59">
        <f t="shared" si="320"/>
        <v>1.004867550565343</v>
      </c>
      <c r="AX564" s="60">
        <f>PRODUCT(AW$4:AW564)</f>
        <v>15.242254231851033</v>
      </c>
    </row>
    <row r="565" spans="5:50">
      <c r="E565">
        <f t="shared" si="328"/>
        <v>562</v>
      </c>
      <c r="F565" s="9">
        <f t="shared" si="321"/>
        <v>115.74999999999734</v>
      </c>
      <c r="G565" s="132">
        <f t="shared" si="301"/>
        <v>0</v>
      </c>
      <c r="H565" s="133">
        <f t="shared" si="327"/>
        <v>1</v>
      </c>
      <c r="I565" s="31">
        <f t="shared" si="311"/>
        <v>0</v>
      </c>
      <c r="J565" s="31">
        <f t="shared" si="302"/>
        <v>0</v>
      </c>
      <c r="K565" s="163">
        <f t="shared" si="303"/>
        <v>0</v>
      </c>
      <c r="L565" s="163">
        <f t="shared" si="312"/>
        <v>0</v>
      </c>
      <c r="M565" s="163">
        <f t="shared" si="329"/>
        <v>0</v>
      </c>
      <c r="N565" s="163">
        <f t="shared" si="313"/>
        <v>0</v>
      </c>
      <c r="O565" s="84">
        <f t="shared" si="304"/>
        <v>0</v>
      </c>
      <c r="P565" s="31">
        <f t="shared" si="305"/>
        <v>0</v>
      </c>
      <c r="R565">
        <f t="shared" ca="1" si="314"/>
        <v>682</v>
      </c>
      <c r="S565" s="133">
        <f t="shared" ca="1" si="315"/>
        <v>123.88</v>
      </c>
      <c r="T565" s="132">
        <f t="shared" ca="1" si="306"/>
        <v>0</v>
      </c>
      <c r="U565" s="133">
        <f t="shared" ca="1" si="322"/>
        <v>1.9008342029825436E-4</v>
      </c>
      <c r="V565" s="31">
        <f t="shared" ca="1" si="316"/>
        <v>0</v>
      </c>
      <c r="W565" s="31">
        <f t="shared" ca="1" si="307"/>
        <v>0</v>
      </c>
      <c r="X565" s="163">
        <f t="shared" ca="1" si="323"/>
        <v>0</v>
      </c>
      <c r="Y565" s="163">
        <f t="shared" ca="1" si="324"/>
        <v>0</v>
      </c>
      <c r="Z565" s="163">
        <f t="shared" ca="1" si="317"/>
        <v>0</v>
      </c>
      <c r="AA565" s="163">
        <f t="shared" ca="1" si="325"/>
        <v>0</v>
      </c>
      <c r="AB565" s="84">
        <f t="shared" ca="1" si="308"/>
        <v>0</v>
      </c>
      <c r="AC565" s="160">
        <f t="shared" si="309"/>
        <v>0</v>
      </c>
      <c r="AD565" s="31">
        <f t="shared" ca="1" si="310"/>
        <v>0</v>
      </c>
      <c r="AF565" s="5"/>
      <c r="AG565" s="5"/>
      <c r="AS565" s="55">
        <f t="shared" si="318"/>
        <v>47</v>
      </c>
      <c r="AT565" s="56">
        <f t="shared" si="326"/>
        <v>562</v>
      </c>
      <c r="AU565" s="57">
        <f t="shared" si="330"/>
        <v>6.4425687695376654E-2</v>
      </c>
      <c r="AV565" s="58">
        <f t="shared" si="319"/>
        <v>4.8675505653430484E-3</v>
      </c>
      <c r="AW565" s="59">
        <f t="shared" si="320"/>
        <v>1.004867550565343</v>
      </c>
      <c r="AX565" s="60">
        <f>PRODUCT(AW$4:AW565)</f>
        <v>15.316446675054383</v>
      </c>
    </row>
    <row r="566" spans="5:50">
      <c r="E566">
        <f t="shared" si="328"/>
        <v>563</v>
      </c>
      <c r="F566" s="9">
        <f t="shared" si="321"/>
        <v>115.83333333333067</v>
      </c>
      <c r="G566" s="132">
        <f t="shared" si="301"/>
        <v>0</v>
      </c>
      <c r="H566" s="133">
        <f t="shared" si="327"/>
        <v>1</v>
      </c>
      <c r="I566" s="31">
        <f t="shared" si="311"/>
        <v>0</v>
      </c>
      <c r="J566" s="31">
        <f t="shared" si="302"/>
        <v>0</v>
      </c>
      <c r="K566" s="163">
        <f t="shared" si="303"/>
        <v>0</v>
      </c>
      <c r="L566" s="163">
        <f t="shared" si="312"/>
        <v>0</v>
      </c>
      <c r="M566" s="163">
        <f t="shared" si="329"/>
        <v>0</v>
      </c>
      <c r="N566" s="163">
        <f t="shared" si="313"/>
        <v>0</v>
      </c>
      <c r="O566" s="84">
        <f t="shared" si="304"/>
        <v>0</v>
      </c>
      <c r="P566" s="31">
        <f t="shared" si="305"/>
        <v>0</v>
      </c>
      <c r="R566">
        <f t="shared" ca="1" si="314"/>
        <v>683</v>
      </c>
      <c r="S566" s="133">
        <f t="shared" ca="1" si="315"/>
        <v>123.96</v>
      </c>
      <c r="T566" s="132">
        <f t="shared" ca="1" si="306"/>
        <v>0</v>
      </c>
      <c r="U566" s="133">
        <f t="shared" ca="1" si="322"/>
        <v>1.9008342029825436E-4</v>
      </c>
      <c r="V566" s="31">
        <f t="shared" ca="1" si="316"/>
        <v>0</v>
      </c>
      <c r="W566" s="31">
        <f t="shared" ca="1" si="307"/>
        <v>0</v>
      </c>
      <c r="X566" s="163">
        <f t="shared" ca="1" si="323"/>
        <v>0</v>
      </c>
      <c r="Y566" s="163">
        <f t="shared" ca="1" si="324"/>
        <v>0</v>
      </c>
      <c r="Z566" s="163">
        <f t="shared" ca="1" si="317"/>
        <v>0</v>
      </c>
      <c r="AA566" s="163">
        <f t="shared" ca="1" si="325"/>
        <v>0</v>
      </c>
      <c r="AB566" s="84">
        <f t="shared" ca="1" si="308"/>
        <v>0</v>
      </c>
      <c r="AC566" s="160">
        <f t="shared" si="309"/>
        <v>0</v>
      </c>
      <c r="AD566" s="31">
        <f t="shared" ca="1" si="310"/>
        <v>0</v>
      </c>
      <c r="AF566" s="5"/>
      <c r="AG566" s="5"/>
      <c r="AS566" s="55">
        <f t="shared" si="318"/>
        <v>47</v>
      </c>
      <c r="AT566" s="56">
        <f t="shared" si="326"/>
        <v>563</v>
      </c>
      <c r="AU566" s="57">
        <f t="shared" si="330"/>
        <v>6.4112092402812404E-2</v>
      </c>
      <c r="AV566" s="58">
        <f t="shared" si="319"/>
        <v>4.8675505653430484E-3</v>
      </c>
      <c r="AW566" s="59">
        <f t="shared" si="320"/>
        <v>1.004867550565343</v>
      </c>
      <c r="AX566" s="60">
        <f>PRODUCT(AW$4:AW566)</f>
        <v>15.39100025372659</v>
      </c>
    </row>
    <row r="567" spans="5:50">
      <c r="E567">
        <f t="shared" si="328"/>
        <v>564</v>
      </c>
      <c r="F567" s="9">
        <f t="shared" si="321"/>
        <v>115.916666666664</v>
      </c>
      <c r="G567" s="132">
        <f t="shared" si="301"/>
        <v>0</v>
      </c>
      <c r="H567" s="133">
        <f t="shared" si="327"/>
        <v>1</v>
      </c>
      <c r="I567" s="31">
        <f t="shared" si="311"/>
        <v>0</v>
      </c>
      <c r="J567" s="31">
        <f t="shared" si="302"/>
        <v>0</v>
      </c>
      <c r="K567" s="163">
        <f t="shared" si="303"/>
        <v>0</v>
      </c>
      <c r="L567" s="163">
        <f t="shared" si="312"/>
        <v>0</v>
      </c>
      <c r="M567" s="163">
        <f t="shared" si="329"/>
        <v>0</v>
      </c>
      <c r="N567" s="163">
        <f t="shared" si="313"/>
        <v>0</v>
      </c>
      <c r="O567" s="84">
        <f t="shared" si="304"/>
        <v>0</v>
      </c>
      <c r="P567" s="31">
        <f t="shared" si="305"/>
        <v>0</v>
      </c>
      <c r="R567">
        <f t="shared" ca="1" si="314"/>
        <v>684</v>
      </c>
      <c r="S567" s="133">
        <f t="shared" ca="1" si="315"/>
        <v>124.04</v>
      </c>
      <c r="T567" s="132">
        <f t="shared" ca="1" si="306"/>
        <v>0</v>
      </c>
      <c r="U567" s="133">
        <f t="shared" ca="1" si="322"/>
        <v>1.9008342029825436E-4</v>
      </c>
      <c r="V567" s="31">
        <f t="shared" ca="1" si="316"/>
        <v>0</v>
      </c>
      <c r="W567" s="31">
        <f t="shared" ca="1" si="307"/>
        <v>0</v>
      </c>
      <c r="X567" s="163">
        <f t="shared" ca="1" si="323"/>
        <v>0</v>
      </c>
      <c r="Y567" s="163">
        <f t="shared" ca="1" si="324"/>
        <v>0</v>
      </c>
      <c r="Z567" s="163">
        <f t="shared" ca="1" si="317"/>
        <v>0</v>
      </c>
      <c r="AA567" s="163">
        <f t="shared" ca="1" si="325"/>
        <v>0</v>
      </c>
      <c r="AB567" s="84">
        <f t="shared" ca="1" si="308"/>
        <v>0</v>
      </c>
      <c r="AC567" s="160">
        <f t="shared" si="309"/>
        <v>0</v>
      </c>
      <c r="AD567" s="31">
        <f t="shared" ca="1" si="310"/>
        <v>0</v>
      </c>
      <c r="AF567" s="5"/>
      <c r="AG567" s="5"/>
      <c r="AS567" s="55">
        <f t="shared" si="318"/>
        <v>47</v>
      </c>
      <c r="AT567" s="56">
        <f t="shared" si="326"/>
        <v>564</v>
      </c>
      <c r="AU567" s="57">
        <f t="shared" si="330"/>
        <v>6.380002355119177E-2</v>
      </c>
      <c r="AV567" s="58">
        <f t="shared" si="319"/>
        <v>4.8675505653430484E-3</v>
      </c>
      <c r="AW567" s="59">
        <f t="shared" si="320"/>
        <v>1.004867550565343</v>
      </c>
      <c r="AX567" s="60">
        <f>PRODUCT(AW$4:AW567)</f>
        <v>15.465916725712813</v>
      </c>
    </row>
    <row r="568" spans="5:50">
      <c r="E568">
        <f t="shared" si="328"/>
        <v>565</v>
      </c>
      <c r="F568" s="9">
        <f t="shared" si="321"/>
        <v>115.99999999999733</v>
      </c>
      <c r="G568" s="132">
        <f t="shared" si="301"/>
        <v>0</v>
      </c>
      <c r="H568" s="133">
        <f t="shared" si="327"/>
        <v>1</v>
      </c>
      <c r="I568" s="31">
        <f t="shared" si="311"/>
        <v>0</v>
      </c>
      <c r="J568" s="31">
        <f t="shared" si="302"/>
        <v>0</v>
      </c>
      <c r="K568" s="163">
        <f t="shared" si="303"/>
        <v>0</v>
      </c>
      <c r="L568" s="163">
        <f t="shared" si="312"/>
        <v>0</v>
      </c>
      <c r="M568" s="163">
        <f t="shared" si="329"/>
        <v>0</v>
      </c>
      <c r="N568" s="163">
        <f t="shared" si="313"/>
        <v>0</v>
      </c>
      <c r="O568" s="84">
        <f t="shared" si="304"/>
        <v>0</v>
      </c>
      <c r="P568" s="31">
        <f t="shared" si="305"/>
        <v>0</v>
      </c>
      <c r="R568">
        <f t="shared" ca="1" si="314"/>
        <v>685</v>
      </c>
      <c r="S568" s="133">
        <f t="shared" ca="1" si="315"/>
        <v>124.12</v>
      </c>
      <c r="T568" s="132">
        <f t="shared" ca="1" si="306"/>
        <v>0</v>
      </c>
      <c r="U568" s="133">
        <f t="shared" ca="1" si="322"/>
        <v>1.9008342029825436E-4</v>
      </c>
      <c r="V568" s="31">
        <f t="shared" ca="1" si="316"/>
        <v>0</v>
      </c>
      <c r="W568" s="31">
        <f t="shared" ca="1" si="307"/>
        <v>0</v>
      </c>
      <c r="X568" s="163">
        <f t="shared" ca="1" si="323"/>
        <v>0</v>
      </c>
      <c r="Y568" s="163">
        <f t="shared" ca="1" si="324"/>
        <v>0</v>
      </c>
      <c r="Z568" s="163">
        <f t="shared" ca="1" si="317"/>
        <v>0</v>
      </c>
      <c r="AA568" s="163">
        <f t="shared" ca="1" si="325"/>
        <v>0</v>
      </c>
      <c r="AB568" s="84">
        <f t="shared" ca="1" si="308"/>
        <v>0</v>
      </c>
      <c r="AC568" s="160">
        <f t="shared" si="309"/>
        <v>0</v>
      </c>
      <c r="AD568" s="31">
        <f t="shared" ca="1" si="310"/>
        <v>0</v>
      </c>
      <c r="AF568" s="5"/>
      <c r="AG568" s="5"/>
      <c r="AS568" s="55">
        <f t="shared" si="318"/>
        <v>48</v>
      </c>
      <c r="AT568" s="56">
        <f t="shared" si="326"/>
        <v>565</v>
      </c>
      <c r="AU568" s="57">
        <f t="shared" si="330"/>
        <v>6.3489473710486272E-2</v>
      </c>
      <c r="AV568" s="58">
        <f t="shared" si="319"/>
        <v>4.8675505653430484E-3</v>
      </c>
      <c r="AW568" s="59">
        <f t="shared" si="320"/>
        <v>1.004867550565343</v>
      </c>
      <c r="AX568" s="60">
        <f>PRODUCT(AW$4:AW568)</f>
        <v>15.541197857414604</v>
      </c>
    </row>
    <row r="569" spans="5:50">
      <c r="E569">
        <f t="shared" si="328"/>
        <v>566</v>
      </c>
      <c r="F569" s="9">
        <f t="shared" si="321"/>
        <v>116.08333333333066</v>
      </c>
      <c r="G569" s="132">
        <f t="shared" si="301"/>
        <v>0</v>
      </c>
      <c r="H569" s="133">
        <f t="shared" si="327"/>
        <v>1</v>
      </c>
      <c r="I569" s="31">
        <f t="shared" si="311"/>
        <v>0</v>
      </c>
      <c r="J569" s="31">
        <f t="shared" si="302"/>
        <v>0</v>
      </c>
      <c r="K569" s="163">
        <f t="shared" si="303"/>
        <v>0</v>
      </c>
      <c r="L569" s="163">
        <f t="shared" si="312"/>
        <v>0</v>
      </c>
      <c r="M569" s="163">
        <f t="shared" si="329"/>
        <v>0</v>
      </c>
      <c r="N569" s="163">
        <f t="shared" si="313"/>
        <v>0</v>
      </c>
      <c r="O569" s="84">
        <f t="shared" si="304"/>
        <v>0</v>
      </c>
      <c r="P569" s="31">
        <f t="shared" si="305"/>
        <v>0</v>
      </c>
      <c r="R569">
        <f t="shared" ca="1" si="314"/>
        <v>686</v>
      </c>
      <c r="S569" s="133">
        <f t="shared" ca="1" si="315"/>
        <v>124.2</v>
      </c>
      <c r="T569" s="132">
        <f t="shared" ca="1" si="306"/>
        <v>0</v>
      </c>
      <c r="U569" s="133">
        <f t="shared" ca="1" si="322"/>
        <v>1.9008342029825436E-4</v>
      </c>
      <c r="V569" s="31">
        <f t="shared" ca="1" si="316"/>
        <v>0</v>
      </c>
      <c r="W569" s="31">
        <f t="shared" ca="1" si="307"/>
        <v>0</v>
      </c>
      <c r="X569" s="163">
        <f t="shared" ca="1" si="323"/>
        <v>0</v>
      </c>
      <c r="Y569" s="163">
        <f t="shared" ca="1" si="324"/>
        <v>0</v>
      </c>
      <c r="Z569" s="163">
        <f t="shared" ca="1" si="317"/>
        <v>0</v>
      </c>
      <c r="AA569" s="163">
        <f t="shared" ca="1" si="325"/>
        <v>0</v>
      </c>
      <c r="AB569" s="84">
        <f t="shared" ca="1" si="308"/>
        <v>0</v>
      </c>
      <c r="AC569" s="160">
        <f t="shared" si="309"/>
        <v>0</v>
      </c>
      <c r="AD569" s="31">
        <f t="shared" ca="1" si="310"/>
        <v>0</v>
      </c>
      <c r="AF569" s="5"/>
      <c r="AG569" s="5"/>
      <c r="AS569" s="55">
        <f t="shared" si="318"/>
        <v>48</v>
      </c>
      <c r="AT569" s="56">
        <f t="shared" si="326"/>
        <v>566</v>
      </c>
      <c r="AU569" s="57">
        <f t="shared" si="330"/>
        <v>6.3180435486833456E-2</v>
      </c>
      <c r="AV569" s="58">
        <f t="shared" si="319"/>
        <v>4.8675505653430484E-3</v>
      </c>
      <c r="AW569" s="59">
        <f t="shared" si="320"/>
        <v>1.004867550565343</v>
      </c>
      <c r="AX569" s="60">
        <f>PRODUCT(AW$4:AW569)</f>
        <v>15.61684542383157</v>
      </c>
    </row>
    <row r="570" spans="5:50">
      <c r="E570">
        <f t="shared" si="328"/>
        <v>567</v>
      </c>
      <c r="F570" s="9">
        <f t="shared" si="321"/>
        <v>116.16666666666399</v>
      </c>
      <c r="G570" s="132">
        <f t="shared" si="301"/>
        <v>0</v>
      </c>
      <c r="H570" s="133">
        <f t="shared" si="327"/>
        <v>1</v>
      </c>
      <c r="I570" s="31">
        <f t="shared" si="311"/>
        <v>0</v>
      </c>
      <c r="J570" s="31">
        <f t="shared" si="302"/>
        <v>0</v>
      </c>
      <c r="K570" s="163">
        <f t="shared" si="303"/>
        <v>0</v>
      </c>
      <c r="L570" s="163">
        <f t="shared" si="312"/>
        <v>0</v>
      </c>
      <c r="M570" s="163">
        <f t="shared" si="329"/>
        <v>0</v>
      </c>
      <c r="N570" s="163">
        <f t="shared" si="313"/>
        <v>0</v>
      </c>
      <c r="O570" s="84">
        <f t="shared" si="304"/>
        <v>0</v>
      </c>
      <c r="P570" s="31">
        <f t="shared" si="305"/>
        <v>0</v>
      </c>
      <c r="R570">
        <f t="shared" ca="1" si="314"/>
        <v>687</v>
      </c>
      <c r="S570" s="133">
        <f t="shared" ca="1" si="315"/>
        <v>124.28</v>
      </c>
      <c r="T570" s="132">
        <f t="shared" ca="1" si="306"/>
        <v>0</v>
      </c>
      <c r="U570" s="133">
        <f t="shared" ca="1" si="322"/>
        <v>1.9008342029825436E-4</v>
      </c>
      <c r="V570" s="31">
        <f t="shared" ca="1" si="316"/>
        <v>0</v>
      </c>
      <c r="W570" s="31">
        <f t="shared" ca="1" si="307"/>
        <v>0</v>
      </c>
      <c r="X570" s="163">
        <f t="shared" ca="1" si="323"/>
        <v>0</v>
      </c>
      <c r="Y570" s="163">
        <f t="shared" ca="1" si="324"/>
        <v>0</v>
      </c>
      <c r="Z570" s="163">
        <f t="shared" ca="1" si="317"/>
        <v>0</v>
      </c>
      <c r="AA570" s="163">
        <f t="shared" ca="1" si="325"/>
        <v>0</v>
      </c>
      <c r="AB570" s="84">
        <f t="shared" ca="1" si="308"/>
        <v>0</v>
      </c>
      <c r="AC570" s="160">
        <f t="shared" si="309"/>
        <v>0</v>
      </c>
      <c r="AD570" s="31">
        <f t="shared" ca="1" si="310"/>
        <v>0</v>
      </c>
      <c r="AF570" s="5"/>
      <c r="AG570" s="5"/>
      <c r="AS570" s="55">
        <f t="shared" si="318"/>
        <v>48</v>
      </c>
      <c r="AT570" s="56">
        <f t="shared" si="326"/>
        <v>567</v>
      </c>
      <c r="AU570" s="57">
        <f t="shared" si="330"/>
        <v>6.2872901522360899E-2</v>
      </c>
      <c r="AV570" s="58">
        <f t="shared" si="319"/>
        <v>4.8675505653430484E-3</v>
      </c>
      <c r="AW570" s="59">
        <f t="shared" si="320"/>
        <v>1.004867550565343</v>
      </c>
      <c r="AX570" s="60">
        <f>PRODUCT(AW$4:AW570)</f>
        <v>15.692861208603217</v>
      </c>
    </row>
    <row r="571" spans="5:50">
      <c r="E571">
        <f t="shared" si="328"/>
        <v>568</v>
      </c>
      <c r="F571" s="9">
        <f t="shared" si="321"/>
        <v>116.24999999999731</v>
      </c>
      <c r="G571" s="132">
        <f t="shared" si="301"/>
        <v>0</v>
      </c>
      <c r="H571" s="133">
        <f t="shared" si="327"/>
        <v>1</v>
      </c>
      <c r="I571" s="31">
        <f t="shared" si="311"/>
        <v>0</v>
      </c>
      <c r="J571" s="31">
        <f t="shared" si="302"/>
        <v>0</v>
      </c>
      <c r="K571" s="163">
        <f t="shared" si="303"/>
        <v>0</v>
      </c>
      <c r="L571" s="163">
        <f t="shared" si="312"/>
        <v>0</v>
      </c>
      <c r="M571" s="163">
        <f t="shared" si="329"/>
        <v>0</v>
      </c>
      <c r="N571" s="163">
        <f t="shared" si="313"/>
        <v>0</v>
      </c>
      <c r="O571" s="84">
        <f t="shared" si="304"/>
        <v>0</v>
      </c>
      <c r="P571" s="31">
        <f t="shared" si="305"/>
        <v>0</v>
      </c>
      <c r="R571">
        <f t="shared" ca="1" si="314"/>
        <v>688</v>
      </c>
      <c r="S571" s="133">
        <f t="shared" ca="1" si="315"/>
        <v>124.36</v>
      </c>
      <c r="T571" s="132">
        <f t="shared" ca="1" si="306"/>
        <v>0</v>
      </c>
      <c r="U571" s="133">
        <f t="shared" ca="1" si="322"/>
        <v>1.9008342029825436E-4</v>
      </c>
      <c r="V571" s="31">
        <f t="shared" ca="1" si="316"/>
        <v>0</v>
      </c>
      <c r="W571" s="31">
        <f t="shared" ca="1" si="307"/>
        <v>0</v>
      </c>
      <c r="X571" s="163">
        <f t="shared" ca="1" si="323"/>
        <v>0</v>
      </c>
      <c r="Y571" s="163">
        <f t="shared" ca="1" si="324"/>
        <v>0</v>
      </c>
      <c r="Z571" s="163">
        <f t="shared" ca="1" si="317"/>
        <v>0</v>
      </c>
      <c r="AA571" s="163">
        <f t="shared" ca="1" si="325"/>
        <v>0</v>
      </c>
      <c r="AB571" s="84">
        <f t="shared" ca="1" si="308"/>
        <v>0</v>
      </c>
      <c r="AC571" s="160">
        <f t="shared" si="309"/>
        <v>0</v>
      </c>
      <c r="AD571" s="31">
        <f t="shared" ca="1" si="310"/>
        <v>0</v>
      </c>
      <c r="AF571" s="5"/>
      <c r="AG571" s="5"/>
      <c r="AS571" s="55">
        <f t="shared" si="318"/>
        <v>48</v>
      </c>
      <c r="AT571" s="56">
        <f t="shared" si="326"/>
        <v>568</v>
      </c>
      <c r="AU571" s="57">
        <f t="shared" si="330"/>
        <v>6.2566864495010976E-2</v>
      </c>
      <c r="AV571" s="58">
        <f t="shared" si="319"/>
        <v>4.8675505653430484E-3</v>
      </c>
      <c r="AW571" s="59">
        <f t="shared" si="320"/>
        <v>1.004867550565343</v>
      </c>
      <c r="AX571" s="60">
        <f>PRODUCT(AW$4:AW571)</f>
        <v>15.769247004051003</v>
      </c>
    </row>
    <row r="572" spans="5:50">
      <c r="E572">
        <f t="shared" si="328"/>
        <v>569</v>
      </c>
      <c r="F572" s="9">
        <f t="shared" si="321"/>
        <v>116.33333333333064</v>
      </c>
      <c r="G572" s="132">
        <f t="shared" si="301"/>
        <v>0</v>
      </c>
      <c r="H572" s="133">
        <f t="shared" si="327"/>
        <v>1</v>
      </c>
      <c r="I572" s="31">
        <f t="shared" si="311"/>
        <v>0</v>
      </c>
      <c r="J572" s="31">
        <f t="shared" si="302"/>
        <v>0</v>
      </c>
      <c r="K572" s="163">
        <f t="shared" si="303"/>
        <v>0</v>
      </c>
      <c r="L572" s="163">
        <f t="shared" si="312"/>
        <v>0</v>
      </c>
      <c r="M572" s="163">
        <f t="shared" si="329"/>
        <v>0</v>
      </c>
      <c r="N572" s="163">
        <f t="shared" si="313"/>
        <v>0</v>
      </c>
      <c r="O572" s="84">
        <f t="shared" si="304"/>
        <v>0</v>
      </c>
      <c r="P572" s="31">
        <f t="shared" si="305"/>
        <v>0</v>
      </c>
      <c r="R572">
        <f t="shared" ca="1" si="314"/>
        <v>689</v>
      </c>
      <c r="S572" s="133">
        <f t="shared" ca="1" si="315"/>
        <v>124.44</v>
      </c>
      <c r="T572" s="132">
        <f t="shared" ca="1" si="306"/>
        <v>0</v>
      </c>
      <c r="U572" s="133">
        <f t="shared" ca="1" si="322"/>
        <v>1.9008342029825436E-4</v>
      </c>
      <c r="V572" s="31">
        <f t="shared" ca="1" si="316"/>
        <v>0</v>
      </c>
      <c r="W572" s="31">
        <f t="shared" ca="1" si="307"/>
        <v>0</v>
      </c>
      <c r="X572" s="163">
        <f t="shared" ca="1" si="323"/>
        <v>0</v>
      </c>
      <c r="Y572" s="163">
        <f t="shared" ca="1" si="324"/>
        <v>0</v>
      </c>
      <c r="Z572" s="163">
        <f t="shared" ca="1" si="317"/>
        <v>0</v>
      </c>
      <c r="AA572" s="163">
        <f t="shared" ca="1" si="325"/>
        <v>0</v>
      </c>
      <c r="AB572" s="84">
        <f t="shared" ca="1" si="308"/>
        <v>0</v>
      </c>
      <c r="AC572" s="160">
        <f t="shared" si="309"/>
        <v>0</v>
      </c>
      <c r="AD572" s="31">
        <f t="shared" ca="1" si="310"/>
        <v>0</v>
      </c>
      <c r="AF572" s="5"/>
      <c r="AG572" s="5"/>
      <c r="AS572" s="55">
        <f t="shared" si="318"/>
        <v>48</v>
      </c>
      <c r="AT572" s="56">
        <f t="shared" si="326"/>
        <v>569</v>
      </c>
      <c r="AU572" s="57">
        <f t="shared" si="330"/>
        <v>6.2262317118366543E-2</v>
      </c>
      <c r="AV572" s="58">
        <f t="shared" si="319"/>
        <v>4.8675505653430484E-3</v>
      </c>
      <c r="AW572" s="59">
        <f t="shared" si="320"/>
        <v>1.004867550565343</v>
      </c>
      <c r="AX572" s="60">
        <f>PRODUCT(AW$4:AW572)</f>
        <v>15.846004611220605</v>
      </c>
    </row>
    <row r="573" spans="5:50">
      <c r="E573">
        <f t="shared" si="328"/>
        <v>570</v>
      </c>
      <c r="F573" s="9">
        <f t="shared" si="321"/>
        <v>116.41666666666397</v>
      </c>
      <c r="G573" s="132">
        <f t="shared" si="301"/>
        <v>0</v>
      </c>
      <c r="H573" s="133">
        <f t="shared" si="327"/>
        <v>1</v>
      </c>
      <c r="I573" s="31">
        <f t="shared" si="311"/>
        <v>0</v>
      </c>
      <c r="J573" s="31">
        <f t="shared" si="302"/>
        <v>0</v>
      </c>
      <c r="K573" s="163">
        <f t="shared" si="303"/>
        <v>0</v>
      </c>
      <c r="L573" s="163">
        <f t="shared" si="312"/>
        <v>0</v>
      </c>
      <c r="M573" s="163">
        <f t="shared" si="329"/>
        <v>0</v>
      </c>
      <c r="N573" s="163">
        <f t="shared" si="313"/>
        <v>0</v>
      </c>
      <c r="O573" s="84">
        <f t="shared" si="304"/>
        <v>0</v>
      </c>
      <c r="P573" s="31">
        <f t="shared" si="305"/>
        <v>0</v>
      </c>
      <c r="R573">
        <f t="shared" ca="1" si="314"/>
        <v>690</v>
      </c>
      <c r="S573" s="133">
        <f t="shared" ca="1" si="315"/>
        <v>124.52</v>
      </c>
      <c r="T573" s="132">
        <f t="shared" ca="1" si="306"/>
        <v>0</v>
      </c>
      <c r="U573" s="133">
        <f t="shared" ca="1" si="322"/>
        <v>1.9008342029825436E-4</v>
      </c>
      <c r="V573" s="31">
        <f t="shared" ca="1" si="316"/>
        <v>0</v>
      </c>
      <c r="W573" s="31">
        <f t="shared" ca="1" si="307"/>
        <v>0</v>
      </c>
      <c r="X573" s="163">
        <f t="shared" ca="1" si="323"/>
        <v>0</v>
      </c>
      <c r="Y573" s="163">
        <f t="shared" ca="1" si="324"/>
        <v>0</v>
      </c>
      <c r="Z573" s="163">
        <f t="shared" ca="1" si="317"/>
        <v>0</v>
      </c>
      <c r="AA573" s="163">
        <f t="shared" ca="1" si="325"/>
        <v>0</v>
      </c>
      <c r="AB573" s="84">
        <f t="shared" ca="1" si="308"/>
        <v>0</v>
      </c>
      <c r="AC573" s="160">
        <f t="shared" si="309"/>
        <v>0</v>
      </c>
      <c r="AD573" s="31">
        <f t="shared" ca="1" si="310"/>
        <v>0</v>
      </c>
      <c r="AF573" s="5"/>
      <c r="AG573" s="5"/>
      <c r="AS573" s="55">
        <f t="shared" si="318"/>
        <v>48</v>
      </c>
      <c r="AT573" s="56">
        <f t="shared" si="326"/>
        <v>570</v>
      </c>
      <c r="AU573" s="57">
        <f t="shared" si="330"/>
        <v>6.1959252141477468E-2</v>
      </c>
      <c r="AV573" s="58">
        <f t="shared" si="319"/>
        <v>4.8675505653430484E-3</v>
      </c>
      <c r="AW573" s="59">
        <f t="shared" si="320"/>
        <v>1.004867550565343</v>
      </c>
      <c r="AX573" s="60">
        <f>PRODUCT(AW$4:AW573)</f>
        <v>15.923135839924381</v>
      </c>
    </row>
    <row r="574" spans="5:50">
      <c r="E574">
        <f t="shared" si="328"/>
        <v>571</v>
      </c>
      <c r="F574" s="9">
        <f t="shared" si="321"/>
        <v>116.4999999999973</v>
      </c>
      <c r="G574" s="132">
        <f t="shared" si="301"/>
        <v>0</v>
      </c>
      <c r="H574" s="133">
        <f t="shared" si="327"/>
        <v>1</v>
      </c>
      <c r="I574" s="31">
        <f t="shared" si="311"/>
        <v>0</v>
      </c>
      <c r="J574" s="31">
        <f t="shared" si="302"/>
        <v>0</v>
      </c>
      <c r="K574" s="163">
        <f t="shared" si="303"/>
        <v>0</v>
      </c>
      <c r="L574" s="163">
        <f t="shared" si="312"/>
        <v>0</v>
      </c>
      <c r="M574" s="163">
        <f t="shared" si="329"/>
        <v>0</v>
      </c>
      <c r="N574" s="163">
        <f t="shared" si="313"/>
        <v>0</v>
      </c>
      <c r="O574" s="84">
        <f t="shared" si="304"/>
        <v>0</v>
      </c>
      <c r="P574" s="31">
        <f t="shared" si="305"/>
        <v>0</v>
      </c>
      <c r="R574">
        <f t="shared" ca="1" si="314"/>
        <v>691</v>
      </c>
      <c r="S574" s="133">
        <f t="shared" ca="1" si="315"/>
        <v>124.6</v>
      </c>
      <c r="T574" s="132">
        <f t="shared" ca="1" si="306"/>
        <v>0</v>
      </c>
      <c r="U574" s="133">
        <f t="shared" ca="1" si="322"/>
        <v>1.9008342029825436E-4</v>
      </c>
      <c r="V574" s="31">
        <f t="shared" ca="1" si="316"/>
        <v>0</v>
      </c>
      <c r="W574" s="31">
        <f t="shared" ca="1" si="307"/>
        <v>0</v>
      </c>
      <c r="X574" s="163">
        <f t="shared" ca="1" si="323"/>
        <v>0</v>
      </c>
      <c r="Y574" s="163">
        <f t="shared" ca="1" si="324"/>
        <v>0</v>
      </c>
      <c r="Z574" s="163">
        <f t="shared" ca="1" si="317"/>
        <v>0</v>
      </c>
      <c r="AA574" s="163">
        <f t="shared" ca="1" si="325"/>
        <v>0</v>
      </c>
      <c r="AB574" s="84">
        <f t="shared" ca="1" si="308"/>
        <v>0</v>
      </c>
      <c r="AC574" s="160">
        <f t="shared" si="309"/>
        <v>0</v>
      </c>
      <c r="AD574" s="31">
        <f t="shared" ca="1" si="310"/>
        <v>0</v>
      </c>
      <c r="AF574" s="5"/>
      <c r="AG574" s="5"/>
      <c r="AS574" s="55">
        <f t="shared" si="318"/>
        <v>48</v>
      </c>
      <c r="AT574" s="56">
        <f t="shared" si="326"/>
        <v>571</v>
      </c>
      <c r="AU574" s="57">
        <f t="shared" si="330"/>
        <v>6.165766234868799E-2</v>
      </c>
      <c r="AV574" s="58">
        <f t="shared" si="319"/>
        <v>4.8675505653430484E-3</v>
      </c>
      <c r="AW574" s="59">
        <f t="shared" si="320"/>
        <v>1.004867550565343</v>
      </c>
      <c r="AX574" s="60">
        <f>PRODUCT(AW$4:AW574)</f>
        <v>16.00064250878404</v>
      </c>
    </row>
    <row r="575" spans="5:50">
      <c r="E575">
        <f t="shared" si="328"/>
        <v>572</v>
      </c>
      <c r="F575" s="9">
        <f t="shared" si="321"/>
        <v>116.58333333333063</v>
      </c>
      <c r="G575" s="132">
        <f t="shared" si="301"/>
        <v>0</v>
      </c>
      <c r="H575" s="133">
        <f t="shared" si="327"/>
        <v>1</v>
      </c>
      <c r="I575" s="31">
        <f t="shared" si="311"/>
        <v>0</v>
      </c>
      <c r="J575" s="31">
        <f t="shared" si="302"/>
        <v>0</v>
      </c>
      <c r="K575" s="163">
        <f t="shared" si="303"/>
        <v>0</v>
      </c>
      <c r="L575" s="163">
        <f t="shared" si="312"/>
        <v>0</v>
      </c>
      <c r="M575" s="163">
        <f t="shared" si="329"/>
        <v>0</v>
      </c>
      <c r="N575" s="163">
        <f t="shared" si="313"/>
        <v>0</v>
      </c>
      <c r="O575" s="84">
        <f t="shared" si="304"/>
        <v>0</v>
      </c>
      <c r="P575" s="31">
        <f t="shared" si="305"/>
        <v>0</v>
      </c>
      <c r="R575">
        <f t="shared" ca="1" si="314"/>
        <v>692</v>
      </c>
      <c r="S575" s="133">
        <f t="shared" ca="1" si="315"/>
        <v>124.68</v>
      </c>
      <c r="T575" s="132">
        <f t="shared" ca="1" si="306"/>
        <v>0</v>
      </c>
      <c r="U575" s="133">
        <f t="shared" ca="1" si="322"/>
        <v>1.9008342029825436E-4</v>
      </c>
      <c r="V575" s="31">
        <f t="shared" ca="1" si="316"/>
        <v>0</v>
      </c>
      <c r="W575" s="31">
        <f t="shared" ca="1" si="307"/>
        <v>0</v>
      </c>
      <c r="X575" s="163">
        <f t="shared" ca="1" si="323"/>
        <v>0</v>
      </c>
      <c r="Y575" s="163">
        <f t="shared" ca="1" si="324"/>
        <v>0</v>
      </c>
      <c r="Z575" s="163">
        <f t="shared" ca="1" si="317"/>
        <v>0</v>
      </c>
      <c r="AA575" s="163">
        <f t="shared" ca="1" si="325"/>
        <v>0</v>
      </c>
      <c r="AB575" s="84">
        <f t="shared" ca="1" si="308"/>
        <v>0</v>
      </c>
      <c r="AC575" s="160">
        <f t="shared" si="309"/>
        <v>0</v>
      </c>
      <c r="AD575" s="31">
        <f t="shared" ca="1" si="310"/>
        <v>0</v>
      </c>
      <c r="AF575" s="5"/>
      <c r="AG575" s="5"/>
      <c r="AS575" s="55">
        <f t="shared" si="318"/>
        <v>48</v>
      </c>
      <c r="AT575" s="56">
        <f t="shared" si="326"/>
        <v>572</v>
      </c>
      <c r="AU575" s="57">
        <f t="shared" si="330"/>
        <v>6.13575405594649E-2</v>
      </c>
      <c r="AV575" s="58">
        <f t="shared" si="319"/>
        <v>4.8675505653430484E-3</v>
      </c>
      <c r="AW575" s="59">
        <f t="shared" si="320"/>
        <v>1.004867550565343</v>
      </c>
      <c r="AX575" s="60">
        <f>PRODUCT(AW$4:AW575)</f>
        <v>16.078526445273525</v>
      </c>
    </row>
    <row r="576" spans="5:50">
      <c r="E576">
        <f t="shared" si="328"/>
        <v>573</v>
      </c>
      <c r="F576" s="9">
        <f t="shared" si="321"/>
        <v>116.66666666666396</v>
      </c>
      <c r="G576" s="132">
        <f t="shared" si="301"/>
        <v>0</v>
      </c>
      <c r="H576" s="133">
        <f t="shared" si="327"/>
        <v>1</v>
      </c>
      <c r="I576" s="31">
        <f t="shared" si="311"/>
        <v>0</v>
      </c>
      <c r="J576" s="31">
        <f t="shared" si="302"/>
        <v>0</v>
      </c>
      <c r="K576" s="163">
        <f t="shared" si="303"/>
        <v>0</v>
      </c>
      <c r="L576" s="163">
        <f t="shared" si="312"/>
        <v>0</v>
      </c>
      <c r="M576" s="163">
        <f t="shared" si="329"/>
        <v>0</v>
      </c>
      <c r="N576" s="163">
        <f t="shared" si="313"/>
        <v>0</v>
      </c>
      <c r="O576" s="84">
        <f t="shared" si="304"/>
        <v>0</v>
      </c>
      <c r="P576" s="31">
        <f t="shared" si="305"/>
        <v>0</v>
      </c>
      <c r="R576">
        <f t="shared" ca="1" si="314"/>
        <v>693</v>
      </c>
      <c r="S576" s="133">
        <f t="shared" ca="1" si="315"/>
        <v>124.76</v>
      </c>
      <c r="T576" s="132">
        <f t="shared" ca="1" si="306"/>
        <v>0</v>
      </c>
      <c r="U576" s="133">
        <f t="shared" ca="1" si="322"/>
        <v>1.9008342029825436E-4</v>
      </c>
      <c r="V576" s="31">
        <f t="shared" ca="1" si="316"/>
        <v>0</v>
      </c>
      <c r="W576" s="31">
        <f t="shared" ca="1" si="307"/>
        <v>0</v>
      </c>
      <c r="X576" s="163">
        <f t="shared" ca="1" si="323"/>
        <v>0</v>
      </c>
      <c r="Y576" s="163">
        <f t="shared" ca="1" si="324"/>
        <v>0</v>
      </c>
      <c r="Z576" s="163">
        <f t="shared" ca="1" si="317"/>
        <v>0</v>
      </c>
      <c r="AA576" s="163">
        <f t="shared" ca="1" si="325"/>
        <v>0</v>
      </c>
      <c r="AB576" s="84">
        <f t="shared" ca="1" si="308"/>
        <v>0</v>
      </c>
      <c r="AC576" s="160">
        <f t="shared" si="309"/>
        <v>0</v>
      </c>
      <c r="AD576" s="31">
        <f t="shared" ca="1" si="310"/>
        <v>0</v>
      </c>
      <c r="AF576" s="5"/>
      <c r="AG576" s="5"/>
      <c r="AS576" s="55">
        <f t="shared" si="318"/>
        <v>48</v>
      </c>
      <c r="AT576" s="56">
        <f t="shared" si="326"/>
        <v>573</v>
      </c>
      <c r="AU576" s="57">
        <f t="shared" si="330"/>
        <v>6.105887962822662E-2</v>
      </c>
      <c r="AV576" s="58">
        <f t="shared" si="319"/>
        <v>4.8675505653430484E-3</v>
      </c>
      <c r="AW576" s="59">
        <f t="shared" si="320"/>
        <v>1.004867550565343</v>
      </c>
      <c r="AX576" s="60">
        <f>PRODUCT(AW$4:AW576)</f>
        <v>16.156789485762101</v>
      </c>
    </row>
    <row r="577" spans="5:50">
      <c r="E577">
        <f t="shared" si="328"/>
        <v>574</v>
      </c>
      <c r="F577" s="9">
        <f t="shared" si="321"/>
        <v>116.74999999999729</v>
      </c>
      <c r="G577" s="132">
        <f t="shared" si="301"/>
        <v>0</v>
      </c>
      <c r="H577" s="133">
        <f t="shared" si="327"/>
        <v>1</v>
      </c>
      <c r="I577" s="31">
        <f t="shared" si="311"/>
        <v>0</v>
      </c>
      <c r="J577" s="31">
        <f t="shared" si="302"/>
        <v>0</v>
      </c>
      <c r="K577" s="163">
        <f t="shared" si="303"/>
        <v>0</v>
      </c>
      <c r="L577" s="163">
        <f t="shared" si="312"/>
        <v>0</v>
      </c>
      <c r="M577" s="163">
        <f t="shared" si="329"/>
        <v>0</v>
      </c>
      <c r="N577" s="163">
        <f t="shared" si="313"/>
        <v>0</v>
      </c>
      <c r="O577" s="84">
        <f t="shared" si="304"/>
        <v>0</v>
      </c>
      <c r="P577" s="31">
        <f t="shared" si="305"/>
        <v>0</v>
      </c>
      <c r="R577">
        <f t="shared" ca="1" si="314"/>
        <v>694</v>
      </c>
      <c r="S577" s="133">
        <f t="shared" ca="1" si="315"/>
        <v>124.84</v>
      </c>
      <c r="T577" s="132">
        <f t="shared" ca="1" si="306"/>
        <v>0</v>
      </c>
      <c r="U577" s="133">
        <f t="shared" ca="1" si="322"/>
        <v>1.9008342029825436E-4</v>
      </c>
      <c r="V577" s="31">
        <f t="shared" ca="1" si="316"/>
        <v>0</v>
      </c>
      <c r="W577" s="31">
        <f t="shared" ca="1" si="307"/>
        <v>0</v>
      </c>
      <c r="X577" s="163">
        <f t="shared" ca="1" si="323"/>
        <v>0</v>
      </c>
      <c r="Y577" s="163">
        <f t="shared" ca="1" si="324"/>
        <v>0</v>
      </c>
      <c r="Z577" s="163">
        <f t="shared" ca="1" si="317"/>
        <v>0</v>
      </c>
      <c r="AA577" s="163">
        <f t="shared" ca="1" si="325"/>
        <v>0</v>
      </c>
      <c r="AB577" s="84">
        <f t="shared" ca="1" si="308"/>
        <v>0</v>
      </c>
      <c r="AC577" s="160">
        <f t="shared" si="309"/>
        <v>0</v>
      </c>
      <c r="AD577" s="31">
        <f t="shared" ca="1" si="310"/>
        <v>0</v>
      </c>
      <c r="AF577" s="5"/>
      <c r="AG577" s="5"/>
      <c r="AS577" s="55">
        <f t="shared" si="318"/>
        <v>48</v>
      </c>
      <c r="AT577" s="56">
        <f t="shared" si="326"/>
        <v>574</v>
      </c>
      <c r="AU577" s="57">
        <f t="shared" si="330"/>
        <v>6.0761672444173034E-2</v>
      </c>
      <c r="AV577" s="58">
        <f t="shared" si="319"/>
        <v>4.8675505653430484E-3</v>
      </c>
      <c r="AW577" s="59">
        <f t="shared" si="320"/>
        <v>1.004867550565343</v>
      </c>
      <c r="AX577" s="60">
        <f>PRODUCT(AW$4:AW577)</f>
        <v>16.235433475557649</v>
      </c>
    </row>
    <row r="578" spans="5:50">
      <c r="E578">
        <f t="shared" si="328"/>
        <v>575</v>
      </c>
      <c r="F578" s="9">
        <f t="shared" si="321"/>
        <v>116.83333333333061</v>
      </c>
      <c r="G578" s="132">
        <f t="shared" si="301"/>
        <v>0</v>
      </c>
      <c r="H578" s="133">
        <f t="shared" si="327"/>
        <v>1</v>
      </c>
      <c r="I578" s="31">
        <f t="shared" si="311"/>
        <v>0</v>
      </c>
      <c r="J578" s="31">
        <f t="shared" si="302"/>
        <v>0</v>
      </c>
      <c r="K578" s="163">
        <f t="shared" si="303"/>
        <v>0</v>
      </c>
      <c r="L578" s="163">
        <f t="shared" si="312"/>
        <v>0</v>
      </c>
      <c r="M578" s="163">
        <f t="shared" si="329"/>
        <v>0</v>
      </c>
      <c r="N578" s="163">
        <f t="shared" si="313"/>
        <v>0</v>
      </c>
      <c r="O578" s="84">
        <f t="shared" si="304"/>
        <v>0</v>
      </c>
      <c r="P578" s="31">
        <f t="shared" si="305"/>
        <v>0</v>
      </c>
      <c r="R578">
        <f t="shared" ca="1" si="314"/>
        <v>695</v>
      </c>
      <c r="S578" s="133">
        <f t="shared" ca="1" si="315"/>
        <v>124.92</v>
      </c>
      <c r="T578" s="132">
        <f t="shared" ca="1" si="306"/>
        <v>0</v>
      </c>
      <c r="U578" s="133">
        <f t="shared" ca="1" si="322"/>
        <v>1.9008342029825436E-4</v>
      </c>
      <c r="V578" s="31">
        <f t="shared" ca="1" si="316"/>
        <v>0</v>
      </c>
      <c r="W578" s="31">
        <f t="shared" ca="1" si="307"/>
        <v>0</v>
      </c>
      <c r="X578" s="163">
        <f t="shared" ca="1" si="323"/>
        <v>0</v>
      </c>
      <c r="Y578" s="163">
        <f t="shared" ca="1" si="324"/>
        <v>0</v>
      </c>
      <c r="Z578" s="163">
        <f t="shared" ca="1" si="317"/>
        <v>0</v>
      </c>
      <c r="AA578" s="163">
        <f t="shared" ca="1" si="325"/>
        <v>0</v>
      </c>
      <c r="AB578" s="84">
        <f t="shared" ca="1" si="308"/>
        <v>0</v>
      </c>
      <c r="AC578" s="160">
        <f t="shared" si="309"/>
        <v>0</v>
      </c>
      <c r="AD578" s="31">
        <f t="shared" ca="1" si="310"/>
        <v>0</v>
      </c>
      <c r="AF578" s="5"/>
      <c r="AG578" s="5"/>
      <c r="AS578" s="55">
        <f t="shared" si="318"/>
        <v>48</v>
      </c>
      <c r="AT578" s="56">
        <f t="shared" si="326"/>
        <v>575</v>
      </c>
      <c r="AU578" s="57">
        <f t="shared" si="330"/>
        <v>6.0465911931116209E-2</v>
      </c>
      <c r="AV578" s="58">
        <f t="shared" si="319"/>
        <v>4.8675505653430484E-3</v>
      </c>
      <c r="AW578" s="59">
        <f t="shared" si="320"/>
        <v>1.004867550565343</v>
      </c>
      <c r="AX578" s="60">
        <f>PRODUCT(AW$4:AW578)</f>
        <v>16.314460268950189</v>
      </c>
    </row>
    <row r="579" spans="5:50">
      <c r="E579">
        <f t="shared" si="328"/>
        <v>576</v>
      </c>
      <c r="F579" s="9">
        <f t="shared" si="321"/>
        <v>116.91666666666394</v>
      </c>
      <c r="G579" s="132">
        <f t="shared" si="301"/>
        <v>0</v>
      </c>
      <c r="H579" s="133">
        <f t="shared" si="327"/>
        <v>1</v>
      </c>
      <c r="I579" s="31">
        <f t="shared" si="311"/>
        <v>0</v>
      </c>
      <c r="J579" s="31">
        <f t="shared" si="302"/>
        <v>0</v>
      </c>
      <c r="K579" s="163">
        <f t="shared" si="303"/>
        <v>0</v>
      </c>
      <c r="L579" s="163">
        <f t="shared" si="312"/>
        <v>0</v>
      </c>
      <c r="M579" s="163">
        <f t="shared" si="329"/>
        <v>0</v>
      </c>
      <c r="N579" s="163">
        <f t="shared" si="313"/>
        <v>0</v>
      </c>
      <c r="O579" s="84">
        <f t="shared" si="304"/>
        <v>0</v>
      </c>
      <c r="P579" s="31">
        <f t="shared" si="305"/>
        <v>0</v>
      </c>
      <c r="R579">
        <f t="shared" ca="1" si="314"/>
        <v>696</v>
      </c>
      <c r="S579" s="133">
        <f t="shared" ca="1" si="315"/>
        <v>125</v>
      </c>
      <c r="T579" s="132">
        <f t="shared" ca="1" si="306"/>
        <v>0</v>
      </c>
      <c r="U579" s="133">
        <f t="shared" ca="1" si="322"/>
        <v>1.9008342029825436E-4</v>
      </c>
      <c r="V579" s="31">
        <f t="shared" ca="1" si="316"/>
        <v>0</v>
      </c>
      <c r="W579" s="31">
        <f t="shared" ca="1" si="307"/>
        <v>0</v>
      </c>
      <c r="X579" s="163">
        <f t="shared" ca="1" si="323"/>
        <v>0</v>
      </c>
      <c r="Y579" s="163">
        <f t="shared" ca="1" si="324"/>
        <v>0</v>
      </c>
      <c r="Z579" s="163">
        <f t="shared" ca="1" si="317"/>
        <v>0</v>
      </c>
      <c r="AA579" s="163">
        <f t="shared" ca="1" si="325"/>
        <v>0</v>
      </c>
      <c r="AB579" s="84">
        <f t="shared" ca="1" si="308"/>
        <v>0</v>
      </c>
      <c r="AC579" s="160">
        <f t="shared" si="309"/>
        <v>0</v>
      </c>
      <c r="AD579" s="31">
        <f t="shared" ca="1" si="310"/>
        <v>0</v>
      </c>
      <c r="AF579" s="5"/>
      <c r="AG579" s="5"/>
      <c r="AS579" s="55">
        <f t="shared" si="318"/>
        <v>48</v>
      </c>
      <c r="AT579" s="56">
        <f t="shared" si="326"/>
        <v>576</v>
      </c>
      <c r="AU579" s="57">
        <f t="shared" si="330"/>
        <v>6.0171591047311922E-2</v>
      </c>
      <c r="AV579" s="58">
        <f t="shared" si="319"/>
        <v>4.8675505653430484E-3</v>
      </c>
      <c r="AW579" s="59">
        <f t="shared" si="320"/>
        <v>1.004867550565343</v>
      </c>
      <c r="AX579" s="60">
        <f>PRODUCT(AW$4:AW579)</f>
        <v>16.393871729255583</v>
      </c>
    </row>
    <row r="580" spans="5:50">
      <c r="E580">
        <f t="shared" si="328"/>
        <v>577</v>
      </c>
      <c r="F580" s="9">
        <f t="shared" si="321"/>
        <v>116.99999999999727</v>
      </c>
      <c r="G580" s="132">
        <f t="shared" ref="G580:G643" si="331">(1-(1-IF(F580&gt;$AK$90,0,VLOOKUP(ROUND(F580,0),$AK$4:$AL$90,2,FALSE)))^(1/12))*0</f>
        <v>0</v>
      </c>
      <c r="H580" s="133">
        <f t="shared" si="327"/>
        <v>1</v>
      </c>
      <c r="I580" s="31">
        <f t="shared" si="311"/>
        <v>0</v>
      </c>
      <c r="J580" s="31">
        <f t="shared" ref="J580:J643" si="332">(I580)*$AV580</f>
        <v>0</v>
      </c>
      <c r="K580" s="163">
        <f t="shared" ref="K580:K643" si="333">IF(I580=0,0,-$C$19)*H580</f>
        <v>0</v>
      </c>
      <c r="L580" s="163">
        <f t="shared" si="312"/>
        <v>0</v>
      </c>
      <c r="M580" s="163">
        <f t="shared" si="329"/>
        <v>0</v>
      </c>
      <c r="N580" s="163">
        <f t="shared" si="313"/>
        <v>0</v>
      </c>
      <c r="O580" s="84">
        <f t="shared" ref="O580:O643" si="334">-MIN(
IF(MOD(E580-1,IF($C$7="Annual",12,1))=0,1,0)
*IF(F580&lt;=$C$6,H580*$C$5*$C$4/IF($C$7="Monthly",12,1),$C$12),I580)</f>
        <v>0</v>
      </c>
      <c r="P580" s="31">
        <f t="shared" ref="P580:P643" si="335">SUM(I580:O580)</f>
        <v>0</v>
      </c>
      <c r="R580">
        <f t="shared" ca="1" si="314"/>
        <v>697</v>
      </c>
      <c r="S580" s="133">
        <f t="shared" ca="1" si="315"/>
        <v>125.08</v>
      </c>
      <c r="T580" s="132">
        <f t="shared" ref="T580:T643" ca="1" si="336">(1-(1-IF(S580&gt;$AK$90,0,VLOOKUP(ROUND(S580,0),$AK$4:$AL$90,2,FALSE)))^(1/12))</f>
        <v>0</v>
      </c>
      <c r="U580" s="133">
        <f t="shared" ca="1" si="322"/>
        <v>1.9008342029825436E-4</v>
      </c>
      <c r="V580" s="31">
        <f t="shared" ca="1" si="316"/>
        <v>0</v>
      </c>
      <c r="W580" s="31">
        <f t="shared" ref="W580:W643" ca="1" si="337">(V580)*$AV580</f>
        <v>0</v>
      </c>
      <c r="X580" s="163">
        <f t="shared" ca="1" si="323"/>
        <v>0</v>
      </c>
      <c r="Y580" s="163">
        <f t="shared" ca="1" si="324"/>
        <v>0</v>
      </c>
      <c r="Z580" s="163">
        <f t="shared" ca="1" si="317"/>
        <v>0</v>
      </c>
      <c r="AA580" s="163">
        <f t="shared" ca="1" si="325"/>
        <v>0</v>
      </c>
      <c r="AB580" s="84">
        <f t="shared" ref="AB580:AB643" ca="1" si="338">-MIN(IF(MOD(R580,IF($C$7="Annual",12,1))=0,1,0)*$C$39*U580/IF($C$7="Monthly",12,1),V580)</f>
        <v>0</v>
      </c>
      <c r="AC580" s="160">
        <f t="shared" ref="AC580:AC643" si="339">IF($C$8="Yes",-V580*T580,0)</f>
        <v>0</v>
      </c>
      <c r="AD580" s="31">
        <f t="shared" ref="AD580:AD643" ca="1" si="340">SUM(V580:AC580)</f>
        <v>0</v>
      </c>
      <c r="AF580" s="5"/>
      <c r="AG580" s="5"/>
      <c r="AS580" s="55">
        <f t="shared" si="318"/>
        <v>49</v>
      </c>
      <c r="AT580" s="56">
        <f t="shared" si="326"/>
        <v>577</v>
      </c>
      <c r="AU580" s="57">
        <f t="shared" si="330"/>
        <v>5.987870278529199E-2</v>
      </c>
      <c r="AV580" s="58">
        <f t="shared" si="319"/>
        <v>4.8675505653430484E-3</v>
      </c>
      <c r="AW580" s="59">
        <f t="shared" si="320"/>
        <v>1.004867550565343</v>
      </c>
      <c r="AX580" s="60">
        <f>PRODUCT(AW$4:AW580)</f>
        <v>16.473669728859484</v>
      </c>
    </row>
    <row r="581" spans="5:50">
      <c r="E581">
        <f t="shared" si="328"/>
        <v>578</v>
      </c>
      <c r="F581" s="9">
        <f t="shared" si="321"/>
        <v>117.0833333333306</v>
      </c>
      <c r="G581" s="132">
        <f t="shared" si="331"/>
        <v>0</v>
      </c>
      <c r="H581" s="133">
        <f t="shared" si="327"/>
        <v>1</v>
      </c>
      <c r="I581" s="31">
        <f t="shared" ref="I581:I644" si="341">MAX(P580,0)*(1-G581)</f>
        <v>0</v>
      </c>
      <c r="J581" s="31">
        <f t="shared" si="332"/>
        <v>0</v>
      </c>
      <c r="K581" s="163">
        <f t="shared" si="333"/>
        <v>0</v>
      </c>
      <c r="L581" s="163">
        <f t="shared" ref="L581:L644" si="342">IF(OR(I580+O580=0,K580=0),0,-I581*($C$16/12))</f>
        <v>0</v>
      </c>
      <c r="M581" s="163">
        <f t="shared" si="329"/>
        <v>0</v>
      </c>
      <c r="N581" s="163">
        <f t="shared" ref="N581:N644" si="343">IF(OR(I580+O580=0,K580=0),0,-I581*($C$18*(1+$C$20))/12)</f>
        <v>0</v>
      </c>
      <c r="O581" s="84">
        <f t="shared" si="334"/>
        <v>0</v>
      </c>
      <c r="P581" s="31">
        <f t="shared" si="335"/>
        <v>0</v>
      </c>
      <c r="R581">
        <f t="shared" ref="R581:R644" ca="1" si="344">R580+1</f>
        <v>698</v>
      </c>
      <c r="S581" s="133">
        <f t="shared" ref="S581:S644" ca="1" si="345">ROUND((R581-R580)/12+S580,2)</f>
        <v>125.16</v>
      </c>
      <c r="T581" s="132">
        <f t="shared" ca="1" si="336"/>
        <v>0</v>
      </c>
      <c r="U581" s="133">
        <f t="shared" ca="1" si="322"/>
        <v>1.9008342029825436E-4</v>
      </c>
      <c r="V581" s="31">
        <f t="shared" ref="V581:V644" ca="1" si="346">MAX(AD580,0)*(1-T581)</f>
        <v>0</v>
      </c>
      <c r="W581" s="31">
        <f t="shared" ca="1" si="337"/>
        <v>0</v>
      </c>
      <c r="X581" s="163">
        <f t="shared" ca="1" si="323"/>
        <v>0</v>
      </c>
      <c r="Y581" s="163">
        <f t="shared" ca="1" si="324"/>
        <v>0</v>
      </c>
      <c r="Z581" s="163">
        <f t="shared" ref="Z581:Z644" ca="1" si="347">IF(OR(V580+AB580=0,X580=0),0,-IF(MOD(E581,12)=0,1,0)*V581*($C$17))</f>
        <v>0</v>
      </c>
      <c r="AA581" s="163">
        <f t="shared" ca="1" si="325"/>
        <v>0</v>
      </c>
      <c r="AB581" s="84">
        <f t="shared" ca="1" si="338"/>
        <v>0</v>
      </c>
      <c r="AC581" s="160">
        <f t="shared" si="339"/>
        <v>0</v>
      </c>
      <c r="AD581" s="31">
        <f t="shared" ca="1" si="340"/>
        <v>0</v>
      </c>
      <c r="AF581" s="5"/>
      <c r="AG581" s="5"/>
      <c r="AS581" s="55">
        <f t="shared" ref="AS581:AS644" si="348">ROUNDDOWN((AT581-1)/12,0)+1</f>
        <v>49</v>
      </c>
      <c r="AT581" s="56">
        <f t="shared" si="326"/>
        <v>578</v>
      </c>
      <c r="AU581" s="57">
        <f t="shared" si="330"/>
        <v>5.9587240171697434E-2</v>
      </c>
      <c r="AV581" s="58">
        <f t="shared" ref="AV581:AV644" si="349">((1+$AV$1)^(1/12))-1</f>
        <v>4.8675505653430484E-3</v>
      </c>
      <c r="AW581" s="59">
        <f t="shared" ref="AW581:AW644" si="350">(1+AV581)</f>
        <v>1.004867550565343</v>
      </c>
      <c r="AX581" s="60">
        <f>PRODUCT(AW$4:AW581)</f>
        <v>16.553856149261467</v>
      </c>
    </row>
    <row r="582" spans="5:50">
      <c r="E582">
        <f t="shared" si="328"/>
        <v>579</v>
      </c>
      <c r="F582" s="9">
        <f t="shared" ref="F582:F645" si="351">1/12+F581</f>
        <v>117.16666666666393</v>
      </c>
      <c r="G582" s="132">
        <f t="shared" si="331"/>
        <v>0</v>
      </c>
      <c r="H582" s="133">
        <f t="shared" si="327"/>
        <v>1</v>
      </c>
      <c r="I582" s="31">
        <f t="shared" si="341"/>
        <v>0</v>
      </c>
      <c r="J582" s="31">
        <f t="shared" si="332"/>
        <v>0</v>
      </c>
      <c r="K582" s="163">
        <f t="shared" si="333"/>
        <v>0</v>
      </c>
      <c r="L582" s="163">
        <f t="shared" si="342"/>
        <v>0</v>
      </c>
      <c r="M582" s="163">
        <f t="shared" si="329"/>
        <v>0</v>
      </c>
      <c r="N582" s="163">
        <f t="shared" si="343"/>
        <v>0</v>
      </c>
      <c r="O582" s="84">
        <f t="shared" si="334"/>
        <v>0</v>
      </c>
      <c r="P582" s="31">
        <f t="shared" si="335"/>
        <v>0</v>
      </c>
      <c r="R582">
        <f t="shared" ca="1" si="344"/>
        <v>699</v>
      </c>
      <c r="S582" s="133">
        <f t="shared" ca="1" si="345"/>
        <v>125.24</v>
      </c>
      <c r="T582" s="132">
        <f t="shared" ca="1" si="336"/>
        <v>0</v>
      </c>
      <c r="U582" s="133">
        <f t="shared" ref="U582:U645" ca="1" si="352">U581*(1-T582)</f>
        <v>1.9008342029825436E-4</v>
      </c>
      <c r="V582" s="31">
        <f t="shared" ca="1" si="346"/>
        <v>0</v>
      </c>
      <c r="W582" s="31">
        <f t="shared" ca="1" si="337"/>
        <v>0</v>
      </c>
      <c r="X582" s="163">
        <f t="shared" ref="X582:X645" ca="1" si="353">IF(V582=0,0,-$C$19)*U582</f>
        <v>0</v>
      </c>
      <c r="Y582" s="163">
        <f t="shared" ref="Y582:Y645" ca="1" si="354">IF(OR(V581+AB581=0,X581=0),0,-V582*($C$16/12))</f>
        <v>0</v>
      </c>
      <c r="Z582" s="163">
        <f t="shared" ca="1" si="347"/>
        <v>0</v>
      </c>
      <c r="AA582" s="163">
        <f t="shared" ref="AA582:AA645" ca="1" si="355">IF(OR(V581+AB581=0,X581=0),0,-V582*($C$18*(1+$C$20))/12)</f>
        <v>0</v>
      </c>
      <c r="AB582" s="84">
        <f t="shared" ca="1" si="338"/>
        <v>0</v>
      </c>
      <c r="AC582" s="160">
        <f t="shared" si="339"/>
        <v>0</v>
      </c>
      <c r="AD582" s="31">
        <f t="shared" ca="1" si="340"/>
        <v>0</v>
      </c>
      <c r="AF582" s="5"/>
      <c r="AG582" s="5"/>
      <c r="AS582" s="55">
        <f t="shared" si="348"/>
        <v>49</v>
      </c>
      <c r="AT582" s="56">
        <f t="shared" ref="AT582:AT645" si="356">AT581+1</f>
        <v>579</v>
      </c>
      <c r="AU582" s="57">
        <f t="shared" si="330"/>
        <v>5.9297196267112454E-2</v>
      </c>
      <c r="AV582" s="58">
        <f t="shared" si="349"/>
        <v>4.8675505653430484E-3</v>
      </c>
      <c r="AW582" s="59">
        <f t="shared" si="350"/>
        <v>1.004867550565343</v>
      </c>
      <c r="AX582" s="60">
        <f>PRODUCT(AW$4:AW582)</f>
        <v>16.634432881119412</v>
      </c>
    </row>
    <row r="583" spans="5:50">
      <c r="E583">
        <f t="shared" si="328"/>
        <v>580</v>
      </c>
      <c r="F583" s="9">
        <f t="shared" si="351"/>
        <v>117.24999999999726</v>
      </c>
      <c r="G583" s="132">
        <f t="shared" si="331"/>
        <v>0</v>
      </c>
      <c r="H583" s="133">
        <f t="shared" ref="H583:H646" si="357">H582*(1-G583)</f>
        <v>1</v>
      </c>
      <c r="I583" s="31">
        <f t="shared" si="341"/>
        <v>0</v>
      </c>
      <c r="J583" s="31">
        <f t="shared" si="332"/>
        <v>0</v>
      </c>
      <c r="K583" s="163">
        <f t="shared" si="333"/>
        <v>0</v>
      </c>
      <c r="L583" s="163">
        <f t="shared" si="342"/>
        <v>0</v>
      </c>
      <c r="M583" s="163">
        <f t="shared" si="329"/>
        <v>0</v>
      </c>
      <c r="N583" s="163">
        <f t="shared" si="343"/>
        <v>0</v>
      </c>
      <c r="O583" s="84">
        <f t="shared" si="334"/>
        <v>0</v>
      </c>
      <c r="P583" s="31">
        <f t="shared" si="335"/>
        <v>0</v>
      </c>
      <c r="R583">
        <f t="shared" ca="1" si="344"/>
        <v>700</v>
      </c>
      <c r="S583" s="133">
        <f t="shared" ca="1" si="345"/>
        <v>125.32</v>
      </c>
      <c r="T583" s="132">
        <f t="shared" ca="1" si="336"/>
        <v>0</v>
      </c>
      <c r="U583" s="133">
        <f t="shared" ca="1" si="352"/>
        <v>1.9008342029825436E-4</v>
      </c>
      <c r="V583" s="31">
        <f t="shared" ca="1" si="346"/>
        <v>0</v>
      </c>
      <c r="W583" s="31">
        <f t="shared" ca="1" si="337"/>
        <v>0</v>
      </c>
      <c r="X583" s="163">
        <f t="shared" ca="1" si="353"/>
        <v>0</v>
      </c>
      <c r="Y583" s="163">
        <f t="shared" ca="1" si="354"/>
        <v>0</v>
      </c>
      <c r="Z583" s="163">
        <f t="shared" ca="1" si="347"/>
        <v>0</v>
      </c>
      <c r="AA583" s="163">
        <f t="shared" ca="1" si="355"/>
        <v>0</v>
      </c>
      <c r="AB583" s="84">
        <f t="shared" ca="1" si="338"/>
        <v>0</v>
      </c>
      <c r="AC583" s="160">
        <f t="shared" si="339"/>
        <v>0</v>
      </c>
      <c r="AD583" s="31">
        <f t="shared" ca="1" si="340"/>
        <v>0</v>
      </c>
      <c r="AF583" s="5"/>
      <c r="AG583" s="5"/>
      <c r="AS583" s="55">
        <f t="shared" si="348"/>
        <v>49</v>
      </c>
      <c r="AT583" s="56">
        <f t="shared" si="356"/>
        <v>580</v>
      </c>
      <c r="AU583" s="57">
        <f t="shared" si="330"/>
        <v>5.900856416589921E-2</v>
      </c>
      <c r="AV583" s="58">
        <f t="shared" si="349"/>
        <v>4.8675505653430484E-3</v>
      </c>
      <c r="AW583" s="59">
        <f t="shared" si="350"/>
        <v>1.004867550565343</v>
      </c>
      <c r="AX583" s="60">
        <f>PRODUCT(AW$4:AW583)</f>
        <v>16.715401824294066</v>
      </c>
    </row>
    <row r="584" spans="5:50">
      <c r="E584">
        <f t="shared" si="328"/>
        <v>581</v>
      </c>
      <c r="F584" s="9">
        <f t="shared" si="351"/>
        <v>117.33333333333059</v>
      </c>
      <c r="G584" s="132">
        <f t="shared" si="331"/>
        <v>0</v>
      </c>
      <c r="H584" s="133">
        <f t="shared" si="357"/>
        <v>1</v>
      </c>
      <c r="I584" s="31">
        <f t="shared" si="341"/>
        <v>0</v>
      </c>
      <c r="J584" s="31">
        <f t="shared" si="332"/>
        <v>0</v>
      </c>
      <c r="K584" s="163">
        <f t="shared" si="333"/>
        <v>0</v>
      </c>
      <c r="L584" s="163">
        <f t="shared" si="342"/>
        <v>0</v>
      </c>
      <c r="M584" s="163">
        <f t="shared" si="329"/>
        <v>0</v>
      </c>
      <c r="N584" s="163">
        <f t="shared" si="343"/>
        <v>0</v>
      </c>
      <c r="O584" s="84">
        <f t="shared" si="334"/>
        <v>0</v>
      </c>
      <c r="P584" s="31">
        <f t="shared" si="335"/>
        <v>0</v>
      </c>
      <c r="R584">
        <f t="shared" ca="1" si="344"/>
        <v>701</v>
      </c>
      <c r="S584" s="133">
        <f t="shared" ca="1" si="345"/>
        <v>125.4</v>
      </c>
      <c r="T584" s="132">
        <f t="shared" ca="1" si="336"/>
        <v>0</v>
      </c>
      <c r="U584" s="133">
        <f t="shared" ca="1" si="352"/>
        <v>1.9008342029825436E-4</v>
      </c>
      <c r="V584" s="31">
        <f t="shared" ca="1" si="346"/>
        <v>0</v>
      </c>
      <c r="W584" s="31">
        <f t="shared" ca="1" si="337"/>
        <v>0</v>
      </c>
      <c r="X584" s="163">
        <f t="shared" ca="1" si="353"/>
        <v>0</v>
      </c>
      <c r="Y584" s="163">
        <f t="shared" ca="1" si="354"/>
        <v>0</v>
      </c>
      <c r="Z584" s="163">
        <f t="shared" ca="1" si="347"/>
        <v>0</v>
      </c>
      <c r="AA584" s="163">
        <f t="shared" ca="1" si="355"/>
        <v>0</v>
      </c>
      <c r="AB584" s="84">
        <f t="shared" ca="1" si="338"/>
        <v>0</v>
      </c>
      <c r="AC584" s="160">
        <f t="shared" si="339"/>
        <v>0</v>
      </c>
      <c r="AD584" s="31">
        <f t="shared" ca="1" si="340"/>
        <v>0</v>
      </c>
      <c r="AF584" s="5"/>
      <c r="AG584" s="5"/>
      <c r="AS584" s="55">
        <f t="shared" si="348"/>
        <v>49</v>
      </c>
      <c r="AT584" s="56">
        <f t="shared" si="356"/>
        <v>581</v>
      </c>
      <c r="AU584" s="57">
        <f t="shared" si="330"/>
        <v>5.8721336996033408E-2</v>
      </c>
      <c r="AV584" s="58">
        <f t="shared" si="349"/>
        <v>4.8675505653430484E-3</v>
      </c>
      <c r="AW584" s="59">
        <f t="shared" si="350"/>
        <v>1.004867550565343</v>
      </c>
      <c r="AX584" s="60">
        <f>PRODUCT(AW$4:AW584)</f>
        <v>16.796764887893843</v>
      </c>
    </row>
    <row r="585" spans="5:50">
      <c r="E585">
        <f t="shared" si="328"/>
        <v>582</v>
      </c>
      <c r="F585" s="9">
        <f t="shared" si="351"/>
        <v>117.41666666666391</v>
      </c>
      <c r="G585" s="132">
        <f t="shared" si="331"/>
        <v>0</v>
      </c>
      <c r="H585" s="133">
        <f t="shared" si="357"/>
        <v>1</v>
      </c>
      <c r="I585" s="31">
        <f t="shared" si="341"/>
        <v>0</v>
      </c>
      <c r="J585" s="31">
        <f t="shared" si="332"/>
        <v>0</v>
      </c>
      <c r="K585" s="163">
        <f t="shared" si="333"/>
        <v>0</v>
      </c>
      <c r="L585" s="163">
        <f t="shared" si="342"/>
        <v>0</v>
      </c>
      <c r="M585" s="163">
        <f t="shared" si="329"/>
        <v>0</v>
      </c>
      <c r="N585" s="163">
        <f t="shared" si="343"/>
        <v>0</v>
      </c>
      <c r="O585" s="84">
        <f t="shared" si="334"/>
        <v>0</v>
      </c>
      <c r="P585" s="31">
        <f t="shared" si="335"/>
        <v>0</v>
      </c>
      <c r="R585">
        <f t="shared" ca="1" si="344"/>
        <v>702</v>
      </c>
      <c r="S585" s="133">
        <f t="shared" ca="1" si="345"/>
        <v>125.48</v>
      </c>
      <c r="T585" s="132">
        <f t="shared" ca="1" si="336"/>
        <v>0</v>
      </c>
      <c r="U585" s="133">
        <f t="shared" ca="1" si="352"/>
        <v>1.9008342029825436E-4</v>
      </c>
      <c r="V585" s="31">
        <f t="shared" ca="1" si="346"/>
        <v>0</v>
      </c>
      <c r="W585" s="31">
        <f t="shared" ca="1" si="337"/>
        <v>0</v>
      </c>
      <c r="X585" s="163">
        <f t="shared" ca="1" si="353"/>
        <v>0</v>
      </c>
      <c r="Y585" s="163">
        <f t="shared" ca="1" si="354"/>
        <v>0</v>
      </c>
      <c r="Z585" s="163">
        <f t="shared" ca="1" si="347"/>
        <v>0</v>
      </c>
      <c r="AA585" s="163">
        <f t="shared" ca="1" si="355"/>
        <v>0</v>
      </c>
      <c r="AB585" s="84">
        <f t="shared" ca="1" si="338"/>
        <v>0</v>
      </c>
      <c r="AC585" s="160">
        <f t="shared" si="339"/>
        <v>0</v>
      </c>
      <c r="AD585" s="31">
        <f t="shared" ca="1" si="340"/>
        <v>0</v>
      </c>
      <c r="AF585" s="5"/>
      <c r="AG585" s="5"/>
      <c r="AS585" s="55">
        <f t="shared" si="348"/>
        <v>49</v>
      </c>
      <c r="AT585" s="56">
        <f t="shared" si="356"/>
        <v>582</v>
      </c>
      <c r="AU585" s="57">
        <f t="shared" si="330"/>
        <v>5.8435507918940664E-2</v>
      </c>
      <c r="AV585" s="58">
        <f t="shared" si="349"/>
        <v>4.8675505653430484E-3</v>
      </c>
      <c r="AW585" s="59">
        <f t="shared" si="350"/>
        <v>1.004867550565343</v>
      </c>
      <c r="AX585" s="60">
        <f>PRODUCT(AW$4:AW585)</f>
        <v>16.878523990319845</v>
      </c>
    </row>
    <row r="586" spans="5:50">
      <c r="E586">
        <f t="shared" si="328"/>
        <v>583</v>
      </c>
      <c r="F586" s="9">
        <f t="shared" si="351"/>
        <v>117.49999999999724</v>
      </c>
      <c r="G586" s="132">
        <f t="shared" si="331"/>
        <v>0</v>
      </c>
      <c r="H586" s="133">
        <f t="shared" si="357"/>
        <v>1</v>
      </c>
      <c r="I586" s="31">
        <f t="shared" si="341"/>
        <v>0</v>
      </c>
      <c r="J586" s="31">
        <f t="shared" si="332"/>
        <v>0</v>
      </c>
      <c r="K586" s="163">
        <f t="shared" si="333"/>
        <v>0</v>
      </c>
      <c r="L586" s="163">
        <f t="shared" si="342"/>
        <v>0</v>
      </c>
      <c r="M586" s="163">
        <f t="shared" si="329"/>
        <v>0</v>
      </c>
      <c r="N586" s="163">
        <f t="shared" si="343"/>
        <v>0</v>
      </c>
      <c r="O586" s="84">
        <f t="shared" si="334"/>
        <v>0</v>
      </c>
      <c r="P586" s="31">
        <f t="shared" si="335"/>
        <v>0</v>
      </c>
      <c r="R586">
        <f t="shared" ca="1" si="344"/>
        <v>703</v>
      </c>
      <c r="S586" s="133">
        <f t="shared" ca="1" si="345"/>
        <v>125.56</v>
      </c>
      <c r="T586" s="132">
        <f t="shared" ca="1" si="336"/>
        <v>0</v>
      </c>
      <c r="U586" s="133">
        <f t="shared" ca="1" si="352"/>
        <v>1.9008342029825436E-4</v>
      </c>
      <c r="V586" s="31">
        <f t="shared" ca="1" si="346"/>
        <v>0</v>
      </c>
      <c r="W586" s="31">
        <f t="shared" ca="1" si="337"/>
        <v>0</v>
      </c>
      <c r="X586" s="163">
        <f t="shared" ca="1" si="353"/>
        <v>0</v>
      </c>
      <c r="Y586" s="163">
        <f t="shared" ca="1" si="354"/>
        <v>0</v>
      </c>
      <c r="Z586" s="163">
        <f t="shared" ca="1" si="347"/>
        <v>0</v>
      </c>
      <c r="AA586" s="163">
        <f t="shared" ca="1" si="355"/>
        <v>0</v>
      </c>
      <c r="AB586" s="84">
        <f t="shared" ca="1" si="338"/>
        <v>0</v>
      </c>
      <c r="AC586" s="160">
        <f t="shared" si="339"/>
        <v>0</v>
      </c>
      <c r="AD586" s="31">
        <f t="shared" ca="1" si="340"/>
        <v>0</v>
      </c>
      <c r="AF586" s="5"/>
      <c r="AG586" s="5"/>
      <c r="AS586" s="55">
        <f t="shared" si="348"/>
        <v>49</v>
      </c>
      <c r="AT586" s="56">
        <f t="shared" si="356"/>
        <v>583</v>
      </c>
      <c r="AU586" s="57">
        <f t="shared" si="330"/>
        <v>5.8151070129333716E-2</v>
      </c>
      <c r="AV586" s="58">
        <f t="shared" si="349"/>
        <v>4.8675505653430484E-3</v>
      </c>
      <c r="AW586" s="59">
        <f t="shared" si="350"/>
        <v>1.004867550565343</v>
      </c>
      <c r="AX586" s="60">
        <f>PRODUCT(AW$4:AW586)</f>
        <v>16.960681059311081</v>
      </c>
    </row>
    <row r="587" spans="5:50">
      <c r="E587">
        <f t="shared" si="328"/>
        <v>584</v>
      </c>
      <c r="F587" s="9">
        <f t="shared" si="351"/>
        <v>117.58333333333057</v>
      </c>
      <c r="G587" s="132">
        <f t="shared" si="331"/>
        <v>0</v>
      </c>
      <c r="H587" s="133">
        <f t="shared" si="357"/>
        <v>1</v>
      </c>
      <c r="I587" s="31">
        <f t="shared" si="341"/>
        <v>0</v>
      </c>
      <c r="J587" s="31">
        <f t="shared" si="332"/>
        <v>0</v>
      </c>
      <c r="K587" s="163">
        <f t="shared" si="333"/>
        <v>0</v>
      </c>
      <c r="L587" s="163">
        <f t="shared" si="342"/>
        <v>0</v>
      </c>
      <c r="M587" s="163">
        <f t="shared" si="329"/>
        <v>0</v>
      </c>
      <c r="N587" s="163">
        <f t="shared" si="343"/>
        <v>0</v>
      </c>
      <c r="O587" s="84">
        <f t="shared" si="334"/>
        <v>0</v>
      </c>
      <c r="P587" s="31">
        <f t="shared" si="335"/>
        <v>0</v>
      </c>
      <c r="R587">
        <f t="shared" ca="1" si="344"/>
        <v>704</v>
      </c>
      <c r="S587" s="133">
        <f t="shared" ca="1" si="345"/>
        <v>125.64</v>
      </c>
      <c r="T587" s="132">
        <f t="shared" ca="1" si="336"/>
        <v>0</v>
      </c>
      <c r="U587" s="133">
        <f t="shared" ca="1" si="352"/>
        <v>1.9008342029825436E-4</v>
      </c>
      <c r="V587" s="31">
        <f t="shared" ca="1" si="346"/>
        <v>0</v>
      </c>
      <c r="W587" s="31">
        <f t="shared" ca="1" si="337"/>
        <v>0</v>
      </c>
      <c r="X587" s="163">
        <f t="shared" ca="1" si="353"/>
        <v>0</v>
      </c>
      <c r="Y587" s="163">
        <f t="shared" ca="1" si="354"/>
        <v>0</v>
      </c>
      <c r="Z587" s="163">
        <f t="shared" ca="1" si="347"/>
        <v>0</v>
      </c>
      <c r="AA587" s="163">
        <f t="shared" ca="1" si="355"/>
        <v>0</v>
      </c>
      <c r="AB587" s="84">
        <f t="shared" ca="1" si="338"/>
        <v>0</v>
      </c>
      <c r="AC587" s="160">
        <f t="shared" si="339"/>
        <v>0</v>
      </c>
      <c r="AD587" s="31">
        <f t="shared" ca="1" si="340"/>
        <v>0</v>
      </c>
      <c r="AF587" s="5"/>
      <c r="AG587" s="5"/>
      <c r="AS587" s="55">
        <f t="shared" si="348"/>
        <v>49</v>
      </c>
      <c r="AT587" s="56">
        <f t="shared" si="356"/>
        <v>584</v>
      </c>
      <c r="AU587" s="57">
        <f t="shared" si="330"/>
        <v>5.7868016855050372E-2</v>
      </c>
      <c r="AV587" s="58">
        <f t="shared" si="349"/>
        <v>4.8675505653430484E-3</v>
      </c>
      <c r="AW587" s="59">
        <f t="shared" si="350"/>
        <v>1.004867550565343</v>
      </c>
      <c r="AX587" s="60">
        <f>PRODUCT(AW$4:AW587)</f>
        <v>17.043238031989933</v>
      </c>
    </row>
    <row r="588" spans="5:50">
      <c r="E588">
        <f t="shared" si="328"/>
        <v>585</v>
      </c>
      <c r="F588" s="9">
        <f t="shared" si="351"/>
        <v>117.6666666666639</v>
      </c>
      <c r="G588" s="132">
        <f t="shared" si="331"/>
        <v>0</v>
      </c>
      <c r="H588" s="133">
        <f t="shared" si="357"/>
        <v>1</v>
      </c>
      <c r="I588" s="31">
        <f t="shared" si="341"/>
        <v>0</v>
      </c>
      <c r="J588" s="31">
        <f t="shared" si="332"/>
        <v>0</v>
      </c>
      <c r="K588" s="163">
        <f t="shared" si="333"/>
        <v>0</v>
      </c>
      <c r="L588" s="163">
        <f t="shared" si="342"/>
        <v>0</v>
      </c>
      <c r="M588" s="163">
        <f t="shared" si="329"/>
        <v>0</v>
      </c>
      <c r="N588" s="163">
        <f t="shared" si="343"/>
        <v>0</v>
      </c>
      <c r="O588" s="84">
        <f t="shared" si="334"/>
        <v>0</v>
      </c>
      <c r="P588" s="31">
        <f t="shared" si="335"/>
        <v>0</v>
      </c>
      <c r="R588">
        <f t="shared" ca="1" si="344"/>
        <v>705</v>
      </c>
      <c r="S588" s="133">
        <f t="shared" ca="1" si="345"/>
        <v>125.72</v>
      </c>
      <c r="T588" s="132">
        <f t="shared" ca="1" si="336"/>
        <v>0</v>
      </c>
      <c r="U588" s="133">
        <f t="shared" ca="1" si="352"/>
        <v>1.9008342029825436E-4</v>
      </c>
      <c r="V588" s="31">
        <f t="shared" ca="1" si="346"/>
        <v>0</v>
      </c>
      <c r="W588" s="31">
        <f t="shared" ca="1" si="337"/>
        <v>0</v>
      </c>
      <c r="X588" s="163">
        <f t="shared" ca="1" si="353"/>
        <v>0</v>
      </c>
      <c r="Y588" s="163">
        <f t="shared" ca="1" si="354"/>
        <v>0</v>
      </c>
      <c r="Z588" s="163">
        <f t="shared" ca="1" si="347"/>
        <v>0</v>
      </c>
      <c r="AA588" s="163">
        <f t="shared" ca="1" si="355"/>
        <v>0</v>
      </c>
      <c r="AB588" s="84">
        <f t="shared" ca="1" si="338"/>
        <v>0</v>
      </c>
      <c r="AC588" s="160">
        <f t="shared" si="339"/>
        <v>0</v>
      </c>
      <c r="AD588" s="31">
        <f t="shared" ca="1" si="340"/>
        <v>0</v>
      </c>
      <c r="AF588" s="5"/>
      <c r="AG588" s="5"/>
      <c r="AS588" s="55">
        <f t="shared" si="348"/>
        <v>49</v>
      </c>
      <c r="AT588" s="56">
        <f t="shared" si="356"/>
        <v>585</v>
      </c>
      <c r="AU588" s="57">
        <f t="shared" si="330"/>
        <v>5.7586341356892293E-2</v>
      </c>
      <c r="AV588" s="58">
        <f t="shared" si="349"/>
        <v>4.8675505653430484E-3</v>
      </c>
      <c r="AW588" s="59">
        <f t="shared" si="350"/>
        <v>1.004867550565343</v>
      </c>
      <c r="AX588" s="60">
        <f>PRODUCT(AW$4:AW588)</f>
        <v>17.126196854907821</v>
      </c>
    </row>
    <row r="589" spans="5:50">
      <c r="E589">
        <f t="shared" si="328"/>
        <v>586</v>
      </c>
      <c r="F589" s="9">
        <f t="shared" si="351"/>
        <v>117.74999999999723</v>
      </c>
      <c r="G589" s="132">
        <f t="shared" si="331"/>
        <v>0</v>
      </c>
      <c r="H589" s="133">
        <f t="shared" si="357"/>
        <v>1</v>
      </c>
      <c r="I589" s="31">
        <f t="shared" si="341"/>
        <v>0</v>
      </c>
      <c r="J589" s="31">
        <f t="shared" si="332"/>
        <v>0</v>
      </c>
      <c r="K589" s="163">
        <f t="shared" si="333"/>
        <v>0</v>
      </c>
      <c r="L589" s="163">
        <f t="shared" si="342"/>
        <v>0</v>
      </c>
      <c r="M589" s="163">
        <f t="shared" si="329"/>
        <v>0</v>
      </c>
      <c r="N589" s="163">
        <f t="shared" si="343"/>
        <v>0</v>
      </c>
      <c r="O589" s="84">
        <f t="shared" si="334"/>
        <v>0</v>
      </c>
      <c r="P589" s="31">
        <f t="shared" si="335"/>
        <v>0</v>
      </c>
      <c r="R589">
        <f t="shared" ca="1" si="344"/>
        <v>706</v>
      </c>
      <c r="S589" s="133">
        <f t="shared" ca="1" si="345"/>
        <v>125.8</v>
      </c>
      <c r="T589" s="132">
        <f t="shared" ca="1" si="336"/>
        <v>0</v>
      </c>
      <c r="U589" s="133">
        <f t="shared" ca="1" si="352"/>
        <v>1.9008342029825436E-4</v>
      </c>
      <c r="V589" s="31">
        <f t="shared" ca="1" si="346"/>
        <v>0</v>
      </c>
      <c r="W589" s="31">
        <f t="shared" ca="1" si="337"/>
        <v>0</v>
      </c>
      <c r="X589" s="163">
        <f t="shared" ca="1" si="353"/>
        <v>0</v>
      </c>
      <c r="Y589" s="163">
        <f t="shared" ca="1" si="354"/>
        <v>0</v>
      </c>
      <c r="Z589" s="163">
        <f t="shared" ca="1" si="347"/>
        <v>0</v>
      </c>
      <c r="AA589" s="163">
        <f t="shared" ca="1" si="355"/>
        <v>0</v>
      </c>
      <c r="AB589" s="84">
        <f t="shared" ca="1" si="338"/>
        <v>0</v>
      </c>
      <c r="AC589" s="160">
        <f t="shared" si="339"/>
        <v>0</v>
      </c>
      <c r="AD589" s="31">
        <f t="shared" ca="1" si="340"/>
        <v>0</v>
      </c>
      <c r="AF589" s="5"/>
      <c r="AG589" s="5"/>
      <c r="AS589" s="55">
        <f t="shared" si="348"/>
        <v>49</v>
      </c>
      <c r="AT589" s="56">
        <f t="shared" si="356"/>
        <v>586</v>
      </c>
      <c r="AU589" s="57">
        <f t="shared" si="330"/>
        <v>5.7306036928464511E-2</v>
      </c>
      <c r="AV589" s="58">
        <f t="shared" si="349"/>
        <v>4.8675505653430484E-3</v>
      </c>
      <c r="AW589" s="59">
        <f t="shared" si="350"/>
        <v>1.004867550565343</v>
      </c>
      <c r="AX589" s="60">
        <f>PRODUCT(AW$4:AW589)</f>
        <v>17.209559484091105</v>
      </c>
    </row>
    <row r="590" spans="5:50">
      <c r="E590">
        <f t="shared" si="328"/>
        <v>587</v>
      </c>
      <c r="F590" s="9">
        <f t="shared" si="351"/>
        <v>117.83333333333056</v>
      </c>
      <c r="G590" s="132">
        <f t="shared" si="331"/>
        <v>0</v>
      </c>
      <c r="H590" s="133">
        <f t="shared" si="357"/>
        <v>1</v>
      </c>
      <c r="I590" s="31">
        <f t="shared" si="341"/>
        <v>0</v>
      </c>
      <c r="J590" s="31">
        <f t="shared" si="332"/>
        <v>0</v>
      </c>
      <c r="K590" s="163">
        <f t="shared" si="333"/>
        <v>0</v>
      </c>
      <c r="L590" s="163">
        <f t="shared" si="342"/>
        <v>0</v>
      </c>
      <c r="M590" s="163">
        <f t="shared" si="329"/>
        <v>0</v>
      </c>
      <c r="N590" s="163">
        <f t="shared" si="343"/>
        <v>0</v>
      </c>
      <c r="O590" s="84">
        <f t="shared" si="334"/>
        <v>0</v>
      </c>
      <c r="P590" s="31">
        <f t="shared" si="335"/>
        <v>0</v>
      </c>
      <c r="R590">
        <f t="shared" ca="1" si="344"/>
        <v>707</v>
      </c>
      <c r="S590" s="133">
        <f t="shared" ca="1" si="345"/>
        <v>125.88</v>
      </c>
      <c r="T590" s="132">
        <f t="shared" ca="1" si="336"/>
        <v>0</v>
      </c>
      <c r="U590" s="133">
        <f t="shared" ca="1" si="352"/>
        <v>1.9008342029825436E-4</v>
      </c>
      <c r="V590" s="31">
        <f t="shared" ca="1" si="346"/>
        <v>0</v>
      </c>
      <c r="W590" s="31">
        <f t="shared" ca="1" si="337"/>
        <v>0</v>
      </c>
      <c r="X590" s="163">
        <f t="shared" ca="1" si="353"/>
        <v>0</v>
      </c>
      <c r="Y590" s="163">
        <f t="shared" ca="1" si="354"/>
        <v>0</v>
      </c>
      <c r="Z590" s="163">
        <f t="shared" ca="1" si="347"/>
        <v>0</v>
      </c>
      <c r="AA590" s="163">
        <f t="shared" ca="1" si="355"/>
        <v>0</v>
      </c>
      <c r="AB590" s="84">
        <f t="shared" ca="1" si="338"/>
        <v>0</v>
      </c>
      <c r="AC590" s="160">
        <f t="shared" si="339"/>
        <v>0</v>
      </c>
      <c r="AD590" s="31">
        <f t="shared" ca="1" si="340"/>
        <v>0</v>
      </c>
      <c r="AF590" s="5"/>
      <c r="AG590" s="5"/>
      <c r="AS590" s="55">
        <f t="shared" si="348"/>
        <v>49</v>
      </c>
      <c r="AT590" s="56">
        <f t="shared" si="356"/>
        <v>587</v>
      </c>
      <c r="AU590" s="57">
        <f t="shared" si="330"/>
        <v>5.7027096896015796E-2</v>
      </c>
      <c r="AV590" s="58">
        <f t="shared" si="349"/>
        <v>4.8675505653430484E-3</v>
      </c>
      <c r="AW590" s="59">
        <f t="shared" si="350"/>
        <v>1.004867550565343</v>
      </c>
      <c r="AX590" s="60">
        <f>PRODUCT(AW$4:AW590)</f>
        <v>17.293327885087198</v>
      </c>
    </row>
    <row r="591" spans="5:50">
      <c r="E591">
        <f t="shared" si="328"/>
        <v>588</v>
      </c>
      <c r="F591" s="9">
        <f t="shared" si="351"/>
        <v>117.91666666666389</v>
      </c>
      <c r="G591" s="132">
        <f t="shared" si="331"/>
        <v>0</v>
      </c>
      <c r="H591" s="133">
        <f t="shared" si="357"/>
        <v>1</v>
      </c>
      <c r="I591" s="31">
        <f t="shared" si="341"/>
        <v>0</v>
      </c>
      <c r="J591" s="31">
        <f t="shared" si="332"/>
        <v>0</v>
      </c>
      <c r="K591" s="163">
        <f t="shared" si="333"/>
        <v>0</v>
      </c>
      <c r="L591" s="163">
        <f t="shared" si="342"/>
        <v>0</v>
      </c>
      <c r="M591" s="163">
        <f t="shared" si="329"/>
        <v>0</v>
      </c>
      <c r="N591" s="163">
        <f t="shared" si="343"/>
        <v>0</v>
      </c>
      <c r="O591" s="84">
        <f t="shared" si="334"/>
        <v>0</v>
      </c>
      <c r="P591" s="31">
        <f t="shared" si="335"/>
        <v>0</v>
      </c>
      <c r="R591">
        <f t="shared" ca="1" si="344"/>
        <v>708</v>
      </c>
      <c r="S591" s="133">
        <f t="shared" ca="1" si="345"/>
        <v>125.96</v>
      </c>
      <c r="T591" s="132">
        <f t="shared" ca="1" si="336"/>
        <v>0</v>
      </c>
      <c r="U591" s="133">
        <f t="shared" ca="1" si="352"/>
        <v>1.9008342029825436E-4</v>
      </c>
      <c r="V591" s="31">
        <f t="shared" ca="1" si="346"/>
        <v>0</v>
      </c>
      <c r="W591" s="31">
        <f t="shared" ca="1" si="337"/>
        <v>0</v>
      </c>
      <c r="X591" s="163">
        <f t="shared" ca="1" si="353"/>
        <v>0</v>
      </c>
      <c r="Y591" s="163">
        <f t="shared" ca="1" si="354"/>
        <v>0</v>
      </c>
      <c r="Z591" s="163">
        <f t="shared" ca="1" si="347"/>
        <v>0</v>
      </c>
      <c r="AA591" s="163">
        <f t="shared" ca="1" si="355"/>
        <v>0</v>
      </c>
      <c r="AB591" s="84">
        <f t="shared" ca="1" si="338"/>
        <v>0</v>
      </c>
      <c r="AC591" s="160">
        <f t="shared" si="339"/>
        <v>0</v>
      </c>
      <c r="AD591" s="31">
        <f t="shared" ca="1" si="340"/>
        <v>0</v>
      </c>
      <c r="AF591" s="5"/>
      <c r="AG591" s="5"/>
      <c r="AS591" s="55">
        <f t="shared" si="348"/>
        <v>49</v>
      </c>
      <c r="AT591" s="56">
        <f t="shared" si="356"/>
        <v>588</v>
      </c>
      <c r="AU591" s="57">
        <f t="shared" si="330"/>
        <v>5.674951461827972E-2</v>
      </c>
      <c r="AV591" s="58">
        <f t="shared" si="349"/>
        <v>4.8675505653430484E-3</v>
      </c>
      <c r="AW591" s="59">
        <f t="shared" si="350"/>
        <v>1.004867550565343</v>
      </c>
      <c r="AX591" s="60">
        <f>PRODUCT(AW$4:AW591)</f>
        <v>17.377504033010919</v>
      </c>
    </row>
    <row r="592" spans="5:50">
      <c r="E592">
        <f t="shared" ref="E592:E655" si="358">E591+1</f>
        <v>589</v>
      </c>
      <c r="F592" s="9">
        <f t="shared" si="351"/>
        <v>117.99999999999721</v>
      </c>
      <c r="G592" s="132">
        <f t="shared" si="331"/>
        <v>0</v>
      </c>
      <c r="H592" s="133">
        <f t="shared" si="357"/>
        <v>1</v>
      </c>
      <c r="I592" s="31">
        <f t="shared" si="341"/>
        <v>0</v>
      </c>
      <c r="J592" s="31">
        <f t="shared" si="332"/>
        <v>0</v>
      </c>
      <c r="K592" s="163">
        <f t="shared" si="333"/>
        <v>0</v>
      </c>
      <c r="L592" s="163">
        <f t="shared" si="342"/>
        <v>0</v>
      </c>
      <c r="M592" s="163">
        <f t="shared" ref="M592:M655" si="359">IF(OR(I591+O591=0,K591=0),0,-IF(MOD(E592-1,12)=0,1,0)*I592*($C$17))</f>
        <v>0</v>
      </c>
      <c r="N592" s="163">
        <f t="shared" si="343"/>
        <v>0</v>
      </c>
      <c r="O592" s="84">
        <f t="shared" si="334"/>
        <v>0</v>
      </c>
      <c r="P592" s="31">
        <f t="shared" si="335"/>
        <v>0</v>
      </c>
      <c r="R592">
        <f t="shared" ca="1" si="344"/>
        <v>709</v>
      </c>
      <c r="S592" s="133">
        <f t="shared" ca="1" si="345"/>
        <v>126.04</v>
      </c>
      <c r="T592" s="132">
        <f t="shared" ca="1" si="336"/>
        <v>0</v>
      </c>
      <c r="U592" s="133">
        <f t="shared" ca="1" si="352"/>
        <v>1.9008342029825436E-4</v>
      </c>
      <c r="V592" s="31">
        <f t="shared" ca="1" si="346"/>
        <v>0</v>
      </c>
      <c r="W592" s="31">
        <f t="shared" ca="1" si="337"/>
        <v>0</v>
      </c>
      <c r="X592" s="163">
        <f t="shared" ca="1" si="353"/>
        <v>0</v>
      </c>
      <c r="Y592" s="163">
        <f t="shared" ca="1" si="354"/>
        <v>0</v>
      </c>
      <c r="Z592" s="163">
        <f t="shared" ca="1" si="347"/>
        <v>0</v>
      </c>
      <c r="AA592" s="163">
        <f t="shared" ca="1" si="355"/>
        <v>0</v>
      </c>
      <c r="AB592" s="84">
        <f t="shared" ca="1" si="338"/>
        <v>0</v>
      </c>
      <c r="AC592" s="160">
        <f t="shared" si="339"/>
        <v>0</v>
      </c>
      <c r="AD592" s="31">
        <f t="shared" ca="1" si="340"/>
        <v>0</v>
      </c>
      <c r="AF592" s="5"/>
      <c r="AG592" s="5"/>
      <c r="AS592" s="55">
        <f t="shared" si="348"/>
        <v>50</v>
      </c>
      <c r="AT592" s="56">
        <f t="shared" si="356"/>
        <v>589</v>
      </c>
      <c r="AU592" s="57">
        <f t="shared" si="330"/>
        <v>5.6473283486316569E-2</v>
      </c>
      <c r="AV592" s="58">
        <f t="shared" si="349"/>
        <v>4.8675505653430484E-3</v>
      </c>
      <c r="AW592" s="59">
        <f t="shared" si="350"/>
        <v>1.004867550565343</v>
      </c>
      <c r="AX592" s="60">
        <f>PRODUCT(AW$4:AW592)</f>
        <v>17.46208991259105</v>
      </c>
    </row>
    <row r="593" spans="5:50">
      <c r="E593">
        <f t="shared" si="358"/>
        <v>590</v>
      </c>
      <c r="F593" s="9">
        <f t="shared" si="351"/>
        <v>118.08333333333054</v>
      </c>
      <c r="G593" s="132">
        <f t="shared" si="331"/>
        <v>0</v>
      </c>
      <c r="H593" s="133">
        <f t="shared" si="357"/>
        <v>1</v>
      </c>
      <c r="I593" s="31">
        <f t="shared" si="341"/>
        <v>0</v>
      </c>
      <c r="J593" s="31">
        <f t="shared" si="332"/>
        <v>0</v>
      </c>
      <c r="K593" s="163">
        <f t="shared" si="333"/>
        <v>0</v>
      </c>
      <c r="L593" s="163">
        <f t="shared" si="342"/>
        <v>0</v>
      </c>
      <c r="M593" s="163">
        <f t="shared" si="359"/>
        <v>0</v>
      </c>
      <c r="N593" s="163">
        <f t="shared" si="343"/>
        <v>0</v>
      </c>
      <c r="O593" s="84">
        <f t="shared" si="334"/>
        <v>0</v>
      </c>
      <c r="P593" s="31">
        <f t="shared" si="335"/>
        <v>0</v>
      </c>
      <c r="R593">
        <f t="shared" ca="1" si="344"/>
        <v>710</v>
      </c>
      <c r="S593" s="133">
        <f t="shared" ca="1" si="345"/>
        <v>126.12</v>
      </c>
      <c r="T593" s="132">
        <f t="shared" ca="1" si="336"/>
        <v>0</v>
      </c>
      <c r="U593" s="133">
        <f t="shared" ca="1" si="352"/>
        <v>1.9008342029825436E-4</v>
      </c>
      <c r="V593" s="31">
        <f t="shared" ca="1" si="346"/>
        <v>0</v>
      </c>
      <c r="W593" s="31">
        <f t="shared" ca="1" si="337"/>
        <v>0</v>
      </c>
      <c r="X593" s="163">
        <f t="shared" ca="1" si="353"/>
        <v>0</v>
      </c>
      <c r="Y593" s="163">
        <f t="shared" ca="1" si="354"/>
        <v>0</v>
      </c>
      <c r="Z593" s="163">
        <f t="shared" ca="1" si="347"/>
        <v>0</v>
      </c>
      <c r="AA593" s="163">
        <f t="shared" ca="1" si="355"/>
        <v>0</v>
      </c>
      <c r="AB593" s="84">
        <f t="shared" ca="1" si="338"/>
        <v>0</v>
      </c>
      <c r="AC593" s="160">
        <f t="shared" si="339"/>
        <v>0</v>
      </c>
      <c r="AD593" s="31">
        <f t="shared" ca="1" si="340"/>
        <v>0</v>
      </c>
      <c r="AF593" s="5"/>
      <c r="AG593" s="5"/>
      <c r="AS593" s="55">
        <f t="shared" si="348"/>
        <v>50</v>
      </c>
      <c r="AT593" s="56">
        <f t="shared" si="356"/>
        <v>590</v>
      </c>
      <c r="AU593" s="57">
        <f t="shared" si="330"/>
        <v>5.6198396923355973E-2</v>
      </c>
      <c r="AV593" s="58">
        <f t="shared" si="349"/>
        <v>4.8675505653430484E-3</v>
      </c>
      <c r="AW593" s="59">
        <f t="shared" si="350"/>
        <v>1.004867550565343</v>
      </c>
      <c r="AX593" s="60">
        <f>PRODUCT(AW$4:AW593)</f>
        <v>17.547087518217154</v>
      </c>
    </row>
    <row r="594" spans="5:50">
      <c r="E594">
        <f t="shared" si="358"/>
        <v>591</v>
      </c>
      <c r="F594" s="9">
        <f t="shared" si="351"/>
        <v>118.16666666666387</v>
      </c>
      <c r="G594" s="132">
        <f t="shared" si="331"/>
        <v>0</v>
      </c>
      <c r="H594" s="133">
        <f t="shared" si="357"/>
        <v>1</v>
      </c>
      <c r="I594" s="31">
        <f t="shared" si="341"/>
        <v>0</v>
      </c>
      <c r="J594" s="31">
        <f t="shared" si="332"/>
        <v>0</v>
      </c>
      <c r="K594" s="163">
        <f t="shared" si="333"/>
        <v>0</v>
      </c>
      <c r="L594" s="163">
        <f t="shared" si="342"/>
        <v>0</v>
      </c>
      <c r="M594" s="163">
        <f t="shared" si="359"/>
        <v>0</v>
      </c>
      <c r="N594" s="163">
        <f t="shared" si="343"/>
        <v>0</v>
      </c>
      <c r="O594" s="84">
        <f t="shared" si="334"/>
        <v>0</v>
      </c>
      <c r="P594" s="31">
        <f t="shared" si="335"/>
        <v>0</v>
      </c>
      <c r="R594">
        <f t="shared" ca="1" si="344"/>
        <v>711</v>
      </c>
      <c r="S594" s="133">
        <f t="shared" ca="1" si="345"/>
        <v>126.2</v>
      </c>
      <c r="T594" s="132">
        <f t="shared" ca="1" si="336"/>
        <v>0</v>
      </c>
      <c r="U594" s="133">
        <f t="shared" ca="1" si="352"/>
        <v>1.9008342029825436E-4</v>
      </c>
      <c r="V594" s="31">
        <f t="shared" ca="1" si="346"/>
        <v>0</v>
      </c>
      <c r="W594" s="31">
        <f t="shared" ca="1" si="337"/>
        <v>0</v>
      </c>
      <c r="X594" s="163">
        <f t="shared" ca="1" si="353"/>
        <v>0</v>
      </c>
      <c r="Y594" s="163">
        <f t="shared" ca="1" si="354"/>
        <v>0</v>
      </c>
      <c r="Z594" s="163">
        <f t="shared" ca="1" si="347"/>
        <v>0</v>
      </c>
      <c r="AA594" s="163">
        <f t="shared" ca="1" si="355"/>
        <v>0</v>
      </c>
      <c r="AB594" s="84">
        <f t="shared" ca="1" si="338"/>
        <v>0</v>
      </c>
      <c r="AC594" s="160">
        <f t="shared" si="339"/>
        <v>0</v>
      </c>
      <c r="AD594" s="31">
        <f t="shared" ca="1" si="340"/>
        <v>0</v>
      </c>
      <c r="AF594" s="5"/>
      <c r="AG594" s="5"/>
      <c r="AS594" s="55">
        <f t="shared" si="348"/>
        <v>50</v>
      </c>
      <c r="AT594" s="56">
        <f t="shared" si="356"/>
        <v>591</v>
      </c>
      <c r="AU594" s="57">
        <f t="shared" si="330"/>
        <v>5.5924848384640319E-2</v>
      </c>
      <c r="AV594" s="58">
        <f t="shared" si="349"/>
        <v>4.8675505653430484E-3</v>
      </c>
      <c r="AW594" s="59">
        <f t="shared" si="350"/>
        <v>1.004867550565343</v>
      </c>
      <c r="AX594" s="60">
        <f>PRODUCT(AW$4:AW594)</f>
        <v>17.632498853986576</v>
      </c>
    </row>
    <row r="595" spans="5:50">
      <c r="E595">
        <f t="shared" si="358"/>
        <v>592</v>
      </c>
      <c r="F595" s="9">
        <f t="shared" si="351"/>
        <v>118.2499999999972</v>
      </c>
      <c r="G595" s="132">
        <f t="shared" si="331"/>
        <v>0</v>
      </c>
      <c r="H595" s="133">
        <f t="shared" si="357"/>
        <v>1</v>
      </c>
      <c r="I595" s="31">
        <f t="shared" si="341"/>
        <v>0</v>
      </c>
      <c r="J595" s="31">
        <f t="shared" si="332"/>
        <v>0</v>
      </c>
      <c r="K595" s="163">
        <f t="shared" si="333"/>
        <v>0</v>
      </c>
      <c r="L595" s="163">
        <f t="shared" si="342"/>
        <v>0</v>
      </c>
      <c r="M595" s="163">
        <f t="shared" si="359"/>
        <v>0</v>
      </c>
      <c r="N595" s="163">
        <f t="shared" si="343"/>
        <v>0</v>
      </c>
      <c r="O595" s="84">
        <f t="shared" si="334"/>
        <v>0</v>
      </c>
      <c r="P595" s="31">
        <f t="shared" si="335"/>
        <v>0</v>
      </c>
      <c r="R595">
        <f t="shared" ca="1" si="344"/>
        <v>712</v>
      </c>
      <c r="S595" s="133">
        <f t="shared" ca="1" si="345"/>
        <v>126.28</v>
      </c>
      <c r="T595" s="132">
        <f t="shared" ca="1" si="336"/>
        <v>0</v>
      </c>
      <c r="U595" s="133">
        <f t="shared" ca="1" si="352"/>
        <v>1.9008342029825436E-4</v>
      </c>
      <c r="V595" s="31">
        <f t="shared" ca="1" si="346"/>
        <v>0</v>
      </c>
      <c r="W595" s="31">
        <f t="shared" ca="1" si="337"/>
        <v>0</v>
      </c>
      <c r="X595" s="163">
        <f t="shared" ca="1" si="353"/>
        <v>0</v>
      </c>
      <c r="Y595" s="163">
        <f t="shared" ca="1" si="354"/>
        <v>0</v>
      </c>
      <c r="Z595" s="163">
        <f t="shared" ca="1" si="347"/>
        <v>0</v>
      </c>
      <c r="AA595" s="163">
        <f t="shared" ca="1" si="355"/>
        <v>0</v>
      </c>
      <c r="AB595" s="84">
        <f t="shared" ca="1" si="338"/>
        <v>0</v>
      </c>
      <c r="AC595" s="160">
        <f t="shared" si="339"/>
        <v>0</v>
      </c>
      <c r="AD595" s="31">
        <f t="shared" ca="1" si="340"/>
        <v>0</v>
      </c>
      <c r="AF595" s="5"/>
      <c r="AG595" s="5"/>
      <c r="AS595" s="55">
        <f t="shared" si="348"/>
        <v>50</v>
      </c>
      <c r="AT595" s="56">
        <f t="shared" si="356"/>
        <v>592</v>
      </c>
      <c r="AU595" s="57">
        <f t="shared" si="330"/>
        <v>5.5652631357268938E-2</v>
      </c>
      <c r="AV595" s="58">
        <f t="shared" si="349"/>
        <v>4.8675505653430484E-3</v>
      </c>
      <c r="AW595" s="59">
        <f t="shared" si="350"/>
        <v>1.004867550565343</v>
      </c>
      <c r="AX595" s="60">
        <f>PRODUCT(AW$4:AW595)</f>
        <v>17.718325933751707</v>
      </c>
    </row>
    <row r="596" spans="5:50">
      <c r="E596">
        <f t="shared" si="358"/>
        <v>593</v>
      </c>
      <c r="F596" s="9">
        <f t="shared" si="351"/>
        <v>118.33333333333053</v>
      </c>
      <c r="G596" s="132">
        <f t="shared" si="331"/>
        <v>0</v>
      </c>
      <c r="H596" s="133">
        <f t="shared" si="357"/>
        <v>1</v>
      </c>
      <c r="I596" s="31">
        <f t="shared" si="341"/>
        <v>0</v>
      </c>
      <c r="J596" s="31">
        <f t="shared" si="332"/>
        <v>0</v>
      </c>
      <c r="K596" s="163">
        <f t="shared" si="333"/>
        <v>0</v>
      </c>
      <c r="L596" s="163">
        <f t="shared" si="342"/>
        <v>0</v>
      </c>
      <c r="M596" s="163">
        <f t="shared" si="359"/>
        <v>0</v>
      </c>
      <c r="N596" s="163">
        <f t="shared" si="343"/>
        <v>0</v>
      </c>
      <c r="O596" s="84">
        <f t="shared" si="334"/>
        <v>0</v>
      </c>
      <c r="P596" s="31">
        <f t="shared" si="335"/>
        <v>0</v>
      </c>
      <c r="R596">
        <f t="shared" ca="1" si="344"/>
        <v>713</v>
      </c>
      <c r="S596" s="133">
        <f t="shared" ca="1" si="345"/>
        <v>126.36</v>
      </c>
      <c r="T596" s="132">
        <f t="shared" ca="1" si="336"/>
        <v>0</v>
      </c>
      <c r="U596" s="133">
        <f t="shared" ca="1" si="352"/>
        <v>1.9008342029825436E-4</v>
      </c>
      <c r="V596" s="31">
        <f t="shared" ca="1" si="346"/>
        <v>0</v>
      </c>
      <c r="W596" s="31">
        <f t="shared" ca="1" si="337"/>
        <v>0</v>
      </c>
      <c r="X596" s="163">
        <f t="shared" ca="1" si="353"/>
        <v>0</v>
      </c>
      <c r="Y596" s="163">
        <f t="shared" ca="1" si="354"/>
        <v>0</v>
      </c>
      <c r="Z596" s="163">
        <f t="shared" ca="1" si="347"/>
        <v>0</v>
      </c>
      <c r="AA596" s="163">
        <f t="shared" ca="1" si="355"/>
        <v>0</v>
      </c>
      <c r="AB596" s="84">
        <f t="shared" ca="1" si="338"/>
        <v>0</v>
      </c>
      <c r="AC596" s="160">
        <f t="shared" si="339"/>
        <v>0</v>
      </c>
      <c r="AD596" s="31">
        <f t="shared" ca="1" si="340"/>
        <v>0</v>
      </c>
      <c r="AF596" s="5"/>
      <c r="AG596" s="5"/>
      <c r="AS596" s="55">
        <f t="shared" si="348"/>
        <v>50</v>
      </c>
      <c r="AT596" s="56">
        <f t="shared" si="356"/>
        <v>593</v>
      </c>
      <c r="AU596" s="57">
        <f t="shared" si="330"/>
        <v>5.5381739360043036E-2</v>
      </c>
      <c r="AV596" s="58">
        <f t="shared" si="349"/>
        <v>4.8675505653430484E-3</v>
      </c>
      <c r="AW596" s="59">
        <f t="shared" si="350"/>
        <v>1.004867550565343</v>
      </c>
      <c r="AX596" s="60">
        <f>PRODUCT(AW$4:AW596)</f>
        <v>17.804570781167474</v>
      </c>
    </row>
    <row r="597" spans="5:50">
      <c r="E597">
        <f t="shared" si="358"/>
        <v>594</v>
      </c>
      <c r="F597" s="9">
        <f t="shared" si="351"/>
        <v>118.41666666666386</v>
      </c>
      <c r="G597" s="132">
        <f t="shared" si="331"/>
        <v>0</v>
      </c>
      <c r="H597" s="133">
        <f t="shared" si="357"/>
        <v>1</v>
      </c>
      <c r="I597" s="31">
        <f t="shared" si="341"/>
        <v>0</v>
      </c>
      <c r="J597" s="31">
        <f t="shared" si="332"/>
        <v>0</v>
      </c>
      <c r="K597" s="163">
        <f t="shared" si="333"/>
        <v>0</v>
      </c>
      <c r="L597" s="163">
        <f t="shared" si="342"/>
        <v>0</v>
      </c>
      <c r="M597" s="163">
        <f t="shared" si="359"/>
        <v>0</v>
      </c>
      <c r="N597" s="163">
        <f t="shared" si="343"/>
        <v>0</v>
      </c>
      <c r="O597" s="84">
        <f t="shared" si="334"/>
        <v>0</v>
      </c>
      <c r="P597" s="31">
        <f t="shared" si="335"/>
        <v>0</v>
      </c>
      <c r="R597">
        <f t="shared" ca="1" si="344"/>
        <v>714</v>
      </c>
      <c r="S597" s="133">
        <f t="shared" ca="1" si="345"/>
        <v>126.44</v>
      </c>
      <c r="T597" s="132">
        <f t="shared" ca="1" si="336"/>
        <v>0</v>
      </c>
      <c r="U597" s="133">
        <f t="shared" ca="1" si="352"/>
        <v>1.9008342029825436E-4</v>
      </c>
      <c r="V597" s="31">
        <f t="shared" ca="1" si="346"/>
        <v>0</v>
      </c>
      <c r="W597" s="31">
        <f t="shared" ca="1" si="337"/>
        <v>0</v>
      </c>
      <c r="X597" s="163">
        <f t="shared" ca="1" si="353"/>
        <v>0</v>
      </c>
      <c r="Y597" s="163">
        <f t="shared" ca="1" si="354"/>
        <v>0</v>
      </c>
      <c r="Z597" s="163">
        <f t="shared" ca="1" si="347"/>
        <v>0</v>
      </c>
      <c r="AA597" s="163">
        <f t="shared" ca="1" si="355"/>
        <v>0</v>
      </c>
      <c r="AB597" s="84">
        <f t="shared" ca="1" si="338"/>
        <v>0</v>
      </c>
      <c r="AC597" s="160">
        <f t="shared" si="339"/>
        <v>0</v>
      </c>
      <c r="AD597" s="31">
        <f t="shared" ca="1" si="340"/>
        <v>0</v>
      </c>
      <c r="AF597" s="5"/>
      <c r="AG597" s="5"/>
      <c r="AS597" s="55">
        <f t="shared" si="348"/>
        <v>50</v>
      </c>
      <c r="AT597" s="56">
        <f t="shared" si="356"/>
        <v>594</v>
      </c>
      <c r="AU597" s="57">
        <f t="shared" si="330"/>
        <v>5.5112165943311378E-2</v>
      </c>
      <c r="AV597" s="58">
        <f t="shared" si="349"/>
        <v>4.8675505653430484E-3</v>
      </c>
      <c r="AW597" s="59">
        <f t="shared" si="350"/>
        <v>1.004867550565343</v>
      </c>
      <c r="AX597" s="60">
        <f>PRODUCT(AW$4:AW597)</f>
        <v>17.891235429739037</v>
      </c>
    </row>
    <row r="598" spans="5:50">
      <c r="E598">
        <f t="shared" si="358"/>
        <v>595</v>
      </c>
      <c r="F598" s="9">
        <f t="shared" si="351"/>
        <v>118.49999999999719</v>
      </c>
      <c r="G598" s="132">
        <f t="shared" si="331"/>
        <v>0</v>
      </c>
      <c r="H598" s="133">
        <f t="shared" si="357"/>
        <v>1</v>
      </c>
      <c r="I598" s="31">
        <f t="shared" si="341"/>
        <v>0</v>
      </c>
      <c r="J598" s="31">
        <f t="shared" si="332"/>
        <v>0</v>
      </c>
      <c r="K598" s="163">
        <f t="shared" si="333"/>
        <v>0</v>
      </c>
      <c r="L598" s="163">
        <f t="shared" si="342"/>
        <v>0</v>
      </c>
      <c r="M598" s="163">
        <f t="shared" si="359"/>
        <v>0</v>
      </c>
      <c r="N598" s="163">
        <f t="shared" si="343"/>
        <v>0</v>
      </c>
      <c r="O598" s="84">
        <f t="shared" si="334"/>
        <v>0</v>
      </c>
      <c r="P598" s="31">
        <f t="shared" si="335"/>
        <v>0</v>
      </c>
      <c r="R598">
        <f t="shared" ca="1" si="344"/>
        <v>715</v>
      </c>
      <c r="S598" s="133">
        <f t="shared" ca="1" si="345"/>
        <v>126.52</v>
      </c>
      <c r="T598" s="132">
        <f t="shared" ca="1" si="336"/>
        <v>0</v>
      </c>
      <c r="U598" s="133">
        <f t="shared" ca="1" si="352"/>
        <v>1.9008342029825436E-4</v>
      </c>
      <c r="V598" s="31">
        <f t="shared" ca="1" si="346"/>
        <v>0</v>
      </c>
      <c r="W598" s="31">
        <f t="shared" ca="1" si="337"/>
        <v>0</v>
      </c>
      <c r="X598" s="163">
        <f t="shared" ca="1" si="353"/>
        <v>0</v>
      </c>
      <c r="Y598" s="163">
        <f t="shared" ca="1" si="354"/>
        <v>0</v>
      </c>
      <c r="Z598" s="163">
        <f t="shared" ca="1" si="347"/>
        <v>0</v>
      </c>
      <c r="AA598" s="163">
        <f t="shared" ca="1" si="355"/>
        <v>0</v>
      </c>
      <c r="AB598" s="84">
        <f t="shared" ca="1" si="338"/>
        <v>0</v>
      </c>
      <c r="AC598" s="160">
        <f t="shared" si="339"/>
        <v>0</v>
      </c>
      <c r="AD598" s="31">
        <f t="shared" ca="1" si="340"/>
        <v>0</v>
      </c>
      <c r="AF598" s="5"/>
      <c r="AG598" s="5"/>
      <c r="AS598" s="55">
        <f t="shared" si="348"/>
        <v>50</v>
      </c>
      <c r="AT598" s="56">
        <f t="shared" si="356"/>
        <v>595</v>
      </c>
      <c r="AU598" s="57">
        <f t="shared" si="330"/>
        <v>5.4843904688816732E-2</v>
      </c>
      <c r="AV598" s="58">
        <f t="shared" si="349"/>
        <v>4.8675505653430484E-3</v>
      </c>
      <c r="AW598" s="59">
        <f t="shared" si="350"/>
        <v>1.004867550565343</v>
      </c>
      <c r="AX598" s="60">
        <f>PRODUCT(AW$4:AW598)</f>
        <v>17.97832192286975</v>
      </c>
    </row>
    <row r="599" spans="5:50">
      <c r="E599">
        <f t="shared" si="358"/>
        <v>596</v>
      </c>
      <c r="F599" s="9">
        <f t="shared" si="351"/>
        <v>118.58333333333051</v>
      </c>
      <c r="G599" s="132">
        <f t="shared" si="331"/>
        <v>0</v>
      </c>
      <c r="H599" s="133">
        <f t="shared" si="357"/>
        <v>1</v>
      </c>
      <c r="I599" s="31">
        <f t="shared" si="341"/>
        <v>0</v>
      </c>
      <c r="J599" s="31">
        <f t="shared" si="332"/>
        <v>0</v>
      </c>
      <c r="K599" s="163">
        <f t="shared" si="333"/>
        <v>0</v>
      </c>
      <c r="L599" s="163">
        <f t="shared" si="342"/>
        <v>0</v>
      </c>
      <c r="M599" s="163">
        <f t="shared" si="359"/>
        <v>0</v>
      </c>
      <c r="N599" s="163">
        <f t="shared" si="343"/>
        <v>0</v>
      </c>
      <c r="O599" s="84">
        <f t="shared" si="334"/>
        <v>0</v>
      </c>
      <c r="P599" s="31">
        <f t="shared" si="335"/>
        <v>0</v>
      </c>
      <c r="R599">
        <f t="shared" ca="1" si="344"/>
        <v>716</v>
      </c>
      <c r="S599" s="133">
        <f t="shared" ca="1" si="345"/>
        <v>126.6</v>
      </c>
      <c r="T599" s="132">
        <f t="shared" ca="1" si="336"/>
        <v>0</v>
      </c>
      <c r="U599" s="133">
        <f t="shared" ca="1" si="352"/>
        <v>1.9008342029825436E-4</v>
      </c>
      <c r="V599" s="31">
        <f t="shared" ca="1" si="346"/>
        <v>0</v>
      </c>
      <c r="W599" s="31">
        <f t="shared" ca="1" si="337"/>
        <v>0</v>
      </c>
      <c r="X599" s="163">
        <f t="shared" ca="1" si="353"/>
        <v>0</v>
      </c>
      <c r="Y599" s="163">
        <f t="shared" ca="1" si="354"/>
        <v>0</v>
      </c>
      <c r="Z599" s="163">
        <f t="shared" ca="1" si="347"/>
        <v>0</v>
      </c>
      <c r="AA599" s="163">
        <f t="shared" ca="1" si="355"/>
        <v>0</v>
      </c>
      <c r="AB599" s="84">
        <f t="shared" ca="1" si="338"/>
        <v>0</v>
      </c>
      <c r="AC599" s="160">
        <f t="shared" si="339"/>
        <v>0</v>
      </c>
      <c r="AD599" s="31">
        <f t="shared" ca="1" si="340"/>
        <v>0</v>
      </c>
      <c r="AF599" s="5"/>
      <c r="AG599" s="5"/>
      <c r="AS599" s="55">
        <f t="shared" si="348"/>
        <v>50</v>
      </c>
      <c r="AT599" s="56">
        <f t="shared" si="356"/>
        <v>596</v>
      </c>
      <c r="AU599" s="57">
        <f t="shared" ref="AU599:AU662" si="360">(1-AV599)*AU598</f>
        <v>5.4576949209543063E-2</v>
      </c>
      <c r="AV599" s="58">
        <f t="shared" si="349"/>
        <v>4.8675505653430484E-3</v>
      </c>
      <c r="AW599" s="59">
        <f t="shared" si="350"/>
        <v>1.004867550565343</v>
      </c>
      <c r="AX599" s="60">
        <f>PRODUCT(AW$4:AW599)</f>
        <v>18.065832313909333</v>
      </c>
    </row>
    <row r="600" spans="5:50">
      <c r="E600">
        <f t="shared" si="358"/>
        <v>597</v>
      </c>
      <c r="F600" s="9">
        <f t="shared" si="351"/>
        <v>118.66666666666384</v>
      </c>
      <c r="G600" s="132">
        <f t="shared" si="331"/>
        <v>0</v>
      </c>
      <c r="H600" s="133">
        <f t="shared" si="357"/>
        <v>1</v>
      </c>
      <c r="I600" s="31">
        <f t="shared" si="341"/>
        <v>0</v>
      </c>
      <c r="J600" s="31">
        <f t="shared" si="332"/>
        <v>0</v>
      </c>
      <c r="K600" s="163">
        <f t="shared" si="333"/>
        <v>0</v>
      </c>
      <c r="L600" s="163">
        <f t="shared" si="342"/>
        <v>0</v>
      </c>
      <c r="M600" s="163">
        <f t="shared" si="359"/>
        <v>0</v>
      </c>
      <c r="N600" s="163">
        <f t="shared" si="343"/>
        <v>0</v>
      </c>
      <c r="O600" s="84">
        <f t="shared" si="334"/>
        <v>0</v>
      </c>
      <c r="P600" s="31">
        <f t="shared" si="335"/>
        <v>0</v>
      </c>
      <c r="R600">
        <f t="shared" ca="1" si="344"/>
        <v>717</v>
      </c>
      <c r="S600" s="133">
        <f t="shared" ca="1" si="345"/>
        <v>126.68</v>
      </c>
      <c r="T600" s="132">
        <f t="shared" ca="1" si="336"/>
        <v>0</v>
      </c>
      <c r="U600" s="133">
        <f t="shared" ca="1" si="352"/>
        <v>1.9008342029825436E-4</v>
      </c>
      <c r="V600" s="31">
        <f t="shared" ca="1" si="346"/>
        <v>0</v>
      </c>
      <c r="W600" s="31">
        <f t="shared" ca="1" si="337"/>
        <v>0</v>
      </c>
      <c r="X600" s="163">
        <f t="shared" ca="1" si="353"/>
        <v>0</v>
      </c>
      <c r="Y600" s="163">
        <f t="shared" ca="1" si="354"/>
        <v>0</v>
      </c>
      <c r="Z600" s="163">
        <f t="shared" ca="1" si="347"/>
        <v>0</v>
      </c>
      <c r="AA600" s="163">
        <f t="shared" ca="1" si="355"/>
        <v>0</v>
      </c>
      <c r="AB600" s="84">
        <f t="shared" ca="1" si="338"/>
        <v>0</v>
      </c>
      <c r="AC600" s="160">
        <f t="shared" si="339"/>
        <v>0</v>
      </c>
      <c r="AD600" s="31">
        <f t="shared" ca="1" si="340"/>
        <v>0</v>
      </c>
      <c r="AF600" s="5"/>
      <c r="AG600" s="5"/>
      <c r="AS600" s="55">
        <f t="shared" si="348"/>
        <v>50</v>
      </c>
      <c r="AT600" s="56">
        <f t="shared" si="356"/>
        <v>597</v>
      </c>
      <c r="AU600" s="57">
        <f t="shared" si="360"/>
        <v>5.4311293149563455E-2</v>
      </c>
      <c r="AV600" s="58">
        <f t="shared" si="349"/>
        <v>4.8675505653430484E-3</v>
      </c>
      <c r="AW600" s="59">
        <f t="shared" si="350"/>
        <v>1.004867550565343</v>
      </c>
      <c r="AX600" s="60">
        <f>PRODUCT(AW$4:AW600)</f>
        <v>18.153768666202296</v>
      </c>
    </row>
    <row r="601" spans="5:50">
      <c r="E601">
        <f t="shared" si="358"/>
        <v>598</v>
      </c>
      <c r="F601" s="9">
        <f t="shared" si="351"/>
        <v>118.74999999999717</v>
      </c>
      <c r="G601" s="132">
        <f t="shared" si="331"/>
        <v>0</v>
      </c>
      <c r="H601" s="133">
        <f t="shared" si="357"/>
        <v>1</v>
      </c>
      <c r="I601" s="31">
        <f t="shared" si="341"/>
        <v>0</v>
      </c>
      <c r="J601" s="31">
        <f t="shared" si="332"/>
        <v>0</v>
      </c>
      <c r="K601" s="163">
        <f t="shared" si="333"/>
        <v>0</v>
      </c>
      <c r="L601" s="163">
        <f t="shared" si="342"/>
        <v>0</v>
      </c>
      <c r="M601" s="163">
        <f t="shared" si="359"/>
        <v>0</v>
      </c>
      <c r="N601" s="163">
        <f t="shared" si="343"/>
        <v>0</v>
      </c>
      <c r="O601" s="84">
        <f t="shared" si="334"/>
        <v>0</v>
      </c>
      <c r="P601" s="31">
        <f t="shared" si="335"/>
        <v>0</v>
      </c>
      <c r="R601">
        <f t="shared" ca="1" si="344"/>
        <v>718</v>
      </c>
      <c r="S601" s="133">
        <f t="shared" ca="1" si="345"/>
        <v>126.76</v>
      </c>
      <c r="T601" s="132">
        <f t="shared" ca="1" si="336"/>
        <v>0</v>
      </c>
      <c r="U601" s="133">
        <f t="shared" ca="1" si="352"/>
        <v>1.9008342029825436E-4</v>
      </c>
      <c r="V601" s="31">
        <f t="shared" ca="1" si="346"/>
        <v>0</v>
      </c>
      <c r="W601" s="31">
        <f t="shared" ca="1" si="337"/>
        <v>0</v>
      </c>
      <c r="X601" s="163">
        <f t="shared" ca="1" si="353"/>
        <v>0</v>
      </c>
      <c r="Y601" s="163">
        <f t="shared" ca="1" si="354"/>
        <v>0</v>
      </c>
      <c r="Z601" s="163">
        <f t="shared" ca="1" si="347"/>
        <v>0</v>
      </c>
      <c r="AA601" s="163">
        <f t="shared" ca="1" si="355"/>
        <v>0</v>
      </c>
      <c r="AB601" s="84">
        <f t="shared" ca="1" si="338"/>
        <v>0</v>
      </c>
      <c r="AC601" s="160">
        <f t="shared" si="339"/>
        <v>0</v>
      </c>
      <c r="AD601" s="31">
        <f t="shared" ca="1" si="340"/>
        <v>0</v>
      </c>
      <c r="AF601" s="5"/>
      <c r="AG601" s="5"/>
      <c r="AS601" s="55">
        <f t="shared" si="348"/>
        <v>50</v>
      </c>
      <c r="AT601" s="56">
        <f t="shared" si="356"/>
        <v>598</v>
      </c>
      <c r="AU601" s="57">
        <f t="shared" si="360"/>
        <v>5.4046930183888786E-2</v>
      </c>
      <c r="AV601" s="58">
        <f t="shared" si="349"/>
        <v>4.8675505653430484E-3</v>
      </c>
      <c r="AW601" s="59">
        <f t="shared" si="350"/>
        <v>1.004867550565343</v>
      </c>
      <c r="AX601" s="60">
        <f>PRODUCT(AW$4:AW601)</f>
        <v>18.242133053136577</v>
      </c>
    </row>
    <row r="602" spans="5:50">
      <c r="E602">
        <f t="shared" si="358"/>
        <v>599</v>
      </c>
      <c r="F602" s="9">
        <f t="shared" si="351"/>
        <v>118.8333333333305</v>
      </c>
      <c r="G602" s="132">
        <f t="shared" si="331"/>
        <v>0</v>
      </c>
      <c r="H602" s="133">
        <f t="shared" si="357"/>
        <v>1</v>
      </c>
      <c r="I602" s="31">
        <f t="shared" si="341"/>
        <v>0</v>
      </c>
      <c r="J602" s="31">
        <f t="shared" si="332"/>
        <v>0</v>
      </c>
      <c r="K602" s="163">
        <f t="shared" si="333"/>
        <v>0</v>
      </c>
      <c r="L602" s="163">
        <f t="shared" si="342"/>
        <v>0</v>
      </c>
      <c r="M602" s="163">
        <f t="shared" si="359"/>
        <v>0</v>
      </c>
      <c r="N602" s="163">
        <f t="shared" si="343"/>
        <v>0</v>
      </c>
      <c r="O602" s="84">
        <f t="shared" si="334"/>
        <v>0</v>
      </c>
      <c r="P602" s="31">
        <f t="shared" si="335"/>
        <v>0</v>
      </c>
      <c r="R602">
        <f t="shared" ca="1" si="344"/>
        <v>719</v>
      </c>
      <c r="S602" s="133">
        <f t="shared" ca="1" si="345"/>
        <v>126.84</v>
      </c>
      <c r="T602" s="132">
        <f t="shared" ca="1" si="336"/>
        <v>0</v>
      </c>
      <c r="U602" s="133">
        <f t="shared" ca="1" si="352"/>
        <v>1.9008342029825436E-4</v>
      </c>
      <c r="V602" s="31">
        <f t="shared" ca="1" si="346"/>
        <v>0</v>
      </c>
      <c r="W602" s="31">
        <f t="shared" ca="1" si="337"/>
        <v>0</v>
      </c>
      <c r="X602" s="163">
        <f t="shared" ca="1" si="353"/>
        <v>0</v>
      </c>
      <c r="Y602" s="163">
        <f t="shared" ca="1" si="354"/>
        <v>0</v>
      </c>
      <c r="Z602" s="163">
        <f t="shared" ca="1" si="347"/>
        <v>0</v>
      </c>
      <c r="AA602" s="163">
        <f t="shared" ca="1" si="355"/>
        <v>0</v>
      </c>
      <c r="AB602" s="84">
        <f t="shared" ca="1" si="338"/>
        <v>0</v>
      </c>
      <c r="AC602" s="160">
        <f t="shared" si="339"/>
        <v>0</v>
      </c>
      <c r="AD602" s="31">
        <f t="shared" ca="1" si="340"/>
        <v>0</v>
      </c>
      <c r="AF602" s="5"/>
      <c r="AG602" s="5"/>
      <c r="AS602" s="55">
        <f t="shared" si="348"/>
        <v>50</v>
      </c>
      <c r="AT602" s="56">
        <f t="shared" si="356"/>
        <v>599</v>
      </c>
      <c r="AU602" s="57">
        <f t="shared" si="360"/>
        <v>5.3783854018317145E-2</v>
      </c>
      <c r="AV602" s="58">
        <f t="shared" si="349"/>
        <v>4.8675505653430484E-3</v>
      </c>
      <c r="AW602" s="59">
        <f t="shared" si="350"/>
        <v>1.004867550565343</v>
      </c>
      <c r="AX602" s="60">
        <f>PRODUCT(AW$4:AW602)</f>
        <v>18.330927558192435</v>
      </c>
    </row>
    <row r="603" spans="5:50">
      <c r="E603">
        <f t="shared" si="358"/>
        <v>600</v>
      </c>
      <c r="F603" s="9">
        <f t="shared" si="351"/>
        <v>118.91666666666383</v>
      </c>
      <c r="G603" s="132">
        <f t="shared" si="331"/>
        <v>0</v>
      </c>
      <c r="H603" s="133">
        <f t="shared" si="357"/>
        <v>1</v>
      </c>
      <c r="I603" s="31">
        <f t="shared" si="341"/>
        <v>0</v>
      </c>
      <c r="J603" s="31">
        <f t="shared" si="332"/>
        <v>0</v>
      </c>
      <c r="K603" s="163">
        <f t="shared" si="333"/>
        <v>0</v>
      </c>
      <c r="L603" s="163">
        <f t="shared" si="342"/>
        <v>0</v>
      </c>
      <c r="M603" s="163">
        <f t="shared" si="359"/>
        <v>0</v>
      </c>
      <c r="N603" s="163">
        <f t="shared" si="343"/>
        <v>0</v>
      </c>
      <c r="O603" s="84">
        <f t="shared" si="334"/>
        <v>0</v>
      </c>
      <c r="P603" s="31">
        <f t="shared" si="335"/>
        <v>0</v>
      </c>
      <c r="R603">
        <f t="shared" ca="1" si="344"/>
        <v>720</v>
      </c>
      <c r="S603" s="133">
        <f t="shared" ca="1" si="345"/>
        <v>126.92</v>
      </c>
      <c r="T603" s="132">
        <f t="shared" ca="1" si="336"/>
        <v>0</v>
      </c>
      <c r="U603" s="133">
        <f t="shared" ca="1" si="352"/>
        <v>1.9008342029825436E-4</v>
      </c>
      <c r="V603" s="31">
        <f t="shared" ca="1" si="346"/>
        <v>0</v>
      </c>
      <c r="W603" s="31">
        <f t="shared" ca="1" si="337"/>
        <v>0</v>
      </c>
      <c r="X603" s="163">
        <f t="shared" ca="1" si="353"/>
        <v>0</v>
      </c>
      <c r="Y603" s="163">
        <f t="shared" ca="1" si="354"/>
        <v>0</v>
      </c>
      <c r="Z603" s="163">
        <f t="shared" ca="1" si="347"/>
        <v>0</v>
      </c>
      <c r="AA603" s="163">
        <f t="shared" ca="1" si="355"/>
        <v>0</v>
      </c>
      <c r="AB603" s="84">
        <f t="shared" ca="1" si="338"/>
        <v>0</v>
      </c>
      <c r="AC603" s="160">
        <f t="shared" si="339"/>
        <v>0</v>
      </c>
      <c r="AD603" s="31">
        <f t="shared" ca="1" si="340"/>
        <v>0</v>
      </c>
      <c r="AF603" s="5"/>
      <c r="AG603" s="5"/>
      <c r="AS603" s="55">
        <f t="shared" si="348"/>
        <v>50</v>
      </c>
      <c r="AT603" s="56">
        <f t="shared" si="356"/>
        <v>600</v>
      </c>
      <c r="AU603" s="57">
        <f t="shared" si="360"/>
        <v>5.3522058389283957E-2</v>
      </c>
      <c r="AV603" s="58">
        <f t="shared" si="349"/>
        <v>4.8675505653430484E-3</v>
      </c>
      <c r="AW603" s="59">
        <f t="shared" si="350"/>
        <v>1.004867550565343</v>
      </c>
      <c r="AX603" s="60">
        <f>PRODUCT(AW$4:AW603)</f>
        <v>18.420154274991578</v>
      </c>
    </row>
    <row r="604" spans="5:50">
      <c r="E604">
        <f t="shared" si="358"/>
        <v>601</v>
      </c>
      <c r="F604" s="9">
        <f t="shared" si="351"/>
        <v>118.99999999999716</v>
      </c>
      <c r="G604" s="132">
        <f t="shared" si="331"/>
        <v>0</v>
      </c>
      <c r="H604" s="133">
        <f t="shared" si="357"/>
        <v>1</v>
      </c>
      <c r="I604" s="31">
        <f t="shared" si="341"/>
        <v>0</v>
      </c>
      <c r="J604" s="31">
        <f t="shared" si="332"/>
        <v>0</v>
      </c>
      <c r="K604" s="163">
        <f t="shared" si="333"/>
        <v>0</v>
      </c>
      <c r="L604" s="163">
        <f t="shared" si="342"/>
        <v>0</v>
      </c>
      <c r="M604" s="163">
        <f t="shared" si="359"/>
        <v>0</v>
      </c>
      <c r="N604" s="163">
        <f t="shared" si="343"/>
        <v>0</v>
      </c>
      <c r="O604" s="84">
        <f t="shared" si="334"/>
        <v>0</v>
      </c>
      <c r="P604" s="31">
        <f t="shared" si="335"/>
        <v>0</v>
      </c>
      <c r="R604">
        <f t="shared" ca="1" si="344"/>
        <v>721</v>
      </c>
      <c r="S604" s="133">
        <f t="shared" ca="1" si="345"/>
        <v>127</v>
      </c>
      <c r="T604" s="132">
        <f t="shared" ca="1" si="336"/>
        <v>0</v>
      </c>
      <c r="U604" s="133">
        <f t="shared" ca="1" si="352"/>
        <v>1.9008342029825436E-4</v>
      </c>
      <c r="V604" s="31">
        <f t="shared" ca="1" si="346"/>
        <v>0</v>
      </c>
      <c r="W604" s="31">
        <f t="shared" ca="1" si="337"/>
        <v>0</v>
      </c>
      <c r="X604" s="163">
        <f t="shared" ca="1" si="353"/>
        <v>0</v>
      </c>
      <c r="Y604" s="163">
        <f t="shared" ca="1" si="354"/>
        <v>0</v>
      </c>
      <c r="Z604" s="163">
        <f t="shared" ca="1" si="347"/>
        <v>0</v>
      </c>
      <c r="AA604" s="163">
        <f t="shared" ca="1" si="355"/>
        <v>0</v>
      </c>
      <c r="AB604" s="84">
        <f t="shared" ca="1" si="338"/>
        <v>0</v>
      </c>
      <c r="AC604" s="160">
        <f t="shared" si="339"/>
        <v>0</v>
      </c>
      <c r="AD604" s="31">
        <f t="shared" ca="1" si="340"/>
        <v>0</v>
      </c>
      <c r="AF604" s="5"/>
      <c r="AG604" s="5"/>
      <c r="AS604" s="55">
        <f t="shared" si="348"/>
        <v>51</v>
      </c>
      <c r="AT604" s="56">
        <f t="shared" si="356"/>
        <v>601</v>
      </c>
      <c r="AU604" s="57">
        <f t="shared" si="360"/>
        <v>5.3261537063712873E-2</v>
      </c>
      <c r="AV604" s="58">
        <f t="shared" si="349"/>
        <v>4.8675505653430484E-3</v>
      </c>
      <c r="AW604" s="59">
        <f t="shared" si="350"/>
        <v>1.004867550565343</v>
      </c>
      <c r="AX604" s="60">
        <f>PRODUCT(AW$4:AW604)</f>
        <v>18.509815307346521</v>
      </c>
    </row>
    <row r="605" spans="5:50">
      <c r="E605">
        <f t="shared" si="358"/>
        <v>602</v>
      </c>
      <c r="F605" s="9">
        <f t="shared" si="351"/>
        <v>119.08333333333049</v>
      </c>
      <c r="G605" s="132">
        <f t="shared" si="331"/>
        <v>0</v>
      </c>
      <c r="H605" s="133">
        <f t="shared" si="357"/>
        <v>1</v>
      </c>
      <c r="I605" s="31">
        <f t="shared" si="341"/>
        <v>0</v>
      </c>
      <c r="J605" s="31">
        <f t="shared" si="332"/>
        <v>0</v>
      </c>
      <c r="K605" s="163">
        <f t="shared" si="333"/>
        <v>0</v>
      </c>
      <c r="L605" s="163">
        <f t="shared" si="342"/>
        <v>0</v>
      </c>
      <c r="M605" s="163">
        <f t="shared" si="359"/>
        <v>0</v>
      </c>
      <c r="N605" s="163">
        <f t="shared" si="343"/>
        <v>0</v>
      </c>
      <c r="O605" s="84">
        <f t="shared" si="334"/>
        <v>0</v>
      </c>
      <c r="P605" s="31">
        <f t="shared" si="335"/>
        <v>0</v>
      </c>
      <c r="R605">
        <f t="shared" ca="1" si="344"/>
        <v>722</v>
      </c>
      <c r="S605" s="133">
        <f t="shared" ca="1" si="345"/>
        <v>127.08</v>
      </c>
      <c r="T605" s="132">
        <f t="shared" ca="1" si="336"/>
        <v>0</v>
      </c>
      <c r="U605" s="133">
        <f t="shared" ca="1" si="352"/>
        <v>1.9008342029825436E-4</v>
      </c>
      <c r="V605" s="31">
        <f t="shared" ca="1" si="346"/>
        <v>0</v>
      </c>
      <c r="W605" s="31">
        <f t="shared" ca="1" si="337"/>
        <v>0</v>
      </c>
      <c r="X605" s="163">
        <f t="shared" ca="1" si="353"/>
        <v>0</v>
      </c>
      <c r="Y605" s="163">
        <f t="shared" ca="1" si="354"/>
        <v>0</v>
      </c>
      <c r="Z605" s="163">
        <f t="shared" ca="1" si="347"/>
        <v>0</v>
      </c>
      <c r="AA605" s="163">
        <f t="shared" ca="1" si="355"/>
        <v>0</v>
      </c>
      <c r="AB605" s="84">
        <f t="shared" ca="1" si="338"/>
        <v>0</v>
      </c>
      <c r="AC605" s="160">
        <f t="shared" si="339"/>
        <v>0</v>
      </c>
      <c r="AD605" s="31">
        <f t="shared" ca="1" si="340"/>
        <v>0</v>
      </c>
      <c r="AF605" s="5"/>
      <c r="AG605" s="5"/>
      <c r="AS605" s="55">
        <f t="shared" si="348"/>
        <v>51</v>
      </c>
      <c r="AT605" s="56">
        <f t="shared" si="356"/>
        <v>602</v>
      </c>
      <c r="AU605" s="57">
        <f t="shared" si="360"/>
        <v>5.3002283838867355E-2</v>
      </c>
      <c r="AV605" s="58">
        <f t="shared" si="349"/>
        <v>4.8675505653430484E-3</v>
      </c>
      <c r="AW605" s="59">
        <f t="shared" si="350"/>
        <v>1.004867550565343</v>
      </c>
      <c r="AX605" s="60">
        <f>PRODUCT(AW$4:AW605)</f>
        <v>18.59991276931019</v>
      </c>
    </row>
    <row r="606" spans="5:50">
      <c r="E606">
        <f t="shared" si="358"/>
        <v>603</v>
      </c>
      <c r="F606" s="9">
        <f t="shared" si="351"/>
        <v>119.16666666666382</v>
      </c>
      <c r="G606" s="132">
        <f t="shared" si="331"/>
        <v>0</v>
      </c>
      <c r="H606" s="133">
        <f t="shared" si="357"/>
        <v>1</v>
      </c>
      <c r="I606" s="31">
        <f t="shared" si="341"/>
        <v>0</v>
      </c>
      <c r="J606" s="31">
        <f t="shared" si="332"/>
        <v>0</v>
      </c>
      <c r="K606" s="163">
        <f t="shared" si="333"/>
        <v>0</v>
      </c>
      <c r="L606" s="163">
        <f t="shared" si="342"/>
        <v>0</v>
      </c>
      <c r="M606" s="163">
        <f t="shared" si="359"/>
        <v>0</v>
      </c>
      <c r="N606" s="163">
        <f t="shared" si="343"/>
        <v>0</v>
      </c>
      <c r="O606" s="84">
        <f t="shared" si="334"/>
        <v>0</v>
      </c>
      <c r="P606" s="31">
        <f t="shared" si="335"/>
        <v>0</v>
      </c>
      <c r="R606">
        <f t="shared" ca="1" si="344"/>
        <v>723</v>
      </c>
      <c r="S606" s="133">
        <f t="shared" ca="1" si="345"/>
        <v>127.16</v>
      </c>
      <c r="T606" s="132">
        <f t="shared" ca="1" si="336"/>
        <v>0</v>
      </c>
      <c r="U606" s="133">
        <f t="shared" ca="1" si="352"/>
        <v>1.9008342029825436E-4</v>
      </c>
      <c r="V606" s="31">
        <f t="shared" ca="1" si="346"/>
        <v>0</v>
      </c>
      <c r="W606" s="31">
        <f t="shared" ca="1" si="337"/>
        <v>0</v>
      </c>
      <c r="X606" s="163">
        <f t="shared" ca="1" si="353"/>
        <v>0</v>
      </c>
      <c r="Y606" s="163">
        <f t="shared" ca="1" si="354"/>
        <v>0</v>
      </c>
      <c r="Z606" s="163">
        <f t="shared" ca="1" si="347"/>
        <v>0</v>
      </c>
      <c r="AA606" s="163">
        <f t="shared" ca="1" si="355"/>
        <v>0</v>
      </c>
      <c r="AB606" s="84">
        <f t="shared" ca="1" si="338"/>
        <v>0</v>
      </c>
      <c r="AC606" s="160">
        <f t="shared" si="339"/>
        <v>0</v>
      </c>
      <c r="AD606" s="31">
        <f t="shared" ca="1" si="340"/>
        <v>0</v>
      </c>
      <c r="AF606" s="5"/>
      <c r="AG606" s="5"/>
      <c r="AS606" s="55">
        <f t="shared" si="348"/>
        <v>51</v>
      </c>
      <c r="AT606" s="56">
        <f t="shared" si="356"/>
        <v>603</v>
      </c>
      <c r="AU606" s="57">
        <f t="shared" si="360"/>
        <v>5.2744292542203003E-2</v>
      </c>
      <c r="AV606" s="58">
        <f t="shared" si="349"/>
        <v>4.8675505653430484E-3</v>
      </c>
      <c r="AW606" s="59">
        <f t="shared" si="350"/>
        <v>1.004867550565343</v>
      </c>
      <c r="AX606" s="60">
        <f>PRODUCT(AW$4:AW606)</f>
        <v>18.690448785225776</v>
      </c>
    </row>
    <row r="607" spans="5:50">
      <c r="E607">
        <f t="shared" si="358"/>
        <v>604</v>
      </c>
      <c r="F607" s="9">
        <f t="shared" si="351"/>
        <v>119.24999999999714</v>
      </c>
      <c r="G607" s="132">
        <f t="shared" si="331"/>
        <v>0</v>
      </c>
      <c r="H607" s="133">
        <f t="shared" si="357"/>
        <v>1</v>
      </c>
      <c r="I607" s="31">
        <f t="shared" si="341"/>
        <v>0</v>
      </c>
      <c r="J607" s="31">
        <f t="shared" si="332"/>
        <v>0</v>
      </c>
      <c r="K607" s="163">
        <f t="shared" si="333"/>
        <v>0</v>
      </c>
      <c r="L607" s="163">
        <f t="shared" si="342"/>
        <v>0</v>
      </c>
      <c r="M607" s="163">
        <f t="shared" si="359"/>
        <v>0</v>
      </c>
      <c r="N607" s="163">
        <f t="shared" si="343"/>
        <v>0</v>
      </c>
      <c r="O607" s="84">
        <f t="shared" si="334"/>
        <v>0</v>
      </c>
      <c r="P607" s="31">
        <f t="shared" si="335"/>
        <v>0</v>
      </c>
      <c r="R607">
        <f t="shared" ca="1" si="344"/>
        <v>724</v>
      </c>
      <c r="S607" s="133">
        <f t="shared" ca="1" si="345"/>
        <v>127.24</v>
      </c>
      <c r="T607" s="132">
        <f t="shared" ca="1" si="336"/>
        <v>0</v>
      </c>
      <c r="U607" s="133">
        <f t="shared" ca="1" si="352"/>
        <v>1.9008342029825436E-4</v>
      </c>
      <c r="V607" s="31">
        <f t="shared" ca="1" si="346"/>
        <v>0</v>
      </c>
      <c r="W607" s="31">
        <f t="shared" ca="1" si="337"/>
        <v>0</v>
      </c>
      <c r="X607" s="163">
        <f t="shared" ca="1" si="353"/>
        <v>0</v>
      </c>
      <c r="Y607" s="163">
        <f t="shared" ca="1" si="354"/>
        <v>0</v>
      </c>
      <c r="Z607" s="163">
        <f t="shared" ca="1" si="347"/>
        <v>0</v>
      </c>
      <c r="AA607" s="163">
        <f t="shared" ca="1" si="355"/>
        <v>0</v>
      </c>
      <c r="AB607" s="84">
        <f t="shared" ca="1" si="338"/>
        <v>0</v>
      </c>
      <c r="AC607" s="160">
        <f t="shared" si="339"/>
        <v>0</v>
      </c>
      <c r="AD607" s="31">
        <f t="shared" ca="1" si="340"/>
        <v>0</v>
      </c>
      <c r="AF607" s="5"/>
      <c r="AG607" s="5"/>
      <c r="AS607" s="55">
        <f t="shared" si="348"/>
        <v>51</v>
      </c>
      <c r="AT607" s="56">
        <f t="shared" si="356"/>
        <v>604</v>
      </c>
      <c r="AU607" s="57">
        <f t="shared" si="360"/>
        <v>5.2487557031220586E-2</v>
      </c>
      <c r="AV607" s="58">
        <f t="shared" si="349"/>
        <v>4.8675505653430484E-3</v>
      </c>
      <c r="AW607" s="59">
        <f t="shared" si="350"/>
        <v>1.004867550565343</v>
      </c>
      <c r="AX607" s="60">
        <f>PRODUCT(AW$4:AW607)</f>
        <v>18.781425489776819</v>
      </c>
    </row>
    <row r="608" spans="5:50">
      <c r="E608">
        <f t="shared" si="358"/>
        <v>605</v>
      </c>
      <c r="F608" s="9">
        <f t="shared" si="351"/>
        <v>119.33333333333047</v>
      </c>
      <c r="G608" s="132">
        <f t="shared" si="331"/>
        <v>0</v>
      </c>
      <c r="H608" s="133">
        <f t="shared" si="357"/>
        <v>1</v>
      </c>
      <c r="I608" s="31">
        <f t="shared" si="341"/>
        <v>0</v>
      </c>
      <c r="J608" s="31">
        <f t="shared" si="332"/>
        <v>0</v>
      </c>
      <c r="K608" s="163">
        <f t="shared" si="333"/>
        <v>0</v>
      </c>
      <c r="L608" s="163">
        <f t="shared" si="342"/>
        <v>0</v>
      </c>
      <c r="M608" s="163">
        <f t="shared" si="359"/>
        <v>0</v>
      </c>
      <c r="N608" s="163">
        <f t="shared" si="343"/>
        <v>0</v>
      </c>
      <c r="O608" s="84">
        <f t="shared" si="334"/>
        <v>0</v>
      </c>
      <c r="P608" s="31">
        <f t="shared" si="335"/>
        <v>0</v>
      </c>
      <c r="R608">
        <f t="shared" ca="1" si="344"/>
        <v>725</v>
      </c>
      <c r="S608" s="133">
        <f t="shared" ca="1" si="345"/>
        <v>127.32</v>
      </c>
      <c r="T608" s="132">
        <f t="shared" ca="1" si="336"/>
        <v>0</v>
      </c>
      <c r="U608" s="133">
        <f t="shared" ca="1" si="352"/>
        <v>1.9008342029825436E-4</v>
      </c>
      <c r="V608" s="31">
        <f t="shared" ca="1" si="346"/>
        <v>0</v>
      </c>
      <c r="W608" s="31">
        <f t="shared" ca="1" si="337"/>
        <v>0</v>
      </c>
      <c r="X608" s="163">
        <f t="shared" ca="1" si="353"/>
        <v>0</v>
      </c>
      <c r="Y608" s="163">
        <f t="shared" ca="1" si="354"/>
        <v>0</v>
      </c>
      <c r="Z608" s="163">
        <f t="shared" ca="1" si="347"/>
        <v>0</v>
      </c>
      <c r="AA608" s="163">
        <f t="shared" ca="1" si="355"/>
        <v>0</v>
      </c>
      <c r="AB608" s="84">
        <f t="shared" ca="1" si="338"/>
        <v>0</v>
      </c>
      <c r="AC608" s="160">
        <f t="shared" si="339"/>
        <v>0</v>
      </c>
      <c r="AD608" s="31">
        <f t="shared" ca="1" si="340"/>
        <v>0</v>
      </c>
      <c r="AF608" s="5"/>
      <c r="AG608" s="5"/>
      <c r="AS608" s="55">
        <f t="shared" si="348"/>
        <v>51</v>
      </c>
      <c r="AT608" s="56">
        <f t="shared" si="356"/>
        <v>605</v>
      </c>
      <c r="AU608" s="57">
        <f t="shared" si="360"/>
        <v>5.2232071193319796E-2</v>
      </c>
      <c r="AV608" s="58">
        <f t="shared" si="349"/>
        <v>4.8675505653430484E-3</v>
      </c>
      <c r="AW608" s="59">
        <f t="shared" si="350"/>
        <v>1.004867550565343</v>
      </c>
      <c r="AX608" s="60">
        <f>PRODUCT(AW$4:AW608)</f>
        <v>18.872845028037531</v>
      </c>
    </row>
    <row r="609" spans="5:50">
      <c r="E609">
        <f t="shared" si="358"/>
        <v>606</v>
      </c>
      <c r="F609" s="9">
        <f t="shared" si="351"/>
        <v>119.4166666666638</v>
      </c>
      <c r="G609" s="132">
        <f t="shared" si="331"/>
        <v>0</v>
      </c>
      <c r="H609" s="133">
        <f t="shared" si="357"/>
        <v>1</v>
      </c>
      <c r="I609" s="31">
        <f t="shared" si="341"/>
        <v>0</v>
      </c>
      <c r="J609" s="31">
        <f t="shared" si="332"/>
        <v>0</v>
      </c>
      <c r="K609" s="163">
        <f t="shared" si="333"/>
        <v>0</v>
      </c>
      <c r="L609" s="163">
        <f t="shared" si="342"/>
        <v>0</v>
      </c>
      <c r="M609" s="163">
        <f t="shared" si="359"/>
        <v>0</v>
      </c>
      <c r="N609" s="163">
        <f t="shared" si="343"/>
        <v>0</v>
      </c>
      <c r="O609" s="84">
        <f t="shared" si="334"/>
        <v>0</v>
      </c>
      <c r="P609" s="31">
        <f t="shared" si="335"/>
        <v>0</v>
      </c>
      <c r="R609">
        <f t="shared" ca="1" si="344"/>
        <v>726</v>
      </c>
      <c r="S609" s="133">
        <f t="shared" ca="1" si="345"/>
        <v>127.4</v>
      </c>
      <c r="T609" s="132">
        <f t="shared" ca="1" si="336"/>
        <v>0</v>
      </c>
      <c r="U609" s="133">
        <f t="shared" ca="1" si="352"/>
        <v>1.9008342029825436E-4</v>
      </c>
      <c r="V609" s="31">
        <f t="shared" ca="1" si="346"/>
        <v>0</v>
      </c>
      <c r="W609" s="31">
        <f t="shared" ca="1" si="337"/>
        <v>0</v>
      </c>
      <c r="X609" s="163">
        <f t="shared" ca="1" si="353"/>
        <v>0</v>
      </c>
      <c r="Y609" s="163">
        <f t="shared" ca="1" si="354"/>
        <v>0</v>
      </c>
      <c r="Z609" s="163">
        <f t="shared" ca="1" si="347"/>
        <v>0</v>
      </c>
      <c r="AA609" s="163">
        <f t="shared" ca="1" si="355"/>
        <v>0</v>
      </c>
      <c r="AB609" s="84">
        <f t="shared" ca="1" si="338"/>
        <v>0</v>
      </c>
      <c r="AC609" s="160">
        <f t="shared" si="339"/>
        <v>0</v>
      </c>
      <c r="AD609" s="31">
        <f t="shared" ca="1" si="340"/>
        <v>0</v>
      </c>
      <c r="AF609" s="5"/>
      <c r="AG609" s="5"/>
      <c r="AS609" s="55">
        <f t="shared" si="348"/>
        <v>51</v>
      </c>
      <c r="AT609" s="56">
        <f t="shared" si="356"/>
        <v>606</v>
      </c>
      <c r="AU609" s="57">
        <f t="shared" si="360"/>
        <v>5.1977828945653712E-2</v>
      </c>
      <c r="AV609" s="58">
        <f t="shared" si="349"/>
        <v>4.8675505653430484E-3</v>
      </c>
      <c r="AW609" s="59">
        <f t="shared" si="350"/>
        <v>1.004867550565343</v>
      </c>
      <c r="AX609" s="60">
        <f>PRODUCT(AW$4:AW609)</f>
        <v>18.964709555523388</v>
      </c>
    </row>
    <row r="610" spans="5:50">
      <c r="E610">
        <f t="shared" si="358"/>
        <v>607</v>
      </c>
      <c r="F610" s="9">
        <f t="shared" si="351"/>
        <v>119.49999999999713</v>
      </c>
      <c r="G610" s="132">
        <f t="shared" si="331"/>
        <v>0</v>
      </c>
      <c r="H610" s="133">
        <f t="shared" si="357"/>
        <v>1</v>
      </c>
      <c r="I610" s="31">
        <f t="shared" si="341"/>
        <v>0</v>
      </c>
      <c r="J610" s="31">
        <f t="shared" si="332"/>
        <v>0</v>
      </c>
      <c r="K610" s="163">
        <f t="shared" si="333"/>
        <v>0</v>
      </c>
      <c r="L610" s="163">
        <f t="shared" si="342"/>
        <v>0</v>
      </c>
      <c r="M610" s="163">
        <f t="shared" si="359"/>
        <v>0</v>
      </c>
      <c r="N610" s="163">
        <f t="shared" si="343"/>
        <v>0</v>
      </c>
      <c r="O610" s="84">
        <f t="shared" si="334"/>
        <v>0</v>
      </c>
      <c r="P610" s="31">
        <f t="shared" si="335"/>
        <v>0</v>
      </c>
      <c r="R610">
        <f t="shared" ca="1" si="344"/>
        <v>727</v>
      </c>
      <c r="S610" s="133">
        <f t="shared" ca="1" si="345"/>
        <v>127.48</v>
      </c>
      <c r="T610" s="132">
        <f t="shared" ca="1" si="336"/>
        <v>0</v>
      </c>
      <c r="U610" s="133">
        <f t="shared" ca="1" si="352"/>
        <v>1.9008342029825436E-4</v>
      </c>
      <c r="V610" s="31">
        <f t="shared" ca="1" si="346"/>
        <v>0</v>
      </c>
      <c r="W610" s="31">
        <f t="shared" ca="1" si="337"/>
        <v>0</v>
      </c>
      <c r="X610" s="163">
        <f t="shared" ca="1" si="353"/>
        <v>0</v>
      </c>
      <c r="Y610" s="163">
        <f t="shared" ca="1" si="354"/>
        <v>0</v>
      </c>
      <c r="Z610" s="163">
        <f t="shared" ca="1" si="347"/>
        <v>0</v>
      </c>
      <c r="AA610" s="163">
        <f t="shared" ca="1" si="355"/>
        <v>0</v>
      </c>
      <c r="AB610" s="84">
        <f t="shared" ca="1" si="338"/>
        <v>0</v>
      </c>
      <c r="AC610" s="160">
        <f t="shared" si="339"/>
        <v>0</v>
      </c>
      <c r="AD610" s="31">
        <f t="shared" ca="1" si="340"/>
        <v>0</v>
      </c>
      <c r="AF610" s="5"/>
      <c r="AG610" s="5"/>
      <c r="AS610" s="55">
        <f t="shared" si="348"/>
        <v>51</v>
      </c>
      <c r="AT610" s="56">
        <f t="shared" si="356"/>
        <v>607</v>
      </c>
      <c r="AU610" s="57">
        <f t="shared" si="360"/>
        <v>5.1724824234983993E-2</v>
      </c>
      <c r="AV610" s="58">
        <f t="shared" si="349"/>
        <v>4.8675505653430484E-3</v>
      </c>
      <c r="AW610" s="59">
        <f t="shared" si="350"/>
        <v>1.004867550565343</v>
      </c>
      <c r="AX610" s="60">
        <f>PRODUCT(AW$4:AW610)</f>
        <v>19.057021238241944</v>
      </c>
    </row>
    <row r="611" spans="5:50">
      <c r="E611">
        <f t="shared" si="358"/>
        <v>608</v>
      </c>
      <c r="F611" s="9">
        <f t="shared" si="351"/>
        <v>119.58333333333046</v>
      </c>
      <c r="G611" s="132">
        <f t="shared" si="331"/>
        <v>0</v>
      </c>
      <c r="H611" s="133">
        <f t="shared" si="357"/>
        <v>1</v>
      </c>
      <c r="I611" s="31">
        <f t="shared" si="341"/>
        <v>0</v>
      </c>
      <c r="J611" s="31">
        <f t="shared" si="332"/>
        <v>0</v>
      </c>
      <c r="K611" s="163">
        <f t="shared" si="333"/>
        <v>0</v>
      </c>
      <c r="L611" s="163">
        <f t="shared" si="342"/>
        <v>0</v>
      </c>
      <c r="M611" s="163">
        <f t="shared" si="359"/>
        <v>0</v>
      </c>
      <c r="N611" s="163">
        <f t="shared" si="343"/>
        <v>0</v>
      </c>
      <c r="O611" s="84">
        <f t="shared" si="334"/>
        <v>0</v>
      </c>
      <c r="P611" s="31">
        <f t="shared" si="335"/>
        <v>0</v>
      </c>
      <c r="R611">
        <f t="shared" ca="1" si="344"/>
        <v>728</v>
      </c>
      <c r="S611" s="133">
        <f t="shared" ca="1" si="345"/>
        <v>127.56</v>
      </c>
      <c r="T611" s="132">
        <f t="shared" ca="1" si="336"/>
        <v>0</v>
      </c>
      <c r="U611" s="133">
        <f t="shared" ca="1" si="352"/>
        <v>1.9008342029825436E-4</v>
      </c>
      <c r="V611" s="31">
        <f t="shared" ca="1" si="346"/>
        <v>0</v>
      </c>
      <c r="W611" s="31">
        <f t="shared" ca="1" si="337"/>
        <v>0</v>
      </c>
      <c r="X611" s="163">
        <f t="shared" ca="1" si="353"/>
        <v>0</v>
      </c>
      <c r="Y611" s="163">
        <f t="shared" ca="1" si="354"/>
        <v>0</v>
      </c>
      <c r="Z611" s="163">
        <f t="shared" ca="1" si="347"/>
        <v>0</v>
      </c>
      <c r="AA611" s="163">
        <f t="shared" ca="1" si="355"/>
        <v>0</v>
      </c>
      <c r="AB611" s="84">
        <f t="shared" ca="1" si="338"/>
        <v>0</v>
      </c>
      <c r="AC611" s="160">
        <f t="shared" si="339"/>
        <v>0</v>
      </c>
      <c r="AD611" s="31">
        <f t="shared" ca="1" si="340"/>
        <v>0</v>
      </c>
      <c r="AF611" s="5"/>
      <c r="AG611" s="5"/>
      <c r="AS611" s="55">
        <f t="shared" si="348"/>
        <v>51</v>
      </c>
      <c r="AT611" s="56">
        <f t="shared" si="356"/>
        <v>608</v>
      </c>
      <c r="AU611" s="57">
        <f t="shared" si="360"/>
        <v>5.147305103753673E-2</v>
      </c>
      <c r="AV611" s="58">
        <f t="shared" si="349"/>
        <v>4.8675505653430484E-3</v>
      </c>
      <c r="AW611" s="59">
        <f t="shared" si="350"/>
        <v>1.004867550565343</v>
      </c>
      <c r="AX611" s="60">
        <f>PRODUCT(AW$4:AW611)</f>
        <v>19.149782252743904</v>
      </c>
    </row>
    <row r="612" spans="5:50">
      <c r="E612">
        <f t="shared" si="358"/>
        <v>609</v>
      </c>
      <c r="F612" s="9">
        <f t="shared" si="351"/>
        <v>119.66666666666379</v>
      </c>
      <c r="G612" s="132">
        <f t="shared" si="331"/>
        <v>0</v>
      </c>
      <c r="H612" s="133">
        <f t="shared" si="357"/>
        <v>1</v>
      </c>
      <c r="I612" s="31">
        <f t="shared" si="341"/>
        <v>0</v>
      </c>
      <c r="J612" s="31">
        <f t="shared" si="332"/>
        <v>0</v>
      </c>
      <c r="K612" s="163">
        <f t="shared" si="333"/>
        <v>0</v>
      </c>
      <c r="L612" s="163">
        <f t="shared" si="342"/>
        <v>0</v>
      </c>
      <c r="M612" s="163">
        <f t="shared" si="359"/>
        <v>0</v>
      </c>
      <c r="N612" s="163">
        <f t="shared" si="343"/>
        <v>0</v>
      </c>
      <c r="O612" s="84">
        <f t="shared" si="334"/>
        <v>0</v>
      </c>
      <c r="P612" s="31">
        <f t="shared" si="335"/>
        <v>0</v>
      </c>
      <c r="R612">
        <f t="shared" ca="1" si="344"/>
        <v>729</v>
      </c>
      <c r="S612" s="133">
        <f t="shared" ca="1" si="345"/>
        <v>127.64</v>
      </c>
      <c r="T612" s="132">
        <f t="shared" ca="1" si="336"/>
        <v>0</v>
      </c>
      <c r="U612" s="133">
        <f t="shared" ca="1" si="352"/>
        <v>1.9008342029825436E-4</v>
      </c>
      <c r="V612" s="31">
        <f t="shared" ca="1" si="346"/>
        <v>0</v>
      </c>
      <c r="W612" s="31">
        <f t="shared" ca="1" si="337"/>
        <v>0</v>
      </c>
      <c r="X612" s="163">
        <f t="shared" ca="1" si="353"/>
        <v>0</v>
      </c>
      <c r="Y612" s="163">
        <f t="shared" ca="1" si="354"/>
        <v>0</v>
      </c>
      <c r="Z612" s="163">
        <f t="shared" ca="1" si="347"/>
        <v>0</v>
      </c>
      <c r="AA612" s="163">
        <f t="shared" ca="1" si="355"/>
        <v>0</v>
      </c>
      <c r="AB612" s="84">
        <f t="shared" ca="1" si="338"/>
        <v>0</v>
      </c>
      <c r="AC612" s="160">
        <f t="shared" si="339"/>
        <v>0</v>
      </c>
      <c r="AD612" s="31">
        <f t="shared" ca="1" si="340"/>
        <v>0</v>
      </c>
      <c r="AF612" s="5"/>
      <c r="AG612" s="5"/>
      <c r="AS612" s="55">
        <f t="shared" si="348"/>
        <v>51</v>
      </c>
      <c r="AT612" s="56">
        <f t="shared" si="356"/>
        <v>609</v>
      </c>
      <c r="AU612" s="57">
        <f t="shared" si="360"/>
        <v>5.1222503358859035E-2</v>
      </c>
      <c r="AV612" s="58">
        <f t="shared" si="349"/>
        <v>4.8675505653430484E-3</v>
      </c>
      <c r="AW612" s="59">
        <f t="shared" si="350"/>
        <v>1.004867550565343</v>
      </c>
      <c r="AX612" s="60">
        <f>PRODUCT(AW$4:AW612)</f>
        <v>19.242994786174442</v>
      </c>
    </row>
    <row r="613" spans="5:50">
      <c r="E613">
        <f t="shared" si="358"/>
        <v>610</v>
      </c>
      <c r="F613" s="9">
        <f t="shared" si="351"/>
        <v>119.74999999999712</v>
      </c>
      <c r="G613" s="132">
        <f t="shared" si="331"/>
        <v>0</v>
      </c>
      <c r="H613" s="133">
        <f t="shared" si="357"/>
        <v>1</v>
      </c>
      <c r="I613" s="31">
        <f t="shared" si="341"/>
        <v>0</v>
      </c>
      <c r="J613" s="31">
        <f t="shared" si="332"/>
        <v>0</v>
      </c>
      <c r="K613" s="163">
        <f t="shared" si="333"/>
        <v>0</v>
      </c>
      <c r="L613" s="163">
        <f t="shared" si="342"/>
        <v>0</v>
      </c>
      <c r="M613" s="163">
        <f t="shared" si="359"/>
        <v>0</v>
      </c>
      <c r="N613" s="163">
        <f t="shared" si="343"/>
        <v>0</v>
      </c>
      <c r="O613" s="84">
        <f t="shared" si="334"/>
        <v>0</v>
      </c>
      <c r="P613" s="31">
        <f t="shared" si="335"/>
        <v>0</v>
      </c>
      <c r="R613">
        <f t="shared" ca="1" si="344"/>
        <v>730</v>
      </c>
      <c r="S613" s="133">
        <f t="shared" ca="1" si="345"/>
        <v>127.72</v>
      </c>
      <c r="T613" s="132">
        <f t="shared" ca="1" si="336"/>
        <v>0</v>
      </c>
      <c r="U613" s="133">
        <f t="shared" ca="1" si="352"/>
        <v>1.9008342029825436E-4</v>
      </c>
      <c r="V613" s="31">
        <f t="shared" ca="1" si="346"/>
        <v>0</v>
      </c>
      <c r="W613" s="31">
        <f t="shared" ca="1" si="337"/>
        <v>0</v>
      </c>
      <c r="X613" s="163">
        <f t="shared" ca="1" si="353"/>
        <v>0</v>
      </c>
      <c r="Y613" s="163">
        <f t="shared" ca="1" si="354"/>
        <v>0</v>
      </c>
      <c r="Z613" s="163">
        <f t="shared" ca="1" si="347"/>
        <v>0</v>
      </c>
      <c r="AA613" s="163">
        <f t="shared" ca="1" si="355"/>
        <v>0</v>
      </c>
      <c r="AB613" s="84">
        <f t="shared" ca="1" si="338"/>
        <v>0</v>
      </c>
      <c r="AC613" s="160">
        <f t="shared" si="339"/>
        <v>0</v>
      </c>
      <c r="AD613" s="31">
        <f t="shared" ca="1" si="340"/>
        <v>0</v>
      </c>
      <c r="AF613" s="5"/>
      <c r="AG613" s="5"/>
      <c r="AS613" s="55">
        <f t="shared" si="348"/>
        <v>51</v>
      </c>
      <c r="AT613" s="56">
        <f t="shared" si="356"/>
        <v>610</v>
      </c>
      <c r="AU613" s="57">
        <f t="shared" si="360"/>
        <v>5.0973175233676338E-2</v>
      </c>
      <c r="AV613" s="58">
        <f t="shared" si="349"/>
        <v>4.8675505653430484E-3</v>
      </c>
      <c r="AW613" s="59">
        <f t="shared" si="350"/>
        <v>1.004867550565343</v>
      </c>
      <c r="AX613" s="60">
        <f>PRODUCT(AW$4:AW613)</f>
        <v>19.336661036324781</v>
      </c>
    </row>
    <row r="614" spans="5:50">
      <c r="E614">
        <f t="shared" si="358"/>
        <v>611</v>
      </c>
      <c r="F614" s="9">
        <f t="shared" si="351"/>
        <v>119.83333333333044</v>
      </c>
      <c r="G614" s="132">
        <f t="shared" si="331"/>
        <v>0</v>
      </c>
      <c r="H614" s="133">
        <f t="shared" si="357"/>
        <v>1</v>
      </c>
      <c r="I614" s="31">
        <f t="shared" si="341"/>
        <v>0</v>
      </c>
      <c r="J614" s="31">
        <f t="shared" si="332"/>
        <v>0</v>
      </c>
      <c r="K614" s="163">
        <f t="shared" si="333"/>
        <v>0</v>
      </c>
      <c r="L614" s="163">
        <f t="shared" si="342"/>
        <v>0</v>
      </c>
      <c r="M614" s="163">
        <f t="shared" si="359"/>
        <v>0</v>
      </c>
      <c r="N614" s="163">
        <f t="shared" si="343"/>
        <v>0</v>
      </c>
      <c r="O614" s="84">
        <f t="shared" si="334"/>
        <v>0</v>
      </c>
      <c r="P614" s="31">
        <f t="shared" si="335"/>
        <v>0</v>
      </c>
      <c r="R614">
        <f t="shared" ca="1" si="344"/>
        <v>731</v>
      </c>
      <c r="S614" s="133">
        <f t="shared" ca="1" si="345"/>
        <v>127.8</v>
      </c>
      <c r="T614" s="132">
        <f t="shared" ca="1" si="336"/>
        <v>0</v>
      </c>
      <c r="U614" s="133">
        <f t="shared" ca="1" si="352"/>
        <v>1.9008342029825436E-4</v>
      </c>
      <c r="V614" s="31">
        <f t="shared" ca="1" si="346"/>
        <v>0</v>
      </c>
      <c r="W614" s="31">
        <f t="shared" ca="1" si="337"/>
        <v>0</v>
      </c>
      <c r="X614" s="163">
        <f t="shared" ca="1" si="353"/>
        <v>0</v>
      </c>
      <c r="Y614" s="163">
        <f t="shared" ca="1" si="354"/>
        <v>0</v>
      </c>
      <c r="Z614" s="163">
        <f t="shared" ca="1" si="347"/>
        <v>0</v>
      </c>
      <c r="AA614" s="163">
        <f t="shared" ca="1" si="355"/>
        <v>0</v>
      </c>
      <c r="AB614" s="84">
        <f t="shared" ca="1" si="338"/>
        <v>0</v>
      </c>
      <c r="AC614" s="160">
        <f t="shared" si="339"/>
        <v>0</v>
      </c>
      <c r="AD614" s="31">
        <f t="shared" ca="1" si="340"/>
        <v>0</v>
      </c>
      <c r="AF614" s="5"/>
      <c r="AG614" s="5"/>
      <c r="AS614" s="55">
        <f t="shared" si="348"/>
        <v>51</v>
      </c>
      <c r="AT614" s="56">
        <f t="shared" si="356"/>
        <v>611</v>
      </c>
      <c r="AU614" s="57">
        <f t="shared" si="360"/>
        <v>5.0725060725750323E-2</v>
      </c>
      <c r="AV614" s="58">
        <f t="shared" si="349"/>
        <v>4.8675505653430484E-3</v>
      </c>
      <c r="AW614" s="59">
        <f t="shared" si="350"/>
        <v>1.004867550565343</v>
      </c>
      <c r="AX614" s="60">
        <f>PRODUCT(AW$4:AW614)</f>
        <v>19.430783211683991</v>
      </c>
    </row>
    <row r="615" spans="5:50">
      <c r="E615">
        <f t="shared" si="358"/>
        <v>612</v>
      </c>
      <c r="F615" s="9">
        <f t="shared" si="351"/>
        <v>119.91666666666377</v>
      </c>
      <c r="G615" s="132">
        <f t="shared" si="331"/>
        <v>0</v>
      </c>
      <c r="H615" s="133">
        <f t="shared" si="357"/>
        <v>1</v>
      </c>
      <c r="I615" s="31">
        <f t="shared" si="341"/>
        <v>0</v>
      </c>
      <c r="J615" s="31">
        <f t="shared" si="332"/>
        <v>0</v>
      </c>
      <c r="K615" s="163">
        <f t="shared" si="333"/>
        <v>0</v>
      </c>
      <c r="L615" s="163">
        <f t="shared" si="342"/>
        <v>0</v>
      </c>
      <c r="M615" s="163">
        <f t="shared" si="359"/>
        <v>0</v>
      </c>
      <c r="N615" s="163">
        <f t="shared" si="343"/>
        <v>0</v>
      </c>
      <c r="O615" s="84">
        <f t="shared" si="334"/>
        <v>0</v>
      </c>
      <c r="P615" s="31">
        <f t="shared" si="335"/>
        <v>0</v>
      </c>
      <c r="R615">
        <f t="shared" ca="1" si="344"/>
        <v>732</v>
      </c>
      <c r="S615" s="133">
        <f t="shared" ca="1" si="345"/>
        <v>127.88</v>
      </c>
      <c r="T615" s="132">
        <f t="shared" ca="1" si="336"/>
        <v>0</v>
      </c>
      <c r="U615" s="133">
        <f t="shared" ca="1" si="352"/>
        <v>1.9008342029825436E-4</v>
      </c>
      <c r="V615" s="31">
        <f t="shared" ca="1" si="346"/>
        <v>0</v>
      </c>
      <c r="W615" s="31">
        <f t="shared" ca="1" si="337"/>
        <v>0</v>
      </c>
      <c r="X615" s="163">
        <f t="shared" ca="1" si="353"/>
        <v>0</v>
      </c>
      <c r="Y615" s="163">
        <f t="shared" ca="1" si="354"/>
        <v>0</v>
      </c>
      <c r="Z615" s="163">
        <f t="shared" ca="1" si="347"/>
        <v>0</v>
      </c>
      <c r="AA615" s="163">
        <f t="shared" ca="1" si="355"/>
        <v>0</v>
      </c>
      <c r="AB615" s="84">
        <f t="shared" ca="1" si="338"/>
        <v>0</v>
      </c>
      <c r="AC615" s="160">
        <f t="shared" si="339"/>
        <v>0</v>
      </c>
      <c r="AD615" s="31">
        <f t="shared" ca="1" si="340"/>
        <v>0</v>
      </c>
      <c r="AF615" s="5"/>
      <c r="AG615" s="5"/>
      <c r="AS615" s="55">
        <f t="shared" si="348"/>
        <v>51</v>
      </c>
      <c r="AT615" s="56">
        <f t="shared" si="356"/>
        <v>612</v>
      </c>
      <c r="AU615" s="57">
        <f t="shared" si="360"/>
        <v>5.0478153927737635E-2</v>
      </c>
      <c r="AV615" s="58">
        <f t="shared" si="349"/>
        <v>4.8675505653430484E-3</v>
      </c>
      <c r="AW615" s="59">
        <f t="shared" si="350"/>
        <v>1.004867550565343</v>
      </c>
      <c r="AX615" s="60">
        <f>PRODUCT(AW$4:AW615)</f>
        <v>19.525363531491081</v>
      </c>
    </row>
    <row r="616" spans="5:50">
      <c r="E616">
        <f t="shared" si="358"/>
        <v>613</v>
      </c>
      <c r="F616" s="9">
        <f t="shared" si="351"/>
        <v>119.9999999999971</v>
      </c>
      <c r="G616" s="132">
        <f t="shared" si="331"/>
        <v>0</v>
      </c>
      <c r="H616" s="133">
        <f t="shared" si="357"/>
        <v>1</v>
      </c>
      <c r="I616" s="31">
        <f t="shared" si="341"/>
        <v>0</v>
      </c>
      <c r="J616" s="31">
        <f t="shared" si="332"/>
        <v>0</v>
      </c>
      <c r="K616" s="163">
        <f t="shared" si="333"/>
        <v>0</v>
      </c>
      <c r="L616" s="163">
        <f t="shared" si="342"/>
        <v>0</v>
      </c>
      <c r="M616" s="163">
        <f t="shared" si="359"/>
        <v>0</v>
      </c>
      <c r="N616" s="163">
        <f t="shared" si="343"/>
        <v>0</v>
      </c>
      <c r="O616" s="84">
        <f t="shared" si="334"/>
        <v>0</v>
      </c>
      <c r="P616" s="31">
        <f t="shared" si="335"/>
        <v>0</v>
      </c>
      <c r="R616">
        <f t="shared" ca="1" si="344"/>
        <v>733</v>
      </c>
      <c r="S616" s="133">
        <f t="shared" ca="1" si="345"/>
        <v>127.96</v>
      </c>
      <c r="T616" s="132">
        <f t="shared" ca="1" si="336"/>
        <v>0</v>
      </c>
      <c r="U616" s="133">
        <f t="shared" ca="1" si="352"/>
        <v>1.9008342029825436E-4</v>
      </c>
      <c r="V616" s="31">
        <f t="shared" ca="1" si="346"/>
        <v>0</v>
      </c>
      <c r="W616" s="31">
        <f t="shared" ca="1" si="337"/>
        <v>0</v>
      </c>
      <c r="X616" s="163">
        <f t="shared" ca="1" si="353"/>
        <v>0</v>
      </c>
      <c r="Y616" s="163">
        <f t="shared" ca="1" si="354"/>
        <v>0</v>
      </c>
      <c r="Z616" s="163">
        <f t="shared" ca="1" si="347"/>
        <v>0</v>
      </c>
      <c r="AA616" s="163">
        <f t="shared" ca="1" si="355"/>
        <v>0</v>
      </c>
      <c r="AB616" s="84">
        <f t="shared" ca="1" si="338"/>
        <v>0</v>
      </c>
      <c r="AC616" s="160">
        <f t="shared" si="339"/>
        <v>0</v>
      </c>
      <c r="AD616" s="31">
        <f t="shared" ca="1" si="340"/>
        <v>0</v>
      </c>
      <c r="AF616" s="5"/>
      <c r="AG616" s="5"/>
      <c r="AS616" s="55">
        <f t="shared" si="348"/>
        <v>52</v>
      </c>
      <c r="AT616" s="56">
        <f t="shared" si="356"/>
        <v>613</v>
      </c>
      <c r="AU616" s="57">
        <f t="shared" si="360"/>
        <v>5.0232448961049204E-2</v>
      </c>
      <c r="AV616" s="58">
        <f t="shared" si="349"/>
        <v>4.8675505653430484E-3</v>
      </c>
      <c r="AW616" s="59">
        <f t="shared" si="350"/>
        <v>1.004867550565343</v>
      </c>
      <c r="AX616" s="60">
        <f>PRODUCT(AW$4:AW616)</f>
        <v>19.620404225787318</v>
      </c>
    </row>
    <row r="617" spans="5:50">
      <c r="E617">
        <f t="shared" si="358"/>
        <v>614</v>
      </c>
      <c r="F617" s="9">
        <f t="shared" si="351"/>
        <v>120.08333333333043</v>
      </c>
      <c r="G617" s="132">
        <f t="shared" si="331"/>
        <v>0</v>
      </c>
      <c r="H617" s="133">
        <f t="shared" si="357"/>
        <v>1</v>
      </c>
      <c r="I617" s="31">
        <f t="shared" si="341"/>
        <v>0</v>
      </c>
      <c r="J617" s="31">
        <f t="shared" si="332"/>
        <v>0</v>
      </c>
      <c r="K617" s="163">
        <f t="shared" si="333"/>
        <v>0</v>
      </c>
      <c r="L617" s="163">
        <f t="shared" si="342"/>
        <v>0</v>
      </c>
      <c r="M617" s="163">
        <f t="shared" si="359"/>
        <v>0</v>
      </c>
      <c r="N617" s="163">
        <f t="shared" si="343"/>
        <v>0</v>
      </c>
      <c r="O617" s="84">
        <f t="shared" si="334"/>
        <v>0</v>
      </c>
      <c r="P617" s="31">
        <f t="shared" si="335"/>
        <v>0</v>
      </c>
      <c r="R617">
        <f t="shared" ca="1" si="344"/>
        <v>734</v>
      </c>
      <c r="S617" s="133">
        <f t="shared" ca="1" si="345"/>
        <v>128.04</v>
      </c>
      <c r="T617" s="132">
        <f t="shared" ca="1" si="336"/>
        <v>0</v>
      </c>
      <c r="U617" s="133">
        <f t="shared" ca="1" si="352"/>
        <v>1.9008342029825436E-4</v>
      </c>
      <c r="V617" s="31">
        <f t="shared" ca="1" si="346"/>
        <v>0</v>
      </c>
      <c r="W617" s="31">
        <f t="shared" ca="1" si="337"/>
        <v>0</v>
      </c>
      <c r="X617" s="163">
        <f t="shared" ca="1" si="353"/>
        <v>0</v>
      </c>
      <c r="Y617" s="163">
        <f t="shared" ca="1" si="354"/>
        <v>0</v>
      </c>
      <c r="Z617" s="163">
        <f t="shared" ca="1" si="347"/>
        <v>0</v>
      </c>
      <c r="AA617" s="163">
        <f t="shared" ca="1" si="355"/>
        <v>0</v>
      </c>
      <c r="AB617" s="84">
        <f t="shared" ca="1" si="338"/>
        <v>0</v>
      </c>
      <c r="AC617" s="160">
        <f t="shared" si="339"/>
        <v>0</v>
      </c>
      <c r="AD617" s="31">
        <f t="shared" ca="1" si="340"/>
        <v>0</v>
      </c>
      <c r="AF617" s="5"/>
      <c r="AG617" s="5"/>
      <c r="AS617" s="55">
        <f t="shared" si="348"/>
        <v>52</v>
      </c>
      <c r="AT617" s="56">
        <f t="shared" si="356"/>
        <v>614</v>
      </c>
      <c r="AU617" s="57">
        <f t="shared" si="360"/>
        <v>4.9987939975710285E-2</v>
      </c>
      <c r="AV617" s="58">
        <f t="shared" si="349"/>
        <v>4.8675505653430484E-3</v>
      </c>
      <c r="AW617" s="59">
        <f t="shared" si="350"/>
        <v>1.004867550565343</v>
      </c>
      <c r="AX617" s="60">
        <f>PRODUCT(AW$4:AW617)</f>
        <v>19.715907535468808</v>
      </c>
    </row>
    <row r="618" spans="5:50">
      <c r="E618">
        <f t="shared" si="358"/>
        <v>615</v>
      </c>
      <c r="F618" s="9">
        <f t="shared" si="351"/>
        <v>120.16666666666376</v>
      </c>
      <c r="G618" s="132">
        <f t="shared" si="331"/>
        <v>0</v>
      </c>
      <c r="H618" s="133">
        <f t="shared" si="357"/>
        <v>1</v>
      </c>
      <c r="I618" s="31">
        <f t="shared" si="341"/>
        <v>0</v>
      </c>
      <c r="J618" s="31">
        <f t="shared" si="332"/>
        <v>0</v>
      </c>
      <c r="K618" s="163">
        <f t="shared" si="333"/>
        <v>0</v>
      </c>
      <c r="L618" s="163">
        <f t="shared" si="342"/>
        <v>0</v>
      </c>
      <c r="M618" s="163">
        <f t="shared" si="359"/>
        <v>0</v>
      </c>
      <c r="N618" s="163">
        <f t="shared" si="343"/>
        <v>0</v>
      </c>
      <c r="O618" s="84">
        <f t="shared" si="334"/>
        <v>0</v>
      </c>
      <c r="P618" s="31">
        <f t="shared" si="335"/>
        <v>0</v>
      </c>
      <c r="R618">
        <f t="shared" ca="1" si="344"/>
        <v>735</v>
      </c>
      <c r="S618" s="133">
        <f t="shared" ca="1" si="345"/>
        <v>128.12</v>
      </c>
      <c r="T618" s="132">
        <f t="shared" ca="1" si="336"/>
        <v>0</v>
      </c>
      <c r="U618" s="133">
        <f t="shared" ca="1" si="352"/>
        <v>1.9008342029825436E-4</v>
      </c>
      <c r="V618" s="31">
        <f t="shared" ca="1" si="346"/>
        <v>0</v>
      </c>
      <c r="W618" s="31">
        <f t="shared" ca="1" si="337"/>
        <v>0</v>
      </c>
      <c r="X618" s="163">
        <f t="shared" ca="1" si="353"/>
        <v>0</v>
      </c>
      <c r="Y618" s="163">
        <f t="shared" ca="1" si="354"/>
        <v>0</v>
      </c>
      <c r="Z618" s="163">
        <f t="shared" ca="1" si="347"/>
        <v>0</v>
      </c>
      <c r="AA618" s="163">
        <f t="shared" ca="1" si="355"/>
        <v>0</v>
      </c>
      <c r="AB618" s="84">
        <f t="shared" ca="1" si="338"/>
        <v>0</v>
      </c>
      <c r="AC618" s="160">
        <f t="shared" si="339"/>
        <v>0</v>
      </c>
      <c r="AD618" s="31">
        <f t="shared" ca="1" si="340"/>
        <v>0</v>
      </c>
      <c r="AF618" s="5"/>
      <c r="AG618" s="5"/>
      <c r="AS618" s="55">
        <f t="shared" si="348"/>
        <v>52</v>
      </c>
      <c r="AT618" s="56">
        <f t="shared" si="356"/>
        <v>615</v>
      </c>
      <c r="AU618" s="57">
        <f t="shared" si="360"/>
        <v>4.9744621150221185E-2</v>
      </c>
      <c r="AV618" s="58">
        <f t="shared" si="349"/>
        <v>4.8675505653430484E-3</v>
      </c>
      <c r="AW618" s="59">
        <f t="shared" si="350"/>
        <v>1.004867550565343</v>
      </c>
      <c r="AX618" s="60">
        <f>PRODUCT(AW$4:AW618)</f>
        <v>19.811875712339329</v>
      </c>
    </row>
    <row r="619" spans="5:50">
      <c r="E619">
        <f t="shared" si="358"/>
        <v>616</v>
      </c>
      <c r="F619" s="9">
        <f t="shared" si="351"/>
        <v>120.24999999999709</v>
      </c>
      <c r="G619" s="132">
        <f t="shared" si="331"/>
        <v>0</v>
      </c>
      <c r="H619" s="133">
        <f t="shared" si="357"/>
        <v>1</v>
      </c>
      <c r="I619" s="31">
        <f t="shared" si="341"/>
        <v>0</v>
      </c>
      <c r="J619" s="31">
        <f t="shared" si="332"/>
        <v>0</v>
      </c>
      <c r="K619" s="163">
        <f t="shared" si="333"/>
        <v>0</v>
      </c>
      <c r="L619" s="163">
        <f t="shared" si="342"/>
        <v>0</v>
      </c>
      <c r="M619" s="163">
        <f t="shared" si="359"/>
        <v>0</v>
      </c>
      <c r="N619" s="163">
        <f t="shared" si="343"/>
        <v>0</v>
      </c>
      <c r="O619" s="84">
        <f t="shared" si="334"/>
        <v>0</v>
      </c>
      <c r="P619" s="31">
        <f t="shared" si="335"/>
        <v>0</v>
      </c>
      <c r="R619">
        <f t="shared" ca="1" si="344"/>
        <v>736</v>
      </c>
      <c r="S619" s="133">
        <f t="shared" ca="1" si="345"/>
        <v>128.19999999999999</v>
      </c>
      <c r="T619" s="132">
        <f t="shared" ca="1" si="336"/>
        <v>0</v>
      </c>
      <c r="U619" s="133">
        <f t="shared" ca="1" si="352"/>
        <v>1.9008342029825436E-4</v>
      </c>
      <c r="V619" s="31">
        <f t="shared" ca="1" si="346"/>
        <v>0</v>
      </c>
      <c r="W619" s="31">
        <f t="shared" ca="1" si="337"/>
        <v>0</v>
      </c>
      <c r="X619" s="163">
        <f t="shared" ca="1" si="353"/>
        <v>0</v>
      </c>
      <c r="Y619" s="163">
        <f t="shared" ca="1" si="354"/>
        <v>0</v>
      </c>
      <c r="Z619" s="163">
        <f t="shared" ca="1" si="347"/>
        <v>0</v>
      </c>
      <c r="AA619" s="163">
        <f t="shared" ca="1" si="355"/>
        <v>0</v>
      </c>
      <c r="AB619" s="84">
        <f t="shared" ca="1" si="338"/>
        <v>0</v>
      </c>
      <c r="AC619" s="160">
        <f t="shared" si="339"/>
        <v>0</v>
      </c>
      <c r="AD619" s="31">
        <f t="shared" ca="1" si="340"/>
        <v>0</v>
      </c>
      <c r="AF619" s="5"/>
      <c r="AG619" s="5"/>
      <c r="AS619" s="55">
        <f t="shared" si="348"/>
        <v>52</v>
      </c>
      <c r="AT619" s="56">
        <f t="shared" si="356"/>
        <v>616</v>
      </c>
      <c r="AU619" s="57">
        <f t="shared" si="360"/>
        <v>4.950248669141865E-2</v>
      </c>
      <c r="AV619" s="58">
        <f t="shared" si="349"/>
        <v>4.8675505653430484E-3</v>
      </c>
      <c r="AW619" s="59">
        <f t="shared" si="350"/>
        <v>1.004867550565343</v>
      </c>
      <c r="AX619" s="60">
        <f>PRODUCT(AW$4:AW619)</f>
        <v>19.908311019163435</v>
      </c>
    </row>
    <row r="620" spans="5:50">
      <c r="E620">
        <f t="shared" si="358"/>
        <v>617</v>
      </c>
      <c r="F620" s="9">
        <f t="shared" si="351"/>
        <v>120.33333333333042</v>
      </c>
      <c r="G620" s="132">
        <f t="shared" si="331"/>
        <v>0</v>
      </c>
      <c r="H620" s="133">
        <f t="shared" si="357"/>
        <v>1</v>
      </c>
      <c r="I620" s="31">
        <f t="shared" si="341"/>
        <v>0</v>
      </c>
      <c r="J620" s="31">
        <f t="shared" si="332"/>
        <v>0</v>
      </c>
      <c r="K620" s="163">
        <f t="shared" si="333"/>
        <v>0</v>
      </c>
      <c r="L620" s="163">
        <f t="shared" si="342"/>
        <v>0</v>
      </c>
      <c r="M620" s="163">
        <f t="shared" si="359"/>
        <v>0</v>
      </c>
      <c r="N620" s="163">
        <f t="shared" si="343"/>
        <v>0</v>
      </c>
      <c r="O620" s="84">
        <f t="shared" si="334"/>
        <v>0</v>
      </c>
      <c r="P620" s="31">
        <f t="shared" si="335"/>
        <v>0</v>
      </c>
      <c r="R620">
        <f t="shared" ca="1" si="344"/>
        <v>737</v>
      </c>
      <c r="S620" s="133">
        <f t="shared" ca="1" si="345"/>
        <v>128.28</v>
      </c>
      <c r="T620" s="132">
        <f t="shared" ca="1" si="336"/>
        <v>0</v>
      </c>
      <c r="U620" s="133">
        <f t="shared" ca="1" si="352"/>
        <v>1.9008342029825436E-4</v>
      </c>
      <c r="V620" s="31">
        <f t="shared" ca="1" si="346"/>
        <v>0</v>
      </c>
      <c r="W620" s="31">
        <f t="shared" ca="1" si="337"/>
        <v>0</v>
      </c>
      <c r="X620" s="163">
        <f t="shared" ca="1" si="353"/>
        <v>0</v>
      </c>
      <c r="Y620" s="163">
        <f t="shared" ca="1" si="354"/>
        <v>0</v>
      </c>
      <c r="Z620" s="163">
        <f t="shared" ca="1" si="347"/>
        <v>0</v>
      </c>
      <c r="AA620" s="163">
        <f t="shared" ca="1" si="355"/>
        <v>0</v>
      </c>
      <c r="AB620" s="84">
        <f t="shared" ca="1" si="338"/>
        <v>0</v>
      </c>
      <c r="AC620" s="160">
        <f t="shared" si="339"/>
        <v>0</v>
      </c>
      <c r="AD620" s="31">
        <f t="shared" ca="1" si="340"/>
        <v>0</v>
      </c>
      <c r="AF620" s="5"/>
      <c r="AG620" s="5"/>
      <c r="AS620" s="55">
        <f t="shared" si="348"/>
        <v>52</v>
      </c>
      <c r="AT620" s="56">
        <f t="shared" si="356"/>
        <v>617</v>
      </c>
      <c r="AU620" s="57">
        <f t="shared" si="360"/>
        <v>4.9261530834337951E-2</v>
      </c>
      <c r="AV620" s="58">
        <f t="shared" si="349"/>
        <v>4.8675505653430484E-3</v>
      </c>
      <c r="AW620" s="59">
        <f t="shared" si="350"/>
        <v>1.004867550565343</v>
      </c>
      <c r="AX620" s="60">
        <f>PRODUCT(AW$4:AW620)</f>
        <v>20.00521572971979</v>
      </c>
    </row>
    <row r="621" spans="5:50">
      <c r="E621">
        <f t="shared" si="358"/>
        <v>618</v>
      </c>
      <c r="F621" s="9">
        <f t="shared" si="351"/>
        <v>120.41666666666374</v>
      </c>
      <c r="G621" s="132">
        <f t="shared" si="331"/>
        <v>0</v>
      </c>
      <c r="H621" s="133">
        <f t="shared" si="357"/>
        <v>1</v>
      </c>
      <c r="I621" s="31">
        <f t="shared" si="341"/>
        <v>0</v>
      </c>
      <c r="J621" s="31">
        <f t="shared" si="332"/>
        <v>0</v>
      </c>
      <c r="K621" s="163">
        <f t="shared" si="333"/>
        <v>0</v>
      </c>
      <c r="L621" s="163">
        <f t="shared" si="342"/>
        <v>0</v>
      </c>
      <c r="M621" s="163">
        <f t="shared" si="359"/>
        <v>0</v>
      </c>
      <c r="N621" s="163">
        <f t="shared" si="343"/>
        <v>0</v>
      </c>
      <c r="O621" s="84">
        <f t="shared" si="334"/>
        <v>0</v>
      </c>
      <c r="P621" s="31">
        <f t="shared" si="335"/>
        <v>0</v>
      </c>
      <c r="R621">
        <f t="shared" ca="1" si="344"/>
        <v>738</v>
      </c>
      <c r="S621" s="133">
        <f t="shared" ca="1" si="345"/>
        <v>128.36000000000001</v>
      </c>
      <c r="T621" s="132">
        <f t="shared" ca="1" si="336"/>
        <v>0</v>
      </c>
      <c r="U621" s="133">
        <f t="shared" ca="1" si="352"/>
        <v>1.9008342029825436E-4</v>
      </c>
      <c r="V621" s="31">
        <f t="shared" ca="1" si="346"/>
        <v>0</v>
      </c>
      <c r="W621" s="31">
        <f t="shared" ca="1" si="337"/>
        <v>0</v>
      </c>
      <c r="X621" s="163">
        <f t="shared" ca="1" si="353"/>
        <v>0</v>
      </c>
      <c r="Y621" s="163">
        <f t="shared" ca="1" si="354"/>
        <v>0</v>
      </c>
      <c r="Z621" s="163">
        <f t="shared" ca="1" si="347"/>
        <v>0</v>
      </c>
      <c r="AA621" s="163">
        <f t="shared" ca="1" si="355"/>
        <v>0</v>
      </c>
      <c r="AB621" s="84">
        <f t="shared" ca="1" si="338"/>
        <v>0</v>
      </c>
      <c r="AC621" s="160">
        <f t="shared" si="339"/>
        <v>0</v>
      </c>
      <c r="AD621" s="31">
        <f t="shared" ca="1" si="340"/>
        <v>0</v>
      </c>
      <c r="AF621" s="5"/>
      <c r="AG621" s="5"/>
      <c r="AS621" s="55">
        <f t="shared" si="348"/>
        <v>52</v>
      </c>
      <c r="AT621" s="56">
        <f t="shared" si="356"/>
        <v>618</v>
      </c>
      <c r="AU621" s="57">
        <f t="shared" si="360"/>
        <v>4.9021747842075608E-2</v>
      </c>
      <c r="AV621" s="58">
        <f t="shared" si="349"/>
        <v>4.8675505653430484E-3</v>
      </c>
      <c r="AW621" s="59">
        <f t="shared" si="350"/>
        <v>1.004867550565343</v>
      </c>
      <c r="AX621" s="60">
        <f>PRODUCT(AW$4:AW621)</f>
        <v>20.102592128854798</v>
      </c>
    </row>
    <row r="622" spans="5:50">
      <c r="E622">
        <f t="shared" si="358"/>
        <v>619</v>
      </c>
      <c r="F622" s="9">
        <f t="shared" si="351"/>
        <v>120.49999999999707</v>
      </c>
      <c r="G622" s="132">
        <f t="shared" si="331"/>
        <v>0</v>
      </c>
      <c r="H622" s="133">
        <f t="shared" si="357"/>
        <v>1</v>
      </c>
      <c r="I622" s="31">
        <f t="shared" si="341"/>
        <v>0</v>
      </c>
      <c r="J622" s="31">
        <f t="shared" si="332"/>
        <v>0</v>
      </c>
      <c r="K622" s="163">
        <f t="shared" si="333"/>
        <v>0</v>
      </c>
      <c r="L622" s="163">
        <f t="shared" si="342"/>
        <v>0</v>
      </c>
      <c r="M622" s="163">
        <f t="shared" si="359"/>
        <v>0</v>
      </c>
      <c r="N622" s="163">
        <f t="shared" si="343"/>
        <v>0</v>
      </c>
      <c r="O622" s="84">
        <f t="shared" si="334"/>
        <v>0</v>
      </c>
      <c r="P622" s="31">
        <f t="shared" si="335"/>
        <v>0</v>
      </c>
      <c r="R622">
        <f t="shared" ca="1" si="344"/>
        <v>739</v>
      </c>
      <c r="S622" s="133">
        <f t="shared" ca="1" si="345"/>
        <v>128.44</v>
      </c>
      <c r="T622" s="132">
        <f t="shared" ca="1" si="336"/>
        <v>0</v>
      </c>
      <c r="U622" s="133">
        <f t="shared" ca="1" si="352"/>
        <v>1.9008342029825436E-4</v>
      </c>
      <c r="V622" s="31">
        <f t="shared" ca="1" si="346"/>
        <v>0</v>
      </c>
      <c r="W622" s="31">
        <f t="shared" ca="1" si="337"/>
        <v>0</v>
      </c>
      <c r="X622" s="163">
        <f t="shared" ca="1" si="353"/>
        <v>0</v>
      </c>
      <c r="Y622" s="163">
        <f t="shared" ca="1" si="354"/>
        <v>0</v>
      </c>
      <c r="Z622" s="163">
        <f t="shared" ca="1" si="347"/>
        <v>0</v>
      </c>
      <c r="AA622" s="163">
        <f t="shared" ca="1" si="355"/>
        <v>0</v>
      </c>
      <c r="AB622" s="84">
        <f t="shared" ca="1" si="338"/>
        <v>0</v>
      </c>
      <c r="AC622" s="160">
        <f t="shared" si="339"/>
        <v>0</v>
      </c>
      <c r="AD622" s="31">
        <f t="shared" ca="1" si="340"/>
        <v>0</v>
      </c>
      <c r="AF622" s="5"/>
      <c r="AG622" s="5"/>
      <c r="AS622" s="55">
        <f t="shared" si="348"/>
        <v>52</v>
      </c>
      <c r="AT622" s="56">
        <f t="shared" si="356"/>
        <v>619</v>
      </c>
      <c r="AU622" s="57">
        <f t="shared" si="360"/>
        <v>4.8783132005652811E-2</v>
      </c>
      <c r="AV622" s="58">
        <f t="shared" si="349"/>
        <v>4.8675505653430484E-3</v>
      </c>
      <c r="AW622" s="59">
        <f t="shared" si="350"/>
        <v>1.004867550565343</v>
      </c>
      <c r="AX622" s="60">
        <f>PRODUCT(AW$4:AW622)</f>
        <v>20.200442512536466</v>
      </c>
    </row>
    <row r="623" spans="5:50">
      <c r="E623">
        <f t="shared" si="358"/>
        <v>620</v>
      </c>
      <c r="F623" s="9">
        <f t="shared" si="351"/>
        <v>120.5833333333304</v>
      </c>
      <c r="G623" s="132">
        <f t="shared" si="331"/>
        <v>0</v>
      </c>
      <c r="H623" s="133">
        <f t="shared" si="357"/>
        <v>1</v>
      </c>
      <c r="I623" s="31">
        <f t="shared" si="341"/>
        <v>0</v>
      </c>
      <c r="J623" s="31">
        <f t="shared" si="332"/>
        <v>0</v>
      </c>
      <c r="K623" s="163">
        <f t="shared" si="333"/>
        <v>0</v>
      </c>
      <c r="L623" s="163">
        <f t="shared" si="342"/>
        <v>0</v>
      </c>
      <c r="M623" s="163">
        <f t="shared" si="359"/>
        <v>0</v>
      </c>
      <c r="N623" s="163">
        <f t="shared" si="343"/>
        <v>0</v>
      </c>
      <c r="O623" s="84">
        <f t="shared" si="334"/>
        <v>0</v>
      </c>
      <c r="P623" s="31">
        <f t="shared" si="335"/>
        <v>0</v>
      </c>
      <c r="R623">
        <f t="shared" ca="1" si="344"/>
        <v>740</v>
      </c>
      <c r="S623" s="133">
        <f t="shared" ca="1" si="345"/>
        <v>128.52000000000001</v>
      </c>
      <c r="T623" s="132">
        <f t="shared" ca="1" si="336"/>
        <v>0</v>
      </c>
      <c r="U623" s="133">
        <f t="shared" ca="1" si="352"/>
        <v>1.9008342029825436E-4</v>
      </c>
      <c r="V623" s="31">
        <f t="shared" ca="1" si="346"/>
        <v>0</v>
      </c>
      <c r="W623" s="31">
        <f t="shared" ca="1" si="337"/>
        <v>0</v>
      </c>
      <c r="X623" s="163">
        <f t="shared" ca="1" si="353"/>
        <v>0</v>
      </c>
      <c r="Y623" s="163">
        <f t="shared" ca="1" si="354"/>
        <v>0</v>
      </c>
      <c r="Z623" s="163">
        <f t="shared" ca="1" si="347"/>
        <v>0</v>
      </c>
      <c r="AA623" s="163">
        <f t="shared" ca="1" si="355"/>
        <v>0</v>
      </c>
      <c r="AB623" s="84">
        <f t="shared" ca="1" si="338"/>
        <v>0</v>
      </c>
      <c r="AC623" s="160">
        <f t="shared" si="339"/>
        <v>0</v>
      </c>
      <c r="AD623" s="31">
        <f t="shared" ca="1" si="340"/>
        <v>0</v>
      </c>
      <c r="AF623" s="5"/>
      <c r="AG623" s="5"/>
      <c r="AS623" s="55">
        <f t="shared" si="348"/>
        <v>52</v>
      </c>
      <c r="AT623" s="56">
        <f t="shared" si="356"/>
        <v>620</v>
      </c>
      <c r="AU623" s="57">
        <f t="shared" si="360"/>
        <v>4.8545677643879494E-2</v>
      </c>
      <c r="AV623" s="58">
        <f t="shared" si="349"/>
        <v>4.8675505653430484E-3</v>
      </c>
      <c r="AW623" s="59">
        <f t="shared" si="350"/>
        <v>1.004867550565343</v>
      </c>
      <c r="AX623" s="60">
        <f>PRODUCT(AW$4:AW623)</f>
        <v>20.29876918790854</v>
      </c>
    </row>
    <row r="624" spans="5:50">
      <c r="E624">
        <f t="shared" si="358"/>
        <v>621</v>
      </c>
      <c r="F624" s="9">
        <f t="shared" si="351"/>
        <v>120.66666666666373</v>
      </c>
      <c r="G624" s="132">
        <f t="shared" si="331"/>
        <v>0</v>
      </c>
      <c r="H624" s="133">
        <f t="shared" si="357"/>
        <v>1</v>
      </c>
      <c r="I624" s="31">
        <f t="shared" si="341"/>
        <v>0</v>
      </c>
      <c r="J624" s="31">
        <f t="shared" si="332"/>
        <v>0</v>
      </c>
      <c r="K624" s="163">
        <f t="shared" si="333"/>
        <v>0</v>
      </c>
      <c r="L624" s="163">
        <f t="shared" si="342"/>
        <v>0</v>
      </c>
      <c r="M624" s="163">
        <f t="shared" si="359"/>
        <v>0</v>
      </c>
      <c r="N624" s="163">
        <f t="shared" si="343"/>
        <v>0</v>
      </c>
      <c r="O624" s="84">
        <f t="shared" si="334"/>
        <v>0</v>
      </c>
      <c r="P624" s="31">
        <f t="shared" si="335"/>
        <v>0</v>
      </c>
      <c r="R624">
        <f t="shared" ca="1" si="344"/>
        <v>741</v>
      </c>
      <c r="S624" s="133">
        <f t="shared" ca="1" si="345"/>
        <v>128.6</v>
      </c>
      <c r="T624" s="132">
        <f t="shared" ca="1" si="336"/>
        <v>0</v>
      </c>
      <c r="U624" s="133">
        <f t="shared" ca="1" si="352"/>
        <v>1.9008342029825436E-4</v>
      </c>
      <c r="V624" s="31">
        <f t="shared" ca="1" si="346"/>
        <v>0</v>
      </c>
      <c r="W624" s="31">
        <f t="shared" ca="1" si="337"/>
        <v>0</v>
      </c>
      <c r="X624" s="163">
        <f t="shared" ca="1" si="353"/>
        <v>0</v>
      </c>
      <c r="Y624" s="163">
        <f t="shared" ca="1" si="354"/>
        <v>0</v>
      </c>
      <c r="Z624" s="163">
        <f t="shared" ca="1" si="347"/>
        <v>0</v>
      </c>
      <c r="AA624" s="163">
        <f t="shared" ca="1" si="355"/>
        <v>0</v>
      </c>
      <c r="AB624" s="84">
        <f t="shared" ca="1" si="338"/>
        <v>0</v>
      </c>
      <c r="AC624" s="160">
        <f t="shared" si="339"/>
        <v>0</v>
      </c>
      <c r="AD624" s="31">
        <f t="shared" ca="1" si="340"/>
        <v>0</v>
      </c>
      <c r="AF624" s="5"/>
      <c r="AG624" s="5"/>
      <c r="AS624" s="55">
        <f t="shared" si="348"/>
        <v>52</v>
      </c>
      <c r="AT624" s="56">
        <f t="shared" si="356"/>
        <v>621</v>
      </c>
      <c r="AU624" s="57">
        <f t="shared" si="360"/>
        <v>4.8309379103219065E-2</v>
      </c>
      <c r="AV624" s="58">
        <f t="shared" si="349"/>
        <v>4.8675505653430484E-3</v>
      </c>
      <c r="AW624" s="59">
        <f t="shared" si="350"/>
        <v>1.004867550565343</v>
      </c>
      <c r="AX624" s="60">
        <f>PRODUCT(AW$4:AW624)</f>
        <v>20.397574473344914</v>
      </c>
    </row>
    <row r="625" spans="5:50">
      <c r="E625">
        <f t="shared" si="358"/>
        <v>622</v>
      </c>
      <c r="F625" s="9">
        <f t="shared" si="351"/>
        <v>120.74999999999706</v>
      </c>
      <c r="G625" s="132">
        <f t="shared" si="331"/>
        <v>0</v>
      </c>
      <c r="H625" s="133">
        <f t="shared" si="357"/>
        <v>1</v>
      </c>
      <c r="I625" s="31">
        <f t="shared" si="341"/>
        <v>0</v>
      </c>
      <c r="J625" s="31">
        <f t="shared" si="332"/>
        <v>0</v>
      </c>
      <c r="K625" s="163">
        <f t="shared" si="333"/>
        <v>0</v>
      </c>
      <c r="L625" s="163">
        <f t="shared" si="342"/>
        <v>0</v>
      </c>
      <c r="M625" s="163">
        <f t="shared" si="359"/>
        <v>0</v>
      </c>
      <c r="N625" s="163">
        <f t="shared" si="343"/>
        <v>0</v>
      </c>
      <c r="O625" s="84">
        <f t="shared" si="334"/>
        <v>0</v>
      </c>
      <c r="P625" s="31">
        <f t="shared" si="335"/>
        <v>0</v>
      </c>
      <c r="R625">
        <f t="shared" ca="1" si="344"/>
        <v>742</v>
      </c>
      <c r="S625" s="133">
        <f t="shared" ca="1" si="345"/>
        <v>128.68</v>
      </c>
      <c r="T625" s="132">
        <f t="shared" ca="1" si="336"/>
        <v>0</v>
      </c>
      <c r="U625" s="133">
        <f t="shared" ca="1" si="352"/>
        <v>1.9008342029825436E-4</v>
      </c>
      <c r="V625" s="31">
        <f t="shared" ca="1" si="346"/>
        <v>0</v>
      </c>
      <c r="W625" s="31">
        <f t="shared" ca="1" si="337"/>
        <v>0</v>
      </c>
      <c r="X625" s="163">
        <f t="shared" ca="1" si="353"/>
        <v>0</v>
      </c>
      <c r="Y625" s="163">
        <f t="shared" ca="1" si="354"/>
        <v>0</v>
      </c>
      <c r="Z625" s="163">
        <f t="shared" ca="1" si="347"/>
        <v>0</v>
      </c>
      <c r="AA625" s="163">
        <f t="shared" ca="1" si="355"/>
        <v>0</v>
      </c>
      <c r="AB625" s="84">
        <f t="shared" ca="1" si="338"/>
        <v>0</v>
      </c>
      <c r="AC625" s="160">
        <f t="shared" si="339"/>
        <v>0</v>
      </c>
      <c r="AD625" s="31">
        <f t="shared" ca="1" si="340"/>
        <v>0</v>
      </c>
      <c r="AF625" s="5"/>
      <c r="AG625" s="5"/>
      <c r="AS625" s="55">
        <f t="shared" si="348"/>
        <v>52</v>
      </c>
      <c r="AT625" s="56">
        <f t="shared" si="356"/>
        <v>622</v>
      </c>
      <c r="AU625" s="57">
        <f t="shared" si="360"/>
        <v>4.8074230757653817E-2</v>
      </c>
      <c r="AV625" s="58">
        <f t="shared" si="349"/>
        <v>4.8675505653430484E-3</v>
      </c>
      <c r="AW625" s="59">
        <f t="shared" si="350"/>
        <v>1.004867550565343</v>
      </c>
      <c r="AX625" s="60">
        <f>PRODUCT(AW$4:AW625)</f>
        <v>20.496860698504271</v>
      </c>
    </row>
    <row r="626" spans="5:50">
      <c r="E626">
        <f t="shared" si="358"/>
        <v>623</v>
      </c>
      <c r="F626" s="9">
        <f t="shared" si="351"/>
        <v>120.83333333333039</v>
      </c>
      <c r="G626" s="132">
        <f t="shared" si="331"/>
        <v>0</v>
      </c>
      <c r="H626" s="133">
        <f t="shared" si="357"/>
        <v>1</v>
      </c>
      <c r="I626" s="31">
        <f t="shared" si="341"/>
        <v>0</v>
      </c>
      <c r="J626" s="31">
        <f t="shared" si="332"/>
        <v>0</v>
      </c>
      <c r="K626" s="163">
        <f t="shared" si="333"/>
        <v>0</v>
      </c>
      <c r="L626" s="163">
        <f t="shared" si="342"/>
        <v>0</v>
      </c>
      <c r="M626" s="163">
        <f t="shared" si="359"/>
        <v>0</v>
      </c>
      <c r="N626" s="163">
        <f t="shared" si="343"/>
        <v>0</v>
      </c>
      <c r="O626" s="84">
        <f t="shared" si="334"/>
        <v>0</v>
      </c>
      <c r="P626" s="31">
        <f t="shared" si="335"/>
        <v>0</v>
      </c>
      <c r="R626">
        <f t="shared" ca="1" si="344"/>
        <v>743</v>
      </c>
      <c r="S626" s="133">
        <f t="shared" ca="1" si="345"/>
        <v>128.76</v>
      </c>
      <c r="T626" s="132">
        <f t="shared" ca="1" si="336"/>
        <v>0</v>
      </c>
      <c r="U626" s="133">
        <f t="shared" ca="1" si="352"/>
        <v>1.9008342029825436E-4</v>
      </c>
      <c r="V626" s="31">
        <f t="shared" ca="1" si="346"/>
        <v>0</v>
      </c>
      <c r="W626" s="31">
        <f t="shared" ca="1" si="337"/>
        <v>0</v>
      </c>
      <c r="X626" s="163">
        <f t="shared" ca="1" si="353"/>
        <v>0</v>
      </c>
      <c r="Y626" s="163">
        <f t="shared" ca="1" si="354"/>
        <v>0</v>
      </c>
      <c r="Z626" s="163">
        <f t="shared" ca="1" si="347"/>
        <v>0</v>
      </c>
      <c r="AA626" s="163">
        <f t="shared" ca="1" si="355"/>
        <v>0</v>
      </c>
      <c r="AB626" s="84">
        <f t="shared" ca="1" si="338"/>
        <v>0</v>
      </c>
      <c r="AC626" s="160">
        <f t="shared" si="339"/>
        <v>0</v>
      </c>
      <c r="AD626" s="31">
        <f t="shared" ca="1" si="340"/>
        <v>0</v>
      </c>
      <c r="AF626" s="5"/>
      <c r="AG626" s="5"/>
      <c r="AS626" s="55">
        <f t="shared" si="348"/>
        <v>52</v>
      </c>
      <c r="AT626" s="56">
        <f t="shared" si="356"/>
        <v>623</v>
      </c>
      <c r="AU626" s="57">
        <f t="shared" si="360"/>
        <v>4.7840227008550965E-2</v>
      </c>
      <c r="AV626" s="58">
        <f t="shared" si="349"/>
        <v>4.8675505653430484E-3</v>
      </c>
      <c r="AW626" s="59">
        <f t="shared" si="350"/>
        <v>1.004867550565343</v>
      </c>
      <c r="AX626" s="60">
        <f>PRODUCT(AW$4:AW626)</f>
        <v>20.596630204385033</v>
      </c>
    </row>
    <row r="627" spans="5:50">
      <c r="E627">
        <f t="shared" si="358"/>
        <v>624</v>
      </c>
      <c r="F627" s="9">
        <f t="shared" si="351"/>
        <v>120.91666666666372</v>
      </c>
      <c r="G627" s="132">
        <f t="shared" si="331"/>
        <v>0</v>
      </c>
      <c r="H627" s="133">
        <f t="shared" si="357"/>
        <v>1</v>
      </c>
      <c r="I627" s="31">
        <f t="shared" si="341"/>
        <v>0</v>
      </c>
      <c r="J627" s="31">
        <f t="shared" si="332"/>
        <v>0</v>
      </c>
      <c r="K627" s="163">
        <f t="shared" si="333"/>
        <v>0</v>
      </c>
      <c r="L627" s="163">
        <f t="shared" si="342"/>
        <v>0</v>
      </c>
      <c r="M627" s="163">
        <f t="shared" si="359"/>
        <v>0</v>
      </c>
      <c r="N627" s="163">
        <f t="shared" si="343"/>
        <v>0</v>
      </c>
      <c r="O627" s="84">
        <f t="shared" si="334"/>
        <v>0</v>
      </c>
      <c r="P627" s="31">
        <f t="shared" si="335"/>
        <v>0</v>
      </c>
      <c r="R627">
        <f t="shared" ca="1" si="344"/>
        <v>744</v>
      </c>
      <c r="S627" s="133">
        <f t="shared" ca="1" si="345"/>
        <v>128.84</v>
      </c>
      <c r="T627" s="132">
        <f t="shared" ca="1" si="336"/>
        <v>0</v>
      </c>
      <c r="U627" s="133">
        <f t="shared" ca="1" si="352"/>
        <v>1.9008342029825436E-4</v>
      </c>
      <c r="V627" s="31">
        <f t="shared" ca="1" si="346"/>
        <v>0</v>
      </c>
      <c r="W627" s="31">
        <f t="shared" ca="1" si="337"/>
        <v>0</v>
      </c>
      <c r="X627" s="163">
        <f t="shared" ca="1" si="353"/>
        <v>0</v>
      </c>
      <c r="Y627" s="163">
        <f t="shared" ca="1" si="354"/>
        <v>0</v>
      </c>
      <c r="Z627" s="163">
        <f t="shared" ca="1" si="347"/>
        <v>0</v>
      </c>
      <c r="AA627" s="163">
        <f t="shared" ca="1" si="355"/>
        <v>0</v>
      </c>
      <c r="AB627" s="84">
        <f t="shared" ca="1" si="338"/>
        <v>0</v>
      </c>
      <c r="AC627" s="160">
        <f t="shared" si="339"/>
        <v>0</v>
      </c>
      <c r="AD627" s="31">
        <f t="shared" ca="1" si="340"/>
        <v>0</v>
      </c>
      <c r="AF627" s="5"/>
      <c r="AG627" s="5"/>
      <c r="AS627" s="55">
        <f t="shared" si="348"/>
        <v>52</v>
      </c>
      <c r="AT627" s="56">
        <f t="shared" si="356"/>
        <v>624</v>
      </c>
      <c r="AU627" s="57">
        <f t="shared" si="360"/>
        <v>4.7607362284529352E-2</v>
      </c>
      <c r="AV627" s="58">
        <f t="shared" si="349"/>
        <v>4.8675505653430484E-3</v>
      </c>
      <c r="AW627" s="59">
        <f t="shared" si="350"/>
        <v>1.004867550565343</v>
      </c>
      <c r="AX627" s="60">
        <f>PRODUCT(AW$4:AW627)</f>
        <v>20.696885343380547</v>
      </c>
    </row>
    <row r="628" spans="5:50">
      <c r="E628">
        <f t="shared" si="358"/>
        <v>625</v>
      </c>
      <c r="F628" s="9">
        <f t="shared" si="351"/>
        <v>120.99999999999704</v>
      </c>
      <c r="G628" s="132">
        <f t="shared" si="331"/>
        <v>0</v>
      </c>
      <c r="H628" s="133">
        <f t="shared" si="357"/>
        <v>1</v>
      </c>
      <c r="I628" s="31">
        <f t="shared" si="341"/>
        <v>0</v>
      </c>
      <c r="J628" s="31">
        <f t="shared" si="332"/>
        <v>0</v>
      </c>
      <c r="K628" s="163">
        <f t="shared" si="333"/>
        <v>0</v>
      </c>
      <c r="L628" s="163">
        <f t="shared" si="342"/>
        <v>0</v>
      </c>
      <c r="M628" s="163">
        <f t="shared" si="359"/>
        <v>0</v>
      </c>
      <c r="N628" s="163">
        <f t="shared" si="343"/>
        <v>0</v>
      </c>
      <c r="O628" s="84">
        <f t="shared" si="334"/>
        <v>0</v>
      </c>
      <c r="P628" s="31">
        <f t="shared" si="335"/>
        <v>0</v>
      </c>
      <c r="R628">
        <f t="shared" ca="1" si="344"/>
        <v>745</v>
      </c>
      <c r="S628" s="133">
        <f t="shared" ca="1" si="345"/>
        <v>128.91999999999999</v>
      </c>
      <c r="T628" s="132">
        <f t="shared" ca="1" si="336"/>
        <v>0</v>
      </c>
      <c r="U628" s="133">
        <f t="shared" ca="1" si="352"/>
        <v>1.9008342029825436E-4</v>
      </c>
      <c r="V628" s="31">
        <f t="shared" ca="1" si="346"/>
        <v>0</v>
      </c>
      <c r="W628" s="31">
        <f t="shared" ca="1" si="337"/>
        <v>0</v>
      </c>
      <c r="X628" s="163">
        <f t="shared" ca="1" si="353"/>
        <v>0</v>
      </c>
      <c r="Y628" s="163">
        <f t="shared" ca="1" si="354"/>
        <v>0</v>
      </c>
      <c r="Z628" s="163">
        <f t="shared" ca="1" si="347"/>
        <v>0</v>
      </c>
      <c r="AA628" s="163">
        <f t="shared" ca="1" si="355"/>
        <v>0</v>
      </c>
      <c r="AB628" s="84">
        <f t="shared" ca="1" si="338"/>
        <v>0</v>
      </c>
      <c r="AC628" s="160">
        <f t="shared" si="339"/>
        <v>0</v>
      </c>
      <c r="AD628" s="31">
        <f t="shared" ca="1" si="340"/>
        <v>0</v>
      </c>
      <c r="AF628" s="5"/>
      <c r="AG628" s="5"/>
      <c r="AS628" s="55">
        <f t="shared" si="348"/>
        <v>53</v>
      </c>
      <c r="AT628" s="56">
        <f t="shared" si="356"/>
        <v>625</v>
      </c>
      <c r="AU628" s="57">
        <f t="shared" si="360"/>
        <v>4.7375631041326798E-2</v>
      </c>
      <c r="AV628" s="58">
        <f t="shared" si="349"/>
        <v>4.8675505653430484E-3</v>
      </c>
      <c r="AW628" s="59">
        <f t="shared" si="350"/>
        <v>1.004867550565343</v>
      </c>
      <c r="AX628" s="60">
        <f>PRODUCT(AW$4:AW628)</f>
        <v>20.797628479334559</v>
      </c>
    </row>
    <row r="629" spans="5:50">
      <c r="E629">
        <f t="shared" si="358"/>
        <v>626</v>
      </c>
      <c r="F629" s="9">
        <f t="shared" si="351"/>
        <v>121.08333333333037</v>
      </c>
      <c r="G629" s="132">
        <f t="shared" si="331"/>
        <v>0</v>
      </c>
      <c r="H629" s="133">
        <f t="shared" si="357"/>
        <v>1</v>
      </c>
      <c r="I629" s="31">
        <f t="shared" si="341"/>
        <v>0</v>
      </c>
      <c r="J629" s="31">
        <f t="shared" si="332"/>
        <v>0</v>
      </c>
      <c r="K629" s="163">
        <f t="shared" si="333"/>
        <v>0</v>
      </c>
      <c r="L629" s="163">
        <f t="shared" si="342"/>
        <v>0</v>
      </c>
      <c r="M629" s="163">
        <f t="shared" si="359"/>
        <v>0</v>
      </c>
      <c r="N629" s="163">
        <f t="shared" si="343"/>
        <v>0</v>
      </c>
      <c r="O629" s="84">
        <f t="shared" si="334"/>
        <v>0</v>
      </c>
      <c r="P629" s="31">
        <f t="shared" si="335"/>
        <v>0</v>
      </c>
      <c r="R629">
        <f t="shared" ca="1" si="344"/>
        <v>746</v>
      </c>
      <c r="S629" s="133">
        <f t="shared" ca="1" si="345"/>
        <v>129</v>
      </c>
      <c r="T629" s="132">
        <f t="shared" ca="1" si="336"/>
        <v>0</v>
      </c>
      <c r="U629" s="133">
        <f t="shared" ca="1" si="352"/>
        <v>1.9008342029825436E-4</v>
      </c>
      <c r="V629" s="31">
        <f t="shared" ca="1" si="346"/>
        <v>0</v>
      </c>
      <c r="W629" s="31">
        <f t="shared" ca="1" si="337"/>
        <v>0</v>
      </c>
      <c r="X629" s="163">
        <f t="shared" ca="1" si="353"/>
        <v>0</v>
      </c>
      <c r="Y629" s="163">
        <f t="shared" ca="1" si="354"/>
        <v>0</v>
      </c>
      <c r="Z629" s="163">
        <f t="shared" ca="1" si="347"/>
        <v>0</v>
      </c>
      <c r="AA629" s="163">
        <f t="shared" ca="1" si="355"/>
        <v>0</v>
      </c>
      <c r="AB629" s="84">
        <f t="shared" ca="1" si="338"/>
        <v>0</v>
      </c>
      <c r="AC629" s="160">
        <f t="shared" si="339"/>
        <v>0</v>
      </c>
      <c r="AD629" s="31">
        <f t="shared" ca="1" si="340"/>
        <v>0</v>
      </c>
      <c r="AF629" s="5"/>
      <c r="AG629" s="5"/>
      <c r="AS629" s="55">
        <f t="shared" si="348"/>
        <v>53</v>
      </c>
      <c r="AT629" s="56">
        <f t="shared" si="356"/>
        <v>626</v>
      </c>
      <c r="AU629" s="57">
        <f t="shared" si="360"/>
        <v>4.7145027761668103E-2</v>
      </c>
      <c r="AV629" s="58">
        <f t="shared" si="349"/>
        <v>4.8675505653430484E-3</v>
      </c>
      <c r="AW629" s="59">
        <f t="shared" si="350"/>
        <v>1.004867550565343</v>
      </c>
      <c r="AX629" s="60">
        <f>PRODUCT(AW$4:AW629)</f>
        <v>20.898861987596938</v>
      </c>
    </row>
    <row r="630" spans="5:50">
      <c r="E630">
        <f t="shared" si="358"/>
        <v>627</v>
      </c>
      <c r="F630" s="9">
        <f t="shared" si="351"/>
        <v>121.1666666666637</v>
      </c>
      <c r="G630" s="132">
        <f t="shared" si="331"/>
        <v>0</v>
      </c>
      <c r="H630" s="133">
        <f t="shared" si="357"/>
        <v>1</v>
      </c>
      <c r="I630" s="31">
        <f t="shared" si="341"/>
        <v>0</v>
      </c>
      <c r="J630" s="31">
        <f t="shared" si="332"/>
        <v>0</v>
      </c>
      <c r="K630" s="163">
        <f t="shared" si="333"/>
        <v>0</v>
      </c>
      <c r="L630" s="163">
        <f t="shared" si="342"/>
        <v>0</v>
      </c>
      <c r="M630" s="163">
        <f t="shared" si="359"/>
        <v>0</v>
      </c>
      <c r="N630" s="163">
        <f t="shared" si="343"/>
        <v>0</v>
      </c>
      <c r="O630" s="84">
        <f t="shared" si="334"/>
        <v>0</v>
      </c>
      <c r="P630" s="31">
        <f t="shared" si="335"/>
        <v>0</v>
      </c>
      <c r="R630">
        <f t="shared" ca="1" si="344"/>
        <v>747</v>
      </c>
      <c r="S630" s="133">
        <f t="shared" ca="1" si="345"/>
        <v>129.08000000000001</v>
      </c>
      <c r="T630" s="132">
        <f t="shared" ca="1" si="336"/>
        <v>0</v>
      </c>
      <c r="U630" s="133">
        <f t="shared" ca="1" si="352"/>
        <v>1.9008342029825436E-4</v>
      </c>
      <c r="V630" s="31">
        <f t="shared" ca="1" si="346"/>
        <v>0</v>
      </c>
      <c r="W630" s="31">
        <f t="shared" ca="1" si="337"/>
        <v>0</v>
      </c>
      <c r="X630" s="163">
        <f t="shared" ca="1" si="353"/>
        <v>0</v>
      </c>
      <c r="Y630" s="163">
        <f t="shared" ca="1" si="354"/>
        <v>0</v>
      </c>
      <c r="Z630" s="163">
        <f t="shared" ca="1" si="347"/>
        <v>0</v>
      </c>
      <c r="AA630" s="163">
        <f t="shared" ca="1" si="355"/>
        <v>0</v>
      </c>
      <c r="AB630" s="84">
        <f t="shared" ca="1" si="338"/>
        <v>0</v>
      </c>
      <c r="AC630" s="160">
        <f t="shared" si="339"/>
        <v>0</v>
      </c>
      <c r="AD630" s="31">
        <f t="shared" ca="1" si="340"/>
        <v>0</v>
      </c>
      <c r="AF630" s="5"/>
      <c r="AG630" s="5"/>
      <c r="AS630" s="55">
        <f t="shared" si="348"/>
        <v>53</v>
      </c>
      <c r="AT630" s="56">
        <f t="shared" si="356"/>
        <v>627</v>
      </c>
      <c r="AU630" s="57">
        <f t="shared" si="360"/>
        <v>4.6915546955133683E-2</v>
      </c>
      <c r="AV630" s="58">
        <f t="shared" si="349"/>
        <v>4.8675505653430484E-3</v>
      </c>
      <c r="AW630" s="59">
        <f t="shared" si="350"/>
        <v>1.004867550565343</v>
      </c>
      <c r="AX630" s="60">
        <f>PRODUCT(AW$4:AW630)</f>
        <v>21.000588255079691</v>
      </c>
    </row>
    <row r="631" spans="5:50">
      <c r="E631">
        <f t="shared" si="358"/>
        <v>628</v>
      </c>
      <c r="F631" s="9">
        <f t="shared" si="351"/>
        <v>121.24999999999703</v>
      </c>
      <c r="G631" s="132">
        <f t="shared" si="331"/>
        <v>0</v>
      </c>
      <c r="H631" s="133">
        <f t="shared" si="357"/>
        <v>1</v>
      </c>
      <c r="I631" s="31">
        <f t="shared" si="341"/>
        <v>0</v>
      </c>
      <c r="J631" s="31">
        <f t="shared" si="332"/>
        <v>0</v>
      </c>
      <c r="K631" s="163">
        <f t="shared" si="333"/>
        <v>0</v>
      </c>
      <c r="L631" s="163">
        <f t="shared" si="342"/>
        <v>0</v>
      </c>
      <c r="M631" s="163">
        <f t="shared" si="359"/>
        <v>0</v>
      </c>
      <c r="N631" s="163">
        <f t="shared" si="343"/>
        <v>0</v>
      </c>
      <c r="O631" s="84">
        <f t="shared" si="334"/>
        <v>0</v>
      </c>
      <c r="P631" s="31">
        <f t="shared" si="335"/>
        <v>0</v>
      </c>
      <c r="R631">
        <f t="shared" ca="1" si="344"/>
        <v>748</v>
      </c>
      <c r="S631" s="133">
        <f t="shared" ca="1" si="345"/>
        <v>129.16</v>
      </c>
      <c r="T631" s="132">
        <f t="shared" ca="1" si="336"/>
        <v>0</v>
      </c>
      <c r="U631" s="133">
        <f t="shared" ca="1" si="352"/>
        <v>1.9008342029825436E-4</v>
      </c>
      <c r="V631" s="31">
        <f t="shared" ca="1" si="346"/>
        <v>0</v>
      </c>
      <c r="W631" s="31">
        <f t="shared" ca="1" si="337"/>
        <v>0</v>
      </c>
      <c r="X631" s="163">
        <f t="shared" ca="1" si="353"/>
        <v>0</v>
      </c>
      <c r="Y631" s="163">
        <f t="shared" ca="1" si="354"/>
        <v>0</v>
      </c>
      <c r="Z631" s="163">
        <f t="shared" ca="1" si="347"/>
        <v>0</v>
      </c>
      <c r="AA631" s="163">
        <f t="shared" ca="1" si="355"/>
        <v>0</v>
      </c>
      <c r="AB631" s="84">
        <f t="shared" ca="1" si="338"/>
        <v>0</v>
      </c>
      <c r="AC631" s="160">
        <f t="shared" si="339"/>
        <v>0</v>
      </c>
      <c r="AD631" s="31">
        <f t="shared" ca="1" si="340"/>
        <v>0</v>
      </c>
      <c r="AF631" s="5"/>
      <c r="AG631" s="5"/>
      <c r="AS631" s="55">
        <f t="shared" si="348"/>
        <v>53</v>
      </c>
      <c r="AT631" s="56">
        <f t="shared" si="356"/>
        <v>628</v>
      </c>
      <c r="AU631" s="57">
        <f t="shared" si="360"/>
        <v>4.668718315802884E-2</v>
      </c>
      <c r="AV631" s="58">
        <f t="shared" si="349"/>
        <v>4.8675505653430484E-3</v>
      </c>
      <c r="AW631" s="59">
        <f t="shared" si="350"/>
        <v>1.004867550565343</v>
      </c>
      <c r="AX631" s="60">
        <f>PRODUCT(AW$4:AW631)</f>
        <v>21.102809680313239</v>
      </c>
    </row>
    <row r="632" spans="5:50">
      <c r="E632">
        <f t="shared" si="358"/>
        <v>629</v>
      </c>
      <c r="F632" s="9">
        <f t="shared" si="351"/>
        <v>121.33333333333036</v>
      </c>
      <c r="G632" s="132">
        <f t="shared" si="331"/>
        <v>0</v>
      </c>
      <c r="H632" s="133">
        <f t="shared" si="357"/>
        <v>1</v>
      </c>
      <c r="I632" s="31">
        <f t="shared" si="341"/>
        <v>0</v>
      </c>
      <c r="J632" s="31">
        <f t="shared" si="332"/>
        <v>0</v>
      </c>
      <c r="K632" s="163">
        <f t="shared" si="333"/>
        <v>0</v>
      </c>
      <c r="L632" s="163">
        <f t="shared" si="342"/>
        <v>0</v>
      </c>
      <c r="M632" s="163">
        <f t="shared" si="359"/>
        <v>0</v>
      </c>
      <c r="N632" s="163">
        <f t="shared" si="343"/>
        <v>0</v>
      </c>
      <c r="O632" s="84">
        <f t="shared" si="334"/>
        <v>0</v>
      </c>
      <c r="P632" s="31">
        <f t="shared" si="335"/>
        <v>0</v>
      </c>
      <c r="R632">
        <f t="shared" ca="1" si="344"/>
        <v>749</v>
      </c>
      <c r="S632" s="133">
        <f t="shared" ca="1" si="345"/>
        <v>129.24</v>
      </c>
      <c r="T632" s="132">
        <f t="shared" ca="1" si="336"/>
        <v>0</v>
      </c>
      <c r="U632" s="133">
        <f t="shared" ca="1" si="352"/>
        <v>1.9008342029825436E-4</v>
      </c>
      <c r="V632" s="31">
        <f t="shared" ca="1" si="346"/>
        <v>0</v>
      </c>
      <c r="W632" s="31">
        <f t="shared" ca="1" si="337"/>
        <v>0</v>
      </c>
      <c r="X632" s="163">
        <f t="shared" ca="1" si="353"/>
        <v>0</v>
      </c>
      <c r="Y632" s="163">
        <f t="shared" ca="1" si="354"/>
        <v>0</v>
      </c>
      <c r="Z632" s="163">
        <f t="shared" ca="1" si="347"/>
        <v>0</v>
      </c>
      <c r="AA632" s="163">
        <f t="shared" ca="1" si="355"/>
        <v>0</v>
      </c>
      <c r="AB632" s="84">
        <f t="shared" ca="1" si="338"/>
        <v>0</v>
      </c>
      <c r="AC632" s="160">
        <f t="shared" si="339"/>
        <v>0</v>
      </c>
      <c r="AD632" s="31">
        <f t="shared" ca="1" si="340"/>
        <v>0</v>
      </c>
      <c r="AF632" s="5"/>
      <c r="AG632" s="5"/>
      <c r="AS632" s="55">
        <f t="shared" si="348"/>
        <v>53</v>
      </c>
      <c r="AT632" s="56">
        <f t="shared" si="356"/>
        <v>629</v>
      </c>
      <c r="AU632" s="57">
        <f t="shared" si="360"/>
        <v>4.64599309332537E-2</v>
      </c>
      <c r="AV632" s="58">
        <f t="shared" si="349"/>
        <v>4.8675505653430484E-3</v>
      </c>
      <c r="AW632" s="59">
        <f t="shared" si="350"/>
        <v>1.004867550565343</v>
      </c>
      <c r="AX632" s="60">
        <f>PRODUCT(AW$4:AW632)</f>
        <v>21.205528673502975</v>
      </c>
    </row>
    <row r="633" spans="5:50">
      <c r="E633">
        <f t="shared" si="358"/>
        <v>630</v>
      </c>
      <c r="F633" s="9">
        <f t="shared" si="351"/>
        <v>121.41666666666369</v>
      </c>
      <c r="G633" s="132">
        <f t="shared" si="331"/>
        <v>0</v>
      </c>
      <c r="H633" s="133">
        <f t="shared" si="357"/>
        <v>1</v>
      </c>
      <c r="I633" s="31">
        <f t="shared" si="341"/>
        <v>0</v>
      </c>
      <c r="J633" s="31">
        <f t="shared" si="332"/>
        <v>0</v>
      </c>
      <c r="K633" s="163">
        <f t="shared" si="333"/>
        <v>0</v>
      </c>
      <c r="L633" s="163">
        <f t="shared" si="342"/>
        <v>0</v>
      </c>
      <c r="M633" s="163">
        <f t="shared" si="359"/>
        <v>0</v>
      </c>
      <c r="N633" s="163">
        <f t="shared" si="343"/>
        <v>0</v>
      </c>
      <c r="O633" s="84">
        <f t="shared" si="334"/>
        <v>0</v>
      </c>
      <c r="P633" s="31">
        <f t="shared" si="335"/>
        <v>0</v>
      </c>
      <c r="R633">
        <f t="shared" ca="1" si="344"/>
        <v>750</v>
      </c>
      <c r="S633" s="133">
        <f t="shared" ca="1" si="345"/>
        <v>129.32</v>
      </c>
      <c r="T633" s="132">
        <f t="shared" ca="1" si="336"/>
        <v>0</v>
      </c>
      <c r="U633" s="133">
        <f t="shared" ca="1" si="352"/>
        <v>1.9008342029825436E-4</v>
      </c>
      <c r="V633" s="31">
        <f t="shared" ca="1" si="346"/>
        <v>0</v>
      </c>
      <c r="W633" s="31">
        <f t="shared" ca="1" si="337"/>
        <v>0</v>
      </c>
      <c r="X633" s="163">
        <f t="shared" ca="1" si="353"/>
        <v>0</v>
      </c>
      <c r="Y633" s="163">
        <f t="shared" ca="1" si="354"/>
        <v>0</v>
      </c>
      <c r="Z633" s="163">
        <f t="shared" ca="1" si="347"/>
        <v>0</v>
      </c>
      <c r="AA633" s="163">
        <f t="shared" ca="1" si="355"/>
        <v>0</v>
      </c>
      <c r="AB633" s="84">
        <f t="shared" ca="1" si="338"/>
        <v>0</v>
      </c>
      <c r="AC633" s="160">
        <f t="shared" si="339"/>
        <v>0</v>
      </c>
      <c r="AD633" s="31">
        <f t="shared" ca="1" si="340"/>
        <v>0</v>
      </c>
      <c r="AF633" s="5"/>
      <c r="AG633" s="5"/>
      <c r="AS633" s="55">
        <f t="shared" si="348"/>
        <v>53</v>
      </c>
      <c r="AT633" s="56">
        <f t="shared" si="356"/>
        <v>630</v>
      </c>
      <c r="AU633" s="57">
        <f t="shared" si="360"/>
        <v>4.6233784870173739E-2</v>
      </c>
      <c r="AV633" s="58">
        <f t="shared" si="349"/>
        <v>4.8675505653430484E-3</v>
      </c>
      <c r="AW633" s="59">
        <f t="shared" si="350"/>
        <v>1.004867550565343</v>
      </c>
      <c r="AX633" s="60">
        <f>PRODUCT(AW$4:AW633)</f>
        <v>21.308747656586082</v>
      </c>
    </row>
    <row r="634" spans="5:50">
      <c r="E634">
        <f t="shared" si="358"/>
        <v>631</v>
      </c>
      <c r="F634" s="9">
        <f t="shared" si="351"/>
        <v>121.49999999999702</v>
      </c>
      <c r="G634" s="132">
        <f t="shared" si="331"/>
        <v>0</v>
      </c>
      <c r="H634" s="133">
        <f t="shared" si="357"/>
        <v>1</v>
      </c>
      <c r="I634" s="31">
        <f t="shared" si="341"/>
        <v>0</v>
      </c>
      <c r="J634" s="31">
        <f t="shared" si="332"/>
        <v>0</v>
      </c>
      <c r="K634" s="163">
        <f t="shared" si="333"/>
        <v>0</v>
      </c>
      <c r="L634" s="163">
        <f t="shared" si="342"/>
        <v>0</v>
      </c>
      <c r="M634" s="163">
        <f t="shared" si="359"/>
        <v>0</v>
      </c>
      <c r="N634" s="163">
        <f t="shared" si="343"/>
        <v>0</v>
      </c>
      <c r="O634" s="84">
        <f t="shared" si="334"/>
        <v>0</v>
      </c>
      <c r="P634" s="31">
        <f t="shared" si="335"/>
        <v>0</v>
      </c>
      <c r="R634">
        <f t="shared" ca="1" si="344"/>
        <v>751</v>
      </c>
      <c r="S634" s="133">
        <f t="shared" ca="1" si="345"/>
        <v>129.4</v>
      </c>
      <c r="T634" s="132">
        <f t="shared" ca="1" si="336"/>
        <v>0</v>
      </c>
      <c r="U634" s="133">
        <f t="shared" ca="1" si="352"/>
        <v>1.9008342029825436E-4</v>
      </c>
      <c r="V634" s="31">
        <f t="shared" ca="1" si="346"/>
        <v>0</v>
      </c>
      <c r="W634" s="31">
        <f t="shared" ca="1" si="337"/>
        <v>0</v>
      </c>
      <c r="X634" s="163">
        <f t="shared" ca="1" si="353"/>
        <v>0</v>
      </c>
      <c r="Y634" s="163">
        <f t="shared" ca="1" si="354"/>
        <v>0</v>
      </c>
      <c r="Z634" s="163">
        <f t="shared" ca="1" si="347"/>
        <v>0</v>
      </c>
      <c r="AA634" s="163">
        <f t="shared" ca="1" si="355"/>
        <v>0</v>
      </c>
      <c r="AB634" s="84">
        <f t="shared" ca="1" si="338"/>
        <v>0</v>
      </c>
      <c r="AC634" s="160">
        <f t="shared" si="339"/>
        <v>0</v>
      </c>
      <c r="AD634" s="31">
        <f t="shared" ca="1" si="340"/>
        <v>0</v>
      </c>
      <c r="AF634" s="5"/>
      <c r="AG634" s="5"/>
      <c r="AS634" s="55">
        <f t="shared" si="348"/>
        <v>53</v>
      </c>
      <c r="AT634" s="56">
        <f t="shared" si="356"/>
        <v>631</v>
      </c>
      <c r="AU634" s="57">
        <f t="shared" si="360"/>
        <v>4.6008739584490976E-2</v>
      </c>
      <c r="AV634" s="58">
        <f t="shared" si="349"/>
        <v>4.8675505653430484E-3</v>
      </c>
      <c r="AW634" s="59">
        <f t="shared" si="350"/>
        <v>1.004867550565343</v>
      </c>
      <c r="AX634" s="60">
        <f>PRODUCT(AW$4:AW634)</f>
        <v>21.412469063288651</v>
      </c>
    </row>
    <row r="635" spans="5:50">
      <c r="E635">
        <f t="shared" si="358"/>
        <v>632</v>
      </c>
      <c r="F635" s="9">
        <f t="shared" si="351"/>
        <v>121.58333333333034</v>
      </c>
      <c r="G635" s="132">
        <f t="shared" si="331"/>
        <v>0</v>
      </c>
      <c r="H635" s="133">
        <f t="shared" si="357"/>
        <v>1</v>
      </c>
      <c r="I635" s="31">
        <f t="shared" si="341"/>
        <v>0</v>
      </c>
      <c r="J635" s="31">
        <f t="shared" si="332"/>
        <v>0</v>
      </c>
      <c r="K635" s="163">
        <f t="shared" si="333"/>
        <v>0</v>
      </c>
      <c r="L635" s="163">
        <f t="shared" si="342"/>
        <v>0</v>
      </c>
      <c r="M635" s="163">
        <f t="shared" si="359"/>
        <v>0</v>
      </c>
      <c r="N635" s="163">
        <f t="shared" si="343"/>
        <v>0</v>
      </c>
      <c r="O635" s="84">
        <f t="shared" si="334"/>
        <v>0</v>
      </c>
      <c r="P635" s="31">
        <f t="shared" si="335"/>
        <v>0</v>
      </c>
      <c r="R635">
        <f t="shared" ca="1" si="344"/>
        <v>752</v>
      </c>
      <c r="S635" s="133">
        <f t="shared" ca="1" si="345"/>
        <v>129.47999999999999</v>
      </c>
      <c r="T635" s="132">
        <f t="shared" ca="1" si="336"/>
        <v>0</v>
      </c>
      <c r="U635" s="133">
        <f t="shared" ca="1" si="352"/>
        <v>1.9008342029825436E-4</v>
      </c>
      <c r="V635" s="31">
        <f t="shared" ca="1" si="346"/>
        <v>0</v>
      </c>
      <c r="W635" s="31">
        <f t="shared" ca="1" si="337"/>
        <v>0</v>
      </c>
      <c r="X635" s="163">
        <f t="shared" ca="1" si="353"/>
        <v>0</v>
      </c>
      <c r="Y635" s="163">
        <f t="shared" ca="1" si="354"/>
        <v>0</v>
      </c>
      <c r="Z635" s="163">
        <f t="shared" ca="1" si="347"/>
        <v>0</v>
      </c>
      <c r="AA635" s="163">
        <f t="shared" ca="1" si="355"/>
        <v>0</v>
      </c>
      <c r="AB635" s="84">
        <f t="shared" ca="1" si="338"/>
        <v>0</v>
      </c>
      <c r="AC635" s="160">
        <f t="shared" si="339"/>
        <v>0</v>
      </c>
      <c r="AD635" s="31">
        <f t="shared" ca="1" si="340"/>
        <v>0</v>
      </c>
      <c r="AF635" s="5"/>
      <c r="AG635" s="5"/>
      <c r="AS635" s="55">
        <f t="shared" si="348"/>
        <v>53</v>
      </c>
      <c r="AT635" s="56">
        <f t="shared" si="356"/>
        <v>632</v>
      </c>
      <c r="AU635" s="57">
        <f t="shared" si="360"/>
        <v>4.5784789718115768E-2</v>
      </c>
      <c r="AV635" s="58">
        <f t="shared" si="349"/>
        <v>4.8675505653430484E-3</v>
      </c>
      <c r="AW635" s="59">
        <f t="shared" si="350"/>
        <v>1.004867550565343</v>
      </c>
      <c r="AX635" s="60">
        <f>PRODUCT(AW$4:AW635)</f>
        <v>21.516695339183052</v>
      </c>
    </row>
    <row r="636" spans="5:50">
      <c r="E636">
        <f t="shared" si="358"/>
        <v>633</v>
      </c>
      <c r="F636" s="9">
        <f t="shared" si="351"/>
        <v>121.66666666666367</v>
      </c>
      <c r="G636" s="132">
        <f t="shared" si="331"/>
        <v>0</v>
      </c>
      <c r="H636" s="133">
        <f t="shared" si="357"/>
        <v>1</v>
      </c>
      <c r="I636" s="31">
        <f t="shared" si="341"/>
        <v>0</v>
      </c>
      <c r="J636" s="31">
        <f t="shared" si="332"/>
        <v>0</v>
      </c>
      <c r="K636" s="163">
        <f t="shared" si="333"/>
        <v>0</v>
      </c>
      <c r="L636" s="163">
        <f t="shared" si="342"/>
        <v>0</v>
      </c>
      <c r="M636" s="163">
        <f t="shared" si="359"/>
        <v>0</v>
      </c>
      <c r="N636" s="163">
        <f t="shared" si="343"/>
        <v>0</v>
      </c>
      <c r="O636" s="84">
        <f t="shared" si="334"/>
        <v>0</v>
      </c>
      <c r="P636" s="31">
        <f t="shared" si="335"/>
        <v>0</v>
      </c>
      <c r="R636">
        <f t="shared" ca="1" si="344"/>
        <v>753</v>
      </c>
      <c r="S636" s="133">
        <f t="shared" ca="1" si="345"/>
        <v>129.56</v>
      </c>
      <c r="T636" s="132">
        <f t="shared" ca="1" si="336"/>
        <v>0</v>
      </c>
      <c r="U636" s="133">
        <f t="shared" ca="1" si="352"/>
        <v>1.9008342029825436E-4</v>
      </c>
      <c r="V636" s="31">
        <f t="shared" ca="1" si="346"/>
        <v>0</v>
      </c>
      <c r="W636" s="31">
        <f t="shared" ca="1" si="337"/>
        <v>0</v>
      </c>
      <c r="X636" s="163">
        <f t="shared" ca="1" si="353"/>
        <v>0</v>
      </c>
      <c r="Y636" s="163">
        <f t="shared" ca="1" si="354"/>
        <v>0</v>
      </c>
      <c r="Z636" s="163">
        <f t="shared" ca="1" si="347"/>
        <v>0</v>
      </c>
      <c r="AA636" s="163">
        <f t="shared" ca="1" si="355"/>
        <v>0</v>
      </c>
      <c r="AB636" s="84">
        <f t="shared" ca="1" si="338"/>
        <v>0</v>
      </c>
      <c r="AC636" s="160">
        <f t="shared" si="339"/>
        <v>0</v>
      </c>
      <c r="AD636" s="31">
        <f t="shared" ca="1" si="340"/>
        <v>0</v>
      </c>
      <c r="AF636" s="5"/>
      <c r="AG636" s="5"/>
      <c r="AS636" s="55">
        <f t="shared" si="348"/>
        <v>53</v>
      </c>
      <c r="AT636" s="56">
        <f t="shared" si="356"/>
        <v>633</v>
      </c>
      <c r="AU636" s="57">
        <f t="shared" si="360"/>
        <v>4.5561929939039243E-2</v>
      </c>
      <c r="AV636" s="58">
        <f t="shared" si="349"/>
        <v>4.8675505653430484E-3</v>
      </c>
      <c r="AW636" s="59">
        <f t="shared" si="350"/>
        <v>1.004867550565343</v>
      </c>
      <c r="AX636" s="60">
        <f>PRODUCT(AW$4:AW636)</f>
        <v>21.621428941745606</v>
      </c>
    </row>
    <row r="637" spans="5:50">
      <c r="E637">
        <f t="shared" si="358"/>
        <v>634</v>
      </c>
      <c r="F637" s="9">
        <f t="shared" si="351"/>
        <v>121.749999999997</v>
      </c>
      <c r="G637" s="132">
        <f t="shared" si="331"/>
        <v>0</v>
      </c>
      <c r="H637" s="133">
        <f t="shared" si="357"/>
        <v>1</v>
      </c>
      <c r="I637" s="31">
        <f t="shared" si="341"/>
        <v>0</v>
      </c>
      <c r="J637" s="31">
        <f t="shared" si="332"/>
        <v>0</v>
      </c>
      <c r="K637" s="163">
        <f t="shared" si="333"/>
        <v>0</v>
      </c>
      <c r="L637" s="163">
        <f t="shared" si="342"/>
        <v>0</v>
      </c>
      <c r="M637" s="163">
        <f t="shared" si="359"/>
        <v>0</v>
      </c>
      <c r="N637" s="163">
        <f t="shared" si="343"/>
        <v>0</v>
      </c>
      <c r="O637" s="84">
        <f t="shared" si="334"/>
        <v>0</v>
      </c>
      <c r="P637" s="31">
        <f t="shared" si="335"/>
        <v>0</v>
      </c>
      <c r="R637">
        <f t="shared" ca="1" si="344"/>
        <v>754</v>
      </c>
      <c r="S637" s="133">
        <f t="shared" ca="1" si="345"/>
        <v>129.63999999999999</v>
      </c>
      <c r="T637" s="132">
        <f t="shared" ca="1" si="336"/>
        <v>0</v>
      </c>
      <c r="U637" s="133">
        <f t="shared" ca="1" si="352"/>
        <v>1.9008342029825436E-4</v>
      </c>
      <c r="V637" s="31">
        <f t="shared" ca="1" si="346"/>
        <v>0</v>
      </c>
      <c r="W637" s="31">
        <f t="shared" ca="1" si="337"/>
        <v>0</v>
      </c>
      <c r="X637" s="163">
        <f t="shared" ca="1" si="353"/>
        <v>0</v>
      </c>
      <c r="Y637" s="163">
        <f t="shared" ca="1" si="354"/>
        <v>0</v>
      </c>
      <c r="Z637" s="163">
        <f t="shared" ca="1" si="347"/>
        <v>0</v>
      </c>
      <c r="AA637" s="163">
        <f t="shared" ca="1" si="355"/>
        <v>0</v>
      </c>
      <c r="AB637" s="84">
        <f t="shared" ca="1" si="338"/>
        <v>0</v>
      </c>
      <c r="AC637" s="160">
        <f t="shared" si="339"/>
        <v>0</v>
      </c>
      <c r="AD637" s="31">
        <f t="shared" ca="1" si="340"/>
        <v>0</v>
      </c>
      <c r="AF637" s="5"/>
      <c r="AG637" s="5"/>
      <c r="AS637" s="55">
        <f t="shared" si="348"/>
        <v>53</v>
      </c>
      <c r="AT637" s="56">
        <f t="shared" si="356"/>
        <v>634</v>
      </c>
      <c r="AU637" s="57">
        <f t="shared" si="360"/>
        <v>4.534015494120635E-2</v>
      </c>
      <c r="AV637" s="58">
        <f t="shared" si="349"/>
        <v>4.8675505653430484E-3</v>
      </c>
      <c r="AW637" s="59">
        <f t="shared" si="350"/>
        <v>1.004867550565343</v>
      </c>
      <c r="AX637" s="60">
        <f>PRODUCT(AW$4:AW637)</f>
        <v>21.726672340414524</v>
      </c>
    </row>
    <row r="638" spans="5:50">
      <c r="E638">
        <f t="shared" si="358"/>
        <v>635</v>
      </c>
      <c r="F638" s="9">
        <f t="shared" si="351"/>
        <v>121.83333333333033</v>
      </c>
      <c r="G638" s="132">
        <f t="shared" si="331"/>
        <v>0</v>
      </c>
      <c r="H638" s="133">
        <f t="shared" si="357"/>
        <v>1</v>
      </c>
      <c r="I638" s="31">
        <f t="shared" si="341"/>
        <v>0</v>
      </c>
      <c r="J638" s="31">
        <f t="shared" si="332"/>
        <v>0</v>
      </c>
      <c r="K638" s="163">
        <f t="shared" si="333"/>
        <v>0</v>
      </c>
      <c r="L638" s="163">
        <f t="shared" si="342"/>
        <v>0</v>
      </c>
      <c r="M638" s="163">
        <f t="shared" si="359"/>
        <v>0</v>
      </c>
      <c r="N638" s="163">
        <f t="shared" si="343"/>
        <v>0</v>
      </c>
      <c r="O638" s="84">
        <f t="shared" si="334"/>
        <v>0</v>
      </c>
      <c r="P638" s="31">
        <f t="shared" si="335"/>
        <v>0</v>
      </c>
      <c r="R638">
        <f t="shared" ca="1" si="344"/>
        <v>755</v>
      </c>
      <c r="S638" s="133">
        <f t="shared" ca="1" si="345"/>
        <v>129.72</v>
      </c>
      <c r="T638" s="132">
        <f t="shared" ca="1" si="336"/>
        <v>0</v>
      </c>
      <c r="U638" s="133">
        <f t="shared" ca="1" si="352"/>
        <v>1.9008342029825436E-4</v>
      </c>
      <c r="V638" s="31">
        <f t="shared" ca="1" si="346"/>
        <v>0</v>
      </c>
      <c r="W638" s="31">
        <f t="shared" ca="1" si="337"/>
        <v>0</v>
      </c>
      <c r="X638" s="163">
        <f t="shared" ca="1" si="353"/>
        <v>0</v>
      </c>
      <c r="Y638" s="163">
        <f t="shared" ca="1" si="354"/>
        <v>0</v>
      </c>
      <c r="Z638" s="163">
        <f t="shared" ca="1" si="347"/>
        <v>0</v>
      </c>
      <c r="AA638" s="163">
        <f t="shared" ca="1" si="355"/>
        <v>0</v>
      </c>
      <c r="AB638" s="84">
        <f t="shared" ca="1" si="338"/>
        <v>0</v>
      </c>
      <c r="AC638" s="160">
        <f t="shared" si="339"/>
        <v>0</v>
      </c>
      <c r="AD638" s="31">
        <f t="shared" ca="1" si="340"/>
        <v>0</v>
      </c>
      <c r="AF638" s="5"/>
      <c r="AG638" s="5"/>
      <c r="AS638" s="55">
        <f t="shared" si="348"/>
        <v>53</v>
      </c>
      <c r="AT638" s="56">
        <f t="shared" si="356"/>
        <v>635</v>
      </c>
      <c r="AU638" s="57">
        <f t="shared" si="360"/>
        <v>4.511945944438954E-2</v>
      </c>
      <c r="AV638" s="58">
        <f t="shared" si="349"/>
        <v>4.8675505653430484E-3</v>
      </c>
      <c r="AW638" s="59">
        <f t="shared" si="350"/>
        <v>1.004867550565343</v>
      </c>
      <c r="AX638" s="60">
        <f>PRODUCT(AW$4:AW638)</f>
        <v>21.83242801664813</v>
      </c>
    </row>
    <row r="639" spans="5:50">
      <c r="E639">
        <f t="shared" si="358"/>
        <v>636</v>
      </c>
      <c r="F639" s="9">
        <f t="shared" si="351"/>
        <v>121.91666666666366</v>
      </c>
      <c r="G639" s="132">
        <f t="shared" si="331"/>
        <v>0</v>
      </c>
      <c r="H639" s="133">
        <f t="shared" si="357"/>
        <v>1</v>
      </c>
      <c r="I639" s="31">
        <f t="shared" si="341"/>
        <v>0</v>
      </c>
      <c r="J639" s="31">
        <f t="shared" si="332"/>
        <v>0</v>
      </c>
      <c r="K639" s="163">
        <f t="shared" si="333"/>
        <v>0</v>
      </c>
      <c r="L639" s="163">
        <f t="shared" si="342"/>
        <v>0</v>
      </c>
      <c r="M639" s="163">
        <f t="shared" si="359"/>
        <v>0</v>
      </c>
      <c r="N639" s="163">
        <f t="shared" si="343"/>
        <v>0</v>
      </c>
      <c r="O639" s="84">
        <f t="shared" si="334"/>
        <v>0</v>
      </c>
      <c r="P639" s="31">
        <f t="shared" si="335"/>
        <v>0</v>
      </c>
      <c r="R639">
        <f t="shared" ca="1" si="344"/>
        <v>756</v>
      </c>
      <c r="S639" s="133">
        <f t="shared" ca="1" si="345"/>
        <v>129.80000000000001</v>
      </c>
      <c r="T639" s="132">
        <f t="shared" ca="1" si="336"/>
        <v>0</v>
      </c>
      <c r="U639" s="133">
        <f t="shared" ca="1" si="352"/>
        <v>1.9008342029825436E-4</v>
      </c>
      <c r="V639" s="31">
        <f t="shared" ca="1" si="346"/>
        <v>0</v>
      </c>
      <c r="W639" s="31">
        <f t="shared" ca="1" si="337"/>
        <v>0</v>
      </c>
      <c r="X639" s="163">
        <f t="shared" ca="1" si="353"/>
        <v>0</v>
      </c>
      <c r="Y639" s="163">
        <f t="shared" ca="1" si="354"/>
        <v>0</v>
      </c>
      <c r="Z639" s="163">
        <f t="shared" ca="1" si="347"/>
        <v>0</v>
      </c>
      <c r="AA639" s="163">
        <f t="shared" ca="1" si="355"/>
        <v>0</v>
      </c>
      <c r="AB639" s="84">
        <f t="shared" ca="1" si="338"/>
        <v>0</v>
      </c>
      <c r="AC639" s="160">
        <f t="shared" si="339"/>
        <v>0</v>
      </c>
      <c r="AD639" s="31">
        <f t="shared" ca="1" si="340"/>
        <v>0</v>
      </c>
      <c r="AF639" s="5"/>
      <c r="AG639" s="5"/>
      <c r="AS639" s="55">
        <f t="shared" si="348"/>
        <v>53</v>
      </c>
      <c r="AT639" s="56">
        <f t="shared" si="356"/>
        <v>636</v>
      </c>
      <c r="AU639" s="57">
        <f t="shared" si="360"/>
        <v>4.4899838194063027E-2</v>
      </c>
      <c r="AV639" s="58">
        <f t="shared" si="349"/>
        <v>4.8675505653430484E-3</v>
      </c>
      <c r="AW639" s="59">
        <f t="shared" si="350"/>
        <v>1.004867550565343</v>
      </c>
      <c r="AX639" s="60">
        <f>PRODUCT(AW$4:AW639)</f>
        <v>21.938698463983378</v>
      </c>
    </row>
    <row r="640" spans="5:50">
      <c r="E640">
        <f t="shared" si="358"/>
        <v>637</v>
      </c>
      <c r="F640" s="9">
        <f t="shared" si="351"/>
        <v>121.99999999999699</v>
      </c>
      <c r="G640" s="132">
        <f t="shared" si="331"/>
        <v>0</v>
      </c>
      <c r="H640" s="133">
        <f t="shared" si="357"/>
        <v>1</v>
      </c>
      <c r="I640" s="31">
        <f t="shared" si="341"/>
        <v>0</v>
      </c>
      <c r="J640" s="31">
        <f t="shared" si="332"/>
        <v>0</v>
      </c>
      <c r="K640" s="163">
        <f t="shared" si="333"/>
        <v>0</v>
      </c>
      <c r="L640" s="163">
        <f t="shared" si="342"/>
        <v>0</v>
      </c>
      <c r="M640" s="163">
        <f t="shared" si="359"/>
        <v>0</v>
      </c>
      <c r="N640" s="163">
        <f t="shared" si="343"/>
        <v>0</v>
      </c>
      <c r="O640" s="84">
        <f t="shared" si="334"/>
        <v>0</v>
      </c>
      <c r="P640" s="31">
        <f t="shared" si="335"/>
        <v>0</v>
      </c>
      <c r="R640">
        <f t="shared" ca="1" si="344"/>
        <v>757</v>
      </c>
      <c r="S640" s="133">
        <f t="shared" ca="1" si="345"/>
        <v>129.88</v>
      </c>
      <c r="T640" s="132">
        <f t="shared" ca="1" si="336"/>
        <v>0</v>
      </c>
      <c r="U640" s="133">
        <f t="shared" ca="1" si="352"/>
        <v>1.9008342029825436E-4</v>
      </c>
      <c r="V640" s="31">
        <f t="shared" ca="1" si="346"/>
        <v>0</v>
      </c>
      <c r="W640" s="31">
        <f t="shared" ca="1" si="337"/>
        <v>0</v>
      </c>
      <c r="X640" s="163">
        <f t="shared" ca="1" si="353"/>
        <v>0</v>
      </c>
      <c r="Y640" s="163">
        <f t="shared" ca="1" si="354"/>
        <v>0</v>
      </c>
      <c r="Z640" s="163">
        <f t="shared" ca="1" si="347"/>
        <v>0</v>
      </c>
      <c r="AA640" s="163">
        <f t="shared" ca="1" si="355"/>
        <v>0</v>
      </c>
      <c r="AB640" s="84">
        <f t="shared" ca="1" si="338"/>
        <v>0</v>
      </c>
      <c r="AC640" s="160">
        <f t="shared" si="339"/>
        <v>0</v>
      </c>
      <c r="AD640" s="31">
        <f t="shared" ca="1" si="340"/>
        <v>0</v>
      </c>
      <c r="AF640" s="5"/>
      <c r="AG640" s="5"/>
      <c r="AS640" s="55">
        <f t="shared" si="348"/>
        <v>54</v>
      </c>
      <c r="AT640" s="56">
        <f t="shared" si="356"/>
        <v>637</v>
      </c>
      <c r="AU640" s="57">
        <f t="shared" si="360"/>
        <v>4.4681285961277704E-2</v>
      </c>
      <c r="AV640" s="58">
        <f t="shared" si="349"/>
        <v>4.8675505653430484E-3</v>
      </c>
      <c r="AW640" s="59">
        <f t="shared" si="350"/>
        <v>1.004867550565343</v>
      </c>
      <c r="AX640" s="60">
        <f>PRODUCT(AW$4:AW640)</f>
        <v>22.045486188094632</v>
      </c>
    </row>
    <row r="641" spans="5:50">
      <c r="E641">
        <f t="shared" si="358"/>
        <v>638</v>
      </c>
      <c r="F641" s="9">
        <f t="shared" si="351"/>
        <v>122.08333333333032</v>
      </c>
      <c r="G641" s="132">
        <f t="shared" si="331"/>
        <v>0</v>
      </c>
      <c r="H641" s="133">
        <f t="shared" si="357"/>
        <v>1</v>
      </c>
      <c r="I641" s="31">
        <f t="shared" si="341"/>
        <v>0</v>
      </c>
      <c r="J641" s="31">
        <f t="shared" si="332"/>
        <v>0</v>
      </c>
      <c r="K641" s="163">
        <f t="shared" si="333"/>
        <v>0</v>
      </c>
      <c r="L641" s="163">
        <f t="shared" si="342"/>
        <v>0</v>
      </c>
      <c r="M641" s="163">
        <f t="shared" si="359"/>
        <v>0</v>
      </c>
      <c r="N641" s="163">
        <f t="shared" si="343"/>
        <v>0</v>
      </c>
      <c r="O641" s="84">
        <f t="shared" si="334"/>
        <v>0</v>
      </c>
      <c r="P641" s="31">
        <f t="shared" si="335"/>
        <v>0</v>
      </c>
      <c r="R641">
        <f t="shared" ca="1" si="344"/>
        <v>758</v>
      </c>
      <c r="S641" s="133">
        <f t="shared" ca="1" si="345"/>
        <v>129.96</v>
      </c>
      <c r="T641" s="132">
        <f t="shared" ca="1" si="336"/>
        <v>0</v>
      </c>
      <c r="U641" s="133">
        <f t="shared" ca="1" si="352"/>
        <v>1.9008342029825436E-4</v>
      </c>
      <c r="V641" s="31">
        <f t="shared" ca="1" si="346"/>
        <v>0</v>
      </c>
      <c r="W641" s="31">
        <f t="shared" ca="1" si="337"/>
        <v>0</v>
      </c>
      <c r="X641" s="163">
        <f t="shared" ca="1" si="353"/>
        <v>0</v>
      </c>
      <c r="Y641" s="163">
        <f t="shared" ca="1" si="354"/>
        <v>0</v>
      </c>
      <c r="Z641" s="163">
        <f t="shared" ca="1" si="347"/>
        <v>0</v>
      </c>
      <c r="AA641" s="163">
        <f t="shared" ca="1" si="355"/>
        <v>0</v>
      </c>
      <c r="AB641" s="84">
        <f t="shared" ca="1" si="338"/>
        <v>0</v>
      </c>
      <c r="AC641" s="160">
        <f t="shared" si="339"/>
        <v>0</v>
      </c>
      <c r="AD641" s="31">
        <f t="shared" ca="1" si="340"/>
        <v>0</v>
      </c>
      <c r="AF641" s="5"/>
      <c r="AG641" s="5"/>
      <c r="AS641" s="55">
        <f t="shared" si="348"/>
        <v>54</v>
      </c>
      <c r="AT641" s="56">
        <f t="shared" si="356"/>
        <v>638</v>
      </c>
      <c r="AU641" s="57">
        <f t="shared" si="360"/>
        <v>4.4463797542536633E-2</v>
      </c>
      <c r="AV641" s="58">
        <f t="shared" si="349"/>
        <v>4.8675505653430484E-3</v>
      </c>
      <c r="AW641" s="59">
        <f t="shared" si="350"/>
        <v>1.004867550565343</v>
      </c>
      <c r="AX641" s="60">
        <f>PRODUCT(AW$4:AW641)</f>
        <v>22.152793706852755</v>
      </c>
    </row>
    <row r="642" spans="5:50">
      <c r="E642">
        <f t="shared" si="358"/>
        <v>639</v>
      </c>
      <c r="F642" s="9">
        <f t="shared" si="351"/>
        <v>122.16666666666364</v>
      </c>
      <c r="G642" s="132">
        <f t="shared" si="331"/>
        <v>0</v>
      </c>
      <c r="H642" s="133">
        <f t="shared" si="357"/>
        <v>1</v>
      </c>
      <c r="I642" s="31">
        <f t="shared" si="341"/>
        <v>0</v>
      </c>
      <c r="J642" s="31">
        <f t="shared" si="332"/>
        <v>0</v>
      </c>
      <c r="K642" s="163">
        <f t="shared" si="333"/>
        <v>0</v>
      </c>
      <c r="L642" s="163">
        <f t="shared" si="342"/>
        <v>0</v>
      </c>
      <c r="M642" s="163">
        <f t="shared" si="359"/>
        <v>0</v>
      </c>
      <c r="N642" s="163">
        <f t="shared" si="343"/>
        <v>0</v>
      </c>
      <c r="O642" s="84">
        <f t="shared" si="334"/>
        <v>0</v>
      </c>
      <c r="P642" s="31">
        <f t="shared" si="335"/>
        <v>0</v>
      </c>
      <c r="R642">
        <f t="shared" ca="1" si="344"/>
        <v>759</v>
      </c>
      <c r="S642" s="133">
        <f t="shared" ca="1" si="345"/>
        <v>130.04</v>
      </c>
      <c r="T642" s="132">
        <f t="shared" ca="1" si="336"/>
        <v>0</v>
      </c>
      <c r="U642" s="133">
        <f t="shared" ca="1" si="352"/>
        <v>1.9008342029825436E-4</v>
      </c>
      <c r="V642" s="31">
        <f t="shared" ca="1" si="346"/>
        <v>0</v>
      </c>
      <c r="W642" s="31">
        <f t="shared" ca="1" si="337"/>
        <v>0</v>
      </c>
      <c r="X642" s="163">
        <f t="shared" ca="1" si="353"/>
        <v>0</v>
      </c>
      <c r="Y642" s="163">
        <f t="shared" ca="1" si="354"/>
        <v>0</v>
      </c>
      <c r="Z642" s="163">
        <f t="shared" ca="1" si="347"/>
        <v>0</v>
      </c>
      <c r="AA642" s="163">
        <f t="shared" ca="1" si="355"/>
        <v>0</v>
      </c>
      <c r="AB642" s="84">
        <f t="shared" ca="1" si="338"/>
        <v>0</v>
      </c>
      <c r="AC642" s="160">
        <f t="shared" si="339"/>
        <v>0</v>
      </c>
      <c r="AD642" s="31">
        <f t="shared" ca="1" si="340"/>
        <v>0</v>
      </c>
      <c r="AF642" s="5"/>
      <c r="AG642" s="5"/>
      <c r="AS642" s="55">
        <f t="shared" si="348"/>
        <v>54</v>
      </c>
      <c r="AT642" s="56">
        <f t="shared" si="356"/>
        <v>639</v>
      </c>
      <c r="AU642" s="57">
        <f t="shared" si="360"/>
        <v>4.4247367759671162E-2</v>
      </c>
      <c r="AV642" s="58">
        <f t="shared" si="349"/>
        <v>4.8675505653430484E-3</v>
      </c>
      <c r="AW642" s="59">
        <f t="shared" si="350"/>
        <v>1.004867550565343</v>
      </c>
      <c r="AX642" s="60">
        <f>PRODUCT(AW$4:AW642)</f>
        <v>22.260623550384473</v>
      </c>
    </row>
    <row r="643" spans="5:50">
      <c r="E643">
        <f t="shared" si="358"/>
        <v>640</v>
      </c>
      <c r="F643" s="9">
        <f t="shared" si="351"/>
        <v>122.24999999999697</v>
      </c>
      <c r="G643" s="132">
        <f t="shared" si="331"/>
        <v>0</v>
      </c>
      <c r="H643" s="133">
        <f t="shared" si="357"/>
        <v>1</v>
      </c>
      <c r="I643" s="31">
        <f t="shared" si="341"/>
        <v>0</v>
      </c>
      <c r="J643" s="31">
        <f t="shared" si="332"/>
        <v>0</v>
      </c>
      <c r="K643" s="163">
        <f t="shared" si="333"/>
        <v>0</v>
      </c>
      <c r="L643" s="163">
        <f t="shared" si="342"/>
        <v>0</v>
      </c>
      <c r="M643" s="163">
        <f t="shared" si="359"/>
        <v>0</v>
      </c>
      <c r="N643" s="163">
        <f t="shared" si="343"/>
        <v>0</v>
      </c>
      <c r="O643" s="84">
        <f t="shared" si="334"/>
        <v>0</v>
      </c>
      <c r="P643" s="31">
        <f t="shared" si="335"/>
        <v>0</v>
      </c>
      <c r="R643">
        <f t="shared" ca="1" si="344"/>
        <v>760</v>
      </c>
      <c r="S643" s="133">
        <f t="shared" ca="1" si="345"/>
        <v>130.12</v>
      </c>
      <c r="T643" s="132">
        <f t="shared" ca="1" si="336"/>
        <v>0</v>
      </c>
      <c r="U643" s="133">
        <f t="shared" ca="1" si="352"/>
        <v>1.9008342029825436E-4</v>
      </c>
      <c r="V643" s="31">
        <f t="shared" ca="1" si="346"/>
        <v>0</v>
      </c>
      <c r="W643" s="31">
        <f t="shared" ca="1" si="337"/>
        <v>0</v>
      </c>
      <c r="X643" s="163">
        <f t="shared" ca="1" si="353"/>
        <v>0</v>
      </c>
      <c r="Y643" s="163">
        <f t="shared" ca="1" si="354"/>
        <v>0</v>
      </c>
      <c r="Z643" s="163">
        <f t="shared" ca="1" si="347"/>
        <v>0</v>
      </c>
      <c r="AA643" s="163">
        <f t="shared" ca="1" si="355"/>
        <v>0</v>
      </c>
      <c r="AB643" s="84">
        <f t="shared" ca="1" si="338"/>
        <v>0</v>
      </c>
      <c r="AC643" s="160">
        <f t="shared" si="339"/>
        <v>0</v>
      </c>
      <c r="AD643" s="31">
        <f t="shared" ca="1" si="340"/>
        <v>0</v>
      </c>
      <c r="AF643" s="5"/>
      <c r="AG643" s="5"/>
      <c r="AS643" s="55">
        <f t="shared" si="348"/>
        <v>54</v>
      </c>
      <c r="AT643" s="56">
        <f t="shared" si="356"/>
        <v>640</v>
      </c>
      <c r="AU643" s="57">
        <f t="shared" si="360"/>
        <v>4.4031991459717632E-2</v>
      </c>
      <c r="AV643" s="58">
        <f t="shared" si="349"/>
        <v>4.8675505653430484E-3</v>
      </c>
      <c r="AW643" s="59">
        <f t="shared" si="350"/>
        <v>1.004867550565343</v>
      </c>
      <c r="AX643" s="60">
        <f>PRODUCT(AW$4:AW643)</f>
        <v>22.368978261132035</v>
      </c>
    </row>
    <row r="644" spans="5:50">
      <c r="E644">
        <f t="shared" si="358"/>
        <v>641</v>
      </c>
      <c r="F644" s="9">
        <f t="shared" si="351"/>
        <v>122.3333333333303</v>
      </c>
      <c r="G644" s="132">
        <f t="shared" ref="G644:G707" si="361">(1-(1-IF(F644&gt;$AK$90,0,VLOOKUP(ROUND(F644,0),$AK$4:$AL$90,2,FALSE)))^(1/12))*0</f>
        <v>0</v>
      </c>
      <c r="H644" s="133">
        <f t="shared" si="357"/>
        <v>1</v>
      </c>
      <c r="I644" s="31">
        <f t="shared" si="341"/>
        <v>0</v>
      </c>
      <c r="J644" s="31">
        <f t="shared" ref="J644:J707" si="362">(I644)*$AV644</f>
        <v>0</v>
      </c>
      <c r="K644" s="163">
        <f t="shared" ref="K644:K707" si="363">IF(I644=0,0,-$C$19)*H644</f>
        <v>0</v>
      </c>
      <c r="L644" s="163">
        <f t="shared" si="342"/>
        <v>0</v>
      </c>
      <c r="M644" s="163">
        <f t="shared" si="359"/>
        <v>0</v>
      </c>
      <c r="N644" s="163">
        <f t="shared" si="343"/>
        <v>0</v>
      </c>
      <c r="O644" s="84">
        <f t="shared" ref="O644:O707" si="364">-MIN(
IF(MOD(E644-1,IF($C$7="Annual",12,1))=0,1,0)
*IF(F644&lt;=$C$6,H644*$C$5*$C$4/IF($C$7="Monthly",12,1),$C$12),I644)</f>
        <v>0</v>
      </c>
      <c r="P644" s="31">
        <f t="shared" ref="P644:P707" si="365">SUM(I644:O644)</f>
        <v>0</v>
      </c>
      <c r="R644">
        <f t="shared" ca="1" si="344"/>
        <v>761</v>
      </c>
      <c r="S644" s="133">
        <f t="shared" ca="1" si="345"/>
        <v>130.19999999999999</v>
      </c>
      <c r="T644" s="132">
        <f t="shared" ref="T644:T707" ca="1" si="366">(1-(1-IF(S644&gt;$AK$90,0,VLOOKUP(ROUND(S644,0),$AK$4:$AL$90,2,FALSE)))^(1/12))</f>
        <v>0</v>
      </c>
      <c r="U644" s="133">
        <f t="shared" ca="1" si="352"/>
        <v>1.9008342029825436E-4</v>
      </c>
      <c r="V644" s="31">
        <f t="shared" ca="1" si="346"/>
        <v>0</v>
      </c>
      <c r="W644" s="31">
        <f t="shared" ref="W644:W707" ca="1" si="367">(V644)*$AV644</f>
        <v>0</v>
      </c>
      <c r="X644" s="163">
        <f t="shared" ca="1" si="353"/>
        <v>0</v>
      </c>
      <c r="Y644" s="163">
        <f t="shared" ca="1" si="354"/>
        <v>0</v>
      </c>
      <c r="Z644" s="163">
        <f t="shared" ca="1" si="347"/>
        <v>0</v>
      </c>
      <c r="AA644" s="163">
        <f t="shared" ca="1" si="355"/>
        <v>0</v>
      </c>
      <c r="AB644" s="84">
        <f t="shared" ref="AB644:AB707" ca="1" si="368">-MIN(IF(MOD(R644,IF($C$7="Annual",12,1))=0,1,0)*$C$39*U644/IF($C$7="Monthly",12,1),V644)</f>
        <v>0</v>
      </c>
      <c r="AC644" s="160">
        <f t="shared" ref="AC644:AC707" si="369">IF($C$8="Yes",-V644*T644,0)</f>
        <v>0</v>
      </c>
      <c r="AD644" s="31">
        <f t="shared" ref="AD644:AD707" ca="1" si="370">SUM(V644:AC644)</f>
        <v>0</v>
      </c>
      <c r="AF644" s="5"/>
      <c r="AG644" s="5"/>
      <c r="AS644" s="55">
        <f t="shared" si="348"/>
        <v>54</v>
      </c>
      <c r="AT644" s="56">
        <f t="shared" si="356"/>
        <v>641</v>
      </c>
      <c r="AU644" s="57">
        <f t="shared" si="360"/>
        <v>4.38176635147947E-2</v>
      </c>
      <c r="AV644" s="58">
        <f t="shared" si="349"/>
        <v>4.8675505653430484E-3</v>
      </c>
      <c r="AW644" s="59">
        <f t="shared" si="350"/>
        <v>1.004867550565343</v>
      </c>
      <c r="AX644" s="60">
        <f>PRODUCT(AW$4:AW644)</f>
        <v>22.477860393913154</v>
      </c>
    </row>
    <row r="645" spans="5:50">
      <c r="E645">
        <f t="shared" si="358"/>
        <v>642</v>
      </c>
      <c r="F645" s="9">
        <f t="shared" si="351"/>
        <v>122.41666666666363</v>
      </c>
      <c r="G645" s="132">
        <f t="shared" si="361"/>
        <v>0</v>
      </c>
      <c r="H645" s="133">
        <f t="shared" si="357"/>
        <v>1</v>
      </c>
      <c r="I645" s="31">
        <f t="shared" ref="I645:I708" si="371">MAX(P644,0)*(1-G645)</f>
        <v>0</v>
      </c>
      <c r="J645" s="31">
        <f t="shared" si="362"/>
        <v>0</v>
      </c>
      <c r="K645" s="163">
        <f t="shared" si="363"/>
        <v>0</v>
      </c>
      <c r="L645" s="163">
        <f t="shared" ref="L645:L708" si="372">IF(OR(I644+O644=0,K644=0),0,-I645*($C$16/12))</f>
        <v>0</v>
      </c>
      <c r="M645" s="163">
        <f t="shared" si="359"/>
        <v>0</v>
      </c>
      <c r="N645" s="163">
        <f t="shared" ref="N645:N708" si="373">IF(OR(I644+O644=0,K644=0),0,-I645*($C$18*(1+$C$20))/12)</f>
        <v>0</v>
      </c>
      <c r="O645" s="84">
        <f t="shared" si="364"/>
        <v>0</v>
      </c>
      <c r="P645" s="31">
        <f t="shared" si="365"/>
        <v>0</v>
      </c>
      <c r="R645">
        <f t="shared" ref="R645:R708" ca="1" si="374">R644+1</f>
        <v>762</v>
      </c>
      <c r="S645" s="133">
        <f t="shared" ref="S645:S708" ca="1" si="375">ROUND((R645-R644)/12+S644,2)</f>
        <v>130.28</v>
      </c>
      <c r="T645" s="132">
        <f t="shared" ca="1" si="366"/>
        <v>0</v>
      </c>
      <c r="U645" s="133">
        <f t="shared" ca="1" si="352"/>
        <v>1.9008342029825436E-4</v>
      </c>
      <c r="V645" s="31">
        <f t="shared" ref="V645:V708" ca="1" si="376">MAX(AD644,0)*(1-T645)</f>
        <v>0</v>
      </c>
      <c r="W645" s="31">
        <f t="shared" ca="1" si="367"/>
        <v>0</v>
      </c>
      <c r="X645" s="163">
        <f t="shared" ca="1" si="353"/>
        <v>0</v>
      </c>
      <c r="Y645" s="163">
        <f t="shared" ca="1" si="354"/>
        <v>0</v>
      </c>
      <c r="Z645" s="163">
        <f t="shared" ref="Z645:Z708" ca="1" si="377">IF(OR(V644+AB644=0,X644=0),0,-IF(MOD(E645,12)=0,1,0)*V645*($C$17))</f>
        <v>0</v>
      </c>
      <c r="AA645" s="163">
        <f t="shared" ca="1" si="355"/>
        <v>0</v>
      </c>
      <c r="AB645" s="84">
        <f t="shared" ca="1" si="368"/>
        <v>0</v>
      </c>
      <c r="AC645" s="160">
        <f t="shared" si="369"/>
        <v>0</v>
      </c>
      <c r="AD645" s="31">
        <f t="shared" ca="1" si="370"/>
        <v>0</v>
      </c>
      <c r="AF645" s="5"/>
      <c r="AG645" s="5"/>
      <c r="AS645" s="55">
        <f t="shared" ref="AS645:AS708" si="378">ROUNDDOWN((AT645-1)/12,0)+1</f>
        <v>54</v>
      </c>
      <c r="AT645" s="56">
        <f t="shared" si="356"/>
        <v>642</v>
      </c>
      <c r="AU645" s="57">
        <f t="shared" si="360"/>
        <v>4.3604378821981246E-2</v>
      </c>
      <c r="AV645" s="58">
        <f t="shared" ref="AV645:AV708" si="379">((1+$AV$1)^(1/12))-1</f>
        <v>4.8675505653430484E-3</v>
      </c>
      <c r="AW645" s="59">
        <f t="shared" ref="AW645:AW708" si="380">(1+AV645)</f>
        <v>1.004867550565343</v>
      </c>
      <c r="AX645" s="60">
        <f>PRODUCT(AW$4:AW645)</f>
        <v>22.587272515981248</v>
      </c>
    </row>
    <row r="646" spans="5:50">
      <c r="E646">
        <f t="shared" si="358"/>
        <v>643</v>
      </c>
      <c r="F646" s="9">
        <f t="shared" ref="F646:F709" si="381">1/12+F645</f>
        <v>122.49999999999696</v>
      </c>
      <c r="G646" s="132">
        <f t="shared" si="361"/>
        <v>0</v>
      </c>
      <c r="H646" s="133">
        <f t="shared" si="357"/>
        <v>1</v>
      </c>
      <c r="I646" s="31">
        <f t="shared" si="371"/>
        <v>0</v>
      </c>
      <c r="J646" s="31">
        <f t="shared" si="362"/>
        <v>0</v>
      </c>
      <c r="K646" s="163">
        <f t="shared" si="363"/>
        <v>0</v>
      </c>
      <c r="L646" s="163">
        <f t="shared" si="372"/>
        <v>0</v>
      </c>
      <c r="M646" s="163">
        <f t="shared" si="359"/>
        <v>0</v>
      </c>
      <c r="N646" s="163">
        <f t="shared" si="373"/>
        <v>0</v>
      </c>
      <c r="O646" s="84">
        <f t="shared" si="364"/>
        <v>0</v>
      </c>
      <c r="P646" s="31">
        <f t="shared" si="365"/>
        <v>0</v>
      </c>
      <c r="R646">
        <f t="shared" ca="1" si="374"/>
        <v>763</v>
      </c>
      <c r="S646" s="133">
        <f t="shared" ca="1" si="375"/>
        <v>130.36000000000001</v>
      </c>
      <c r="T646" s="132">
        <f t="shared" ca="1" si="366"/>
        <v>0</v>
      </c>
      <c r="U646" s="133">
        <f t="shared" ref="U646:U709" ca="1" si="382">U645*(1-T646)</f>
        <v>1.9008342029825436E-4</v>
      </c>
      <c r="V646" s="31">
        <f t="shared" ca="1" si="376"/>
        <v>0</v>
      </c>
      <c r="W646" s="31">
        <f t="shared" ca="1" si="367"/>
        <v>0</v>
      </c>
      <c r="X646" s="163">
        <f t="shared" ref="X646:X709" ca="1" si="383">IF(V646=0,0,-$C$19)*U646</f>
        <v>0</v>
      </c>
      <c r="Y646" s="163">
        <f t="shared" ref="Y646:Y709" ca="1" si="384">IF(OR(V645+AB645=0,X645=0),0,-V646*($C$16/12))</f>
        <v>0</v>
      </c>
      <c r="Z646" s="163">
        <f t="shared" ca="1" si="377"/>
        <v>0</v>
      </c>
      <c r="AA646" s="163">
        <f t="shared" ref="AA646:AA709" ca="1" si="385">IF(OR(V645+AB645=0,X645=0),0,-V646*($C$18*(1+$C$20))/12)</f>
        <v>0</v>
      </c>
      <c r="AB646" s="84">
        <f t="shared" ca="1" si="368"/>
        <v>0</v>
      </c>
      <c r="AC646" s="160">
        <f t="shared" si="369"/>
        <v>0</v>
      </c>
      <c r="AD646" s="31">
        <f t="shared" ca="1" si="370"/>
        <v>0</v>
      </c>
      <c r="AF646" s="5"/>
      <c r="AG646" s="5"/>
      <c r="AS646" s="55">
        <f t="shared" si="378"/>
        <v>54</v>
      </c>
      <c r="AT646" s="56">
        <f t="shared" ref="AT646:AT709" si="386">AT645+1</f>
        <v>643</v>
      </c>
      <c r="AU646" s="57">
        <f t="shared" si="360"/>
        <v>4.3392132303194879E-2</v>
      </c>
      <c r="AV646" s="58">
        <f t="shared" si="379"/>
        <v>4.8675505653430484E-3</v>
      </c>
      <c r="AW646" s="59">
        <f t="shared" si="380"/>
        <v>1.004867550565343</v>
      </c>
      <c r="AX646" s="60">
        <f>PRODUCT(AW$4:AW646)</f>
        <v>22.69721720708597</v>
      </c>
    </row>
    <row r="647" spans="5:50">
      <c r="E647">
        <f t="shared" si="358"/>
        <v>644</v>
      </c>
      <c r="F647" s="9">
        <f t="shared" si="381"/>
        <v>122.58333333333029</v>
      </c>
      <c r="G647" s="132">
        <f t="shared" si="361"/>
        <v>0</v>
      </c>
      <c r="H647" s="133">
        <f t="shared" ref="H647:H710" si="387">H646*(1-G647)</f>
        <v>1</v>
      </c>
      <c r="I647" s="31">
        <f t="shared" si="371"/>
        <v>0</v>
      </c>
      <c r="J647" s="31">
        <f t="shared" si="362"/>
        <v>0</v>
      </c>
      <c r="K647" s="163">
        <f t="shared" si="363"/>
        <v>0</v>
      </c>
      <c r="L647" s="163">
        <f t="shared" si="372"/>
        <v>0</v>
      </c>
      <c r="M647" s="163">
        <f t="shared" si="359"/>
        <v>0</v>
      </c>
      <c r="N647" s="163">
        <f t="shared" si="373"/>
        <v>0</v>
      </c>
      <c r="O647" s="84">
        <f t="shared" si="364"/>
        <v>0</v>
      </c>
      <c r="P647" s="31">
        <f t="shared" si="365"/>
        <v>0</v>
      </c>
      <c r="R647">
        <f t="shared" ca="1" si="374"/>
        <v>764</v>
      </c>
      <c r="S647" s="133">
        <f t="shared" ca="1" si="375"/>
        <v>130.44</v>
      </c>
      <c r="T647" s="132">
        <f t="shared" ca="1" si="366"/>
        <v>0</v>
      </c>
      <c r="U647" s="133">
        <f t="shared" ca="1" si="382"/>
        <v>1.9008342029825436E-4</v>
      </c>
      <c r="V647" s="31">
        <f t="shared" ca="1" si="376"/>
        <v>0</v>
      </c>
      <c r="W647" s="31">
        <f t="shared" ca="1" si="367"/>
        <v>0</v>
      </c>
      <c r="X647" s="163">
        <f t="shared" ca="1" si="383"/>
        <v>0</v>
      </c>
      <c r="Y647" s="163">
        <f t="shared" ca="1" si="384"/>
        <v>0</v>
      </c>
      <c r="Z647" s="163">
        <f t="shared" ca="1" si="377"/>
        <v>0</v>
      </c>
      <c r="AA647" s="163">
        <f t="shared" ca="1" si="385"/>
        <v>0</v>
      </c>
      <c r="AB647" s="84">
        <f t="shared" ca="1" si="368"/>
        <v>0</v>
      </c>
      <c r="AC647" s="160">
        <f t="shared" si="369"/>
        <v>0</v>
      </c>
      <c r="AD647" s="31">
        <f t="shared" ca="1" si="370"/>
        <v>0</v>
      </c>
      <c r="AF647" s="5"/>
      <c r="AG647" s="5"/>
      <c r="AS647" s="55">
        <f t="shared" si="378"/>
        <v>54</v>
      </c>
      <c r="AT647" s="56">
        <f t="shared" si="386"/>
        <v>644</v>
      </c>
      <c r="AU647" s="57">
        <f t="shared" si="360"/>
        <v>4.3180918905071024E-2</v>
      </c>
      <c r="AV647" s="58">
        <f t="shared" si="379"/>
        <v>4.8675505653430484E-3</v>
      </c>
      <c r="AW647" s="59">
        <f t="shared" si="380"/>
        <v>1.004867550565343</v>
      </c>
      <c r="AX647" s="60">
        <f>PRODUCT(AW$4:AW647)</f>
        <v>22.807697059534036</v>
      </c>
    </row>
    <row r="648" spans="5:50">
      <c r="E648">
        <f t="shared" si="358"/>
        <v>645</v>
      </c>
      <c r="F648" s="9">
        <f t="shared" si="381"/>
        <v>122.66666666666362</v>
      </c>
      <c r="G648" s="132">
        <f t="shared" si="361"/>
        <v>0</v>
      </c>
      <c r="H648" s="133">
        <f t="shared" si="387"/>
        <v>1</v>
      </c>
      <c r="I648" s="31">
        <f t="shared" si="371"/>
        <v>0</v>
      </c>
      <c r="J648" s="31">
        <f t="shared" si="362"/>
        <v>0</v>
      </c>
      <c r="K648" s="163">
        <f t="shared" si="363"/>
        <v>0</v>
      </c>
      <c r="L648" s="163">
        <f t="shared" si="372"/>
        <v>0</v>
      </c>
      <c r="M648" s="163">
        <f t="shared" si="359"/>
        <v>0</v>
      </c>
      <c r="N648" s="163">
        <f t="shared" si="373"/>
        <v>0</v>
      </c>
      <c r="O648" s="84">
        <f t="shared" si="364"/>
        <v>0</v>
      </c>
      <c r="P648" s="31">
        <f t="shared" si="365"/>
        <v>0</v>
      </c>
      <c r="R648">
        <f t="shared" ca="1" si="374"/>
        <v>765</v>
      </c>
      <c r="S648" s="133">
        <f t="shared" ca="1" si="375"/>
        <v>130.52000000000001</v>
      </c>
      <c r="T648" s="132">
        <f t="shared" ca="1" si="366"/>
        <v>0</v>
      </c>
      <c r="U648" s="133">
        <f t="shared" ca="1" si="382"/>
        <v>1.9008342029825436E-4</v>
      </c>
      <c r="V648" s="31">
        <f t="shared" ca="1" si="376"/>
        <v>0</v>
      </c>
      <c r="W648" s="31">
        <f t="shared" ca="1" si="367"/>
        <v>0</v>
      </c>
      <c r="X648" s="163">
        <f t="shared" ca="1" si="383"/>
        <v>0</v>
      </c>
      <c r="Y648" s="163">
        <f t="shared" ca="1" si="384"/>
        <v>0</v>
      </c>
      <c r="Z648" s="163">
        <f t="shared" ca="1" si="377"/>
        <v>0</v>
      </c>
      <c r="AA648" s="163">
        <f t="shared" ca="1" si="385"/>
        <v>0</v>
      </c>
      <c r="AB648" s="84">
        <f t="shared" ca="1" si="368"/>
        <v>0</v>
      </c>
      <c r="AC648" s="160">
        <f t="shared" si="369"/>
        <v>0</v>
      </c>
      <c r="AD648" s="31">
        <f t="shared" ca="1" si="370"/>
        <v>0</v>
      </c>
      <c r="AF648" s="5"/>
      <c r="AG648" s="5"/>
      <c r="AS648" s="55">
        <f t="shared" si="378"/>
        <v>54</v>
      </c>
      <c r="AT648" s="56">
        <f t="shared" si="386"/>
        <v>645</v>
      </c>
      <c r="AU648" s="57">
        <f t="shared" si="360"/>
        <v>4.2970733598842611E-2</v>
      </c>
      <c r="AV648" s="58">
        <f t="shared" si="379"/>
        <v>4.8675505653430484E-3</v>
      </c>
      <c r="AW648" s="59">
        <f t="shared" si="380"/>
        <v>1.004867550565343</v>
      </c>
      <c r="AX648" s="60">
        <f>PRODUCT(AW$4:AW648)</f>
        <v>22.918714678250343</v>
      </c>
    </row>
    <row r="649" spans="5:50">
      <c r="E649">
        <f t="shared" si="358"/>
        <v>646</v>
      </c>
      <c r="F649" s="9">
        <f t="shared" si="381"/>
        <v>122.74999999999694</v>
      </c>
      <c r="G649" s="132">
        <f t="shared" si="361"/>
        <v>0</v>
      </c>
      <c r="H649" s="133">
        <f t="shared" si="387"/>
        <v>1</v>
      </c>
      <c r="I649" s="31">
        <f t="shared" si="371"/>
        <v>0</v>
      </c>
      <c r="J649" s="31">
        <f t="shared" si="362"/>
        <v>0</v>
      </c>
      <c r="K649" s="163">
        <f t="shared" si="363"/>
        <v>0</v>
      </c>
      <c r="L649" s="163">
        <f t="shared" si="372"/>
        <v>0</v>
      </c>
      <c r="M649" s="163">
        <f t="shared" si="359"/>
        <v>0</v>
      </c>
      <c r="N649" s="163">
        <f t="shared" si="373"/>
        <v>0</v>
      </c>
      <c r="O649" s="84">
        <f t="shared" si="364"/>
        <v>0</v>
      </c>
      <c r="P649" s="31">
        <f t="shared" si="365"/>
        <v>0</v>
      </c>
      <c r="R649">
        <f t="shared" ca="1" si="374"/>
        <v>766</v>
      </c>
      <c r="S649" s="133">
        <f t="shared" ca="1" si="375"/>
        <v>130.6</v>
      </c>
      <c r="T649" s="132">
        <f t="shared" ca="1" si="366"/>
        <v>0</v>
      </c>
      <c r="U649" s="133">
        <f t="shared" ca="1" si="382"/>
        <v>1.9008342029825436E-4</v>
      </c>
      <c r="V649" s="31">
        <f t="shared" ca="1" si="376"/>
        <v>0</v>
      </c>
      <c r="W649" s="31">
        <f t="shared" ca="1" si="367"/>
        <v>0</v>
      </c>
      <c r="X649" s="163">
        <f t="shared" ca="1" si="383"/>
        <v>0</v>
      </c>
      <c r="Y649" s="163">
        <f t="shared" ca="1" si="384"/>
        <v>0</v>
      </c>
      <c r="Z649" s="163">
        <f t="shared" ca="1" si="377"/>
        <v>0</v>
      </c>
      <c r="AA649" s="163">
        <f t="shared" ca="1" si="385"/>
        <v>0</v>
      </c>
      <c r="AB649" s="84">
        <f t="shared" ca="1" si="368"/>
        <v>0</v>
      </c>
      <c r="AC649" s="160">
        <f t="shared" si="369"/>
        <v>0</v>
      </c>
      <c r="AD649" s="31">
        <f t="shared" ca="1" si="370"/>
        <v>0</v>
      </c>
      <c r="AF649" s="5"/>
      <c r="AG649" s="5"/>
      <c r="AS649" s="55">
        <f t="shared" si="378"/>
        <v>54</v>
      </c>
      <c r="AT649" s="56">
        <f t="shared" si="386"/>
        <v>646</v>
      </c>
      <c r="AU649" s="57">
        <f t="shared" si="360"/>
        <v>4.276157138022036E-2</v>
      </c>
      <c r="AV649" s="58">
        <f t="shared" si="379"/>
        <v>4.8675505653430484E-3</v>
      </c>
      <c r="AW649" s="59">
        <f t="shared" si="380"/>
        <v>1.004867550565343</v>
      </c>
      <c r="AX649" s="60">
        <f>PRODUCT(AW$4:AW649)</f>
        <v>23.030272680839396</v>
      </c>
    </row>
    <row r="650" spans="5:50">
      <c r="E650">
        <f t="shared" si="358"/>
        <v>647</v>
      </c>
      <c r="F650" s="9">
        <f t="shared" si="381"/>
        <v>122.83333333333027</v>
      </c>
      <c r="G650" s="132">
        <f t="shared" si="361"/>
        <v>0</v>
      </c>
      <c r="H650" s="133">
        <f t="shared" si="387"/>
        <v>1</v>
      </c>
      <c r="I650" s="31">
        <f t="shared" si="371"/>
        <v>0</v>
      </c>
      <c r="J650" s="31">
        <f t="shared" si="362"/>
        <v>0</v>
      </c>
      <c r="K650" s="163">
        <f t="shared" si="363"/>
        <v>0</v>
      </c>
      <c r="L650" s="163">
        <f t="shared" si="372"/>
        <v>0</v>
      </c>
      <c r="M650" s="163">
        <f t="shared" si="359"/>
        <v>0</v>
      </c>
      <c r="N650" s="163">
        <f t="shared" si="373"/>
        <v>0</v>
      </c>
      <c r="O650" s="84">
        <f t="shared" si="364"/>
        <v>0</v>
      </c>
      <c r="P650" s="31">
        <f t="shared" si="365"/>
        <v>0</v>
      </c>
      <c r="R650">
        <f t="shared" ca="1" si="374"/>
        <v>767</v>
      </c>
      <c r="S650" s="133">
        <f t="shared" ca="1" si="375"/>
        <v>130.68</v>
      </c>
      <c r="T650" s="132">
        <f t="shared" ca="1" si="366"/>
        <v>0</v>
      </c>
      <c r="U650" s="133">
        <f t="shared" ca="1" si="382"/>
        <v>1.9008342029825436E-4</v>
      </c>
      <c r="V650" s="31">
        <f t="shared" ca="1" si="376"/>
        <v>0</v>
      </c>
      <c r="W650" s="31">
        <f t="shared" ca="1" si="367"/>
        <v>0</v>
      </c>
      <c r="X650" s="163">
        <f t="shared" ca="1" si="383"/>
        <v>0</v>
      </c>
      <c r="Y650" s="163">
        <f t="shared" ca="1" si="384"/>
        <v>0</v>
      </c>
      <c r="Z650" s="163">
        <f t="shared" ca="1" si="377"/>
        <v>0</v>
      </c>
      <c r="AA650" s="163">
        <f t="shared" ca="1" si="385"/>
        <v>0</v>
      </c>
      <c r="AB650" s="84">
        <f t="shared" ca="1" si="368"/>
        <v>0</v>
      </c>
      <c r="AC650" s="160">
        <f t="shared" si="369"/>
        <v>0</v>
      </c>
      <c r="AD650" s="31">
        <f t="shared" ca="1" si="370"/>
        <v>0</v>
      </c>
      <c r="AF650" s="5"/>
      <c r="AG650" s="5"/>
      <c r="AS650" s="55">
        <f t="shared" si="378"/>
        <v>54</v>
      </c>
      <c r="AT650" s="56">
        <f t="shared" si="386"/>
        <v>647</v>
      </c>
      <c r="AU650" s="57">
        <f t="shared" si="360"/>
        <v>4.2553427269273608E-2</v>
      </c>
      <c r="AV650" s="58">
        <f t="shared" si="379"/>
        <v>4.8675505653430484E-3</v>
      </c>
      <c r="AW650" s="59">
        <f t="shared" si="380"/>
        <v>1.004867550565343</v>
      </c>
      <c r="AX650" s="60">
        <f>PRODUCT(AW$4:AW650)</f>
        <v>23.14237369764702</v>
      </c>
    </row>
    <row r="651" spans="5:50">
      <c r="E651">
        <f t="shared" si="358"/>
        <v>648</v>
      </c>
      <c r="F651" s="9">
        <f t="shared" si="381"/>
        <v>122.9166666666636</v>
      </c>
      <c r="G651" s="132">
        <f t="shared" si="361"/>
        <v>0</v>
      </c>
      <c r="H651" s="133">
        <f t="shared" si="387"/>
        <v>1</v>
      </c>
      <c r="I651" s="31">
        <f t="shared" si="371"/>
        <v>0</v>
      </c>
      <c r="J651" s="31">
        <f t="shared" si="362"/>
        <v>0</v>
      </c>
      <c r="K651" s="163">
        <f t="shared" si="363"/>
        <v>0</v>
      </c>
      <c r="L651" s="163">
        <f t="shared" si="372"/>
        <v>0</v>
      </c>
      <c r="M651" s="163">
        <f t="shared" si="359"/>
        <v>0</v>
      </c>
      <c r="N651" s="163">
        <f t="shared" si="373"/>
        <v>0</v>
      </c>
      <c r="O651" s="84">
        <f t="shared" si="364"/>
        <v>0</v>
      </c>
      <c r="P651" s="31">
        <f t="shared" si="365"/>
        <v>0</v>
      </c>
      <c r="R651">
        <f t="shared" ca="1" si="374"/>
        <v>768</v>
      </c>
      <c r="S651" s="133">
        <f t="shared" ca="1" si="375"/>
        <v>130.76</v>
      </c>
      <c r="T651" s="132">
        <f t="shared" ca="1" si="366"/>
        <v>0</v>
      </c>
      <c r="U651" s="133">
        <f t="shared" ca="1" si="382"/>
        <v>1.9008342029825436E-4</v>
      </c>
      <c r="V651" s="31">
        <f t="shared" ca="1" si="376"/>
        <v>0</v>
      </c>
      <c r="W651" s="31">
        <f t="shared" ca="1" si="367"/>
        <v>0</v>
      </c>
      <c r="X651" s="163">
        <f t="shared" ca="1" si="383"/>
        <v>0</v>
      </c>
      <c r="Y651" s="163">
        <f t="shared" ca="1" si="384"/>
        <v>0</v>
      </c>
      <c r="Z651" s="163">
        <f t="shared" ca="1" si="377"/>
        <v>0</v>
      </c>
      <c r="AA651" s="163">
        <f t="shared" ca="1" si="385"/>
        <v>0</v>
      </c>
      <c r="AB651" s="84">
        <f t="shared" ca="1" si="368"/>
        <v>0</v>
      </c>
      <c r="AC651" s="160">
        <f t="shared" si="369"/>
        <v>0</v>
      </c>
      <c r="AD651" s="31">
        <f t="shared" ca="1" si="370"/>
        <v>0</v>
      </c>
      <c r="AF651" s="5"/>
      <c r="AG651" s="5"/>
      <c r="AS651" s="55">
        <f t="shared" si="378"/>
        <v>54</v>
      </c>
      <c r="AT651" s="56">
        <f t="shared" si="386"/>
        <v>648</v>
      </c>
      <c r="AU651" s="57">
        <f t="shared" si="360"/>
        <v>4.2346296310311768E-2</v>
      </c>
      <c r="AV651" s="58">
        <f t="shared" si="379"/>
        <v>4.8675505653430484E-3</v>
      </c>
      <c r="AW651" s="59">
        <f t="shared" si="380"/>
        <v>1.004867550565343</v>
      </c>
      <c r="AX651" s="60">
        <f>PRODUCT(AW$4:AW651)</f>
        <v>23.255020371822383</v>
      </c>
    </row>
    <row r="652" spans="5:50">
      <c r="E652">
        <f t="shared" si="358"/>
        <v>649</v>
      </c>
      <c r="F652" s="9">
        <f t="shared" si="381"/>
        <v>122.99999999999693</v>
      </c>
      <c r="G652" s="132">
        <f t="shared" si="361"/>
        <v>0</v>
      </c>
      <c r="H652" s="133">
        <f t="shared" si="387"/>
        <v>1</v>
      </c>
      <c r="I652" s="31">
        <f t="shared" si="371"/>
        <v>0</v>
      </c>
      <c r="J652" s="31">
        <f t="shared" si="362"/>
        <v>0</v>
      </c>
      <c r="K652" s="163">
        <f t="shared" si="363"/>
        <v>0</v>
      </c>
      <c r="L652" s="163">
        <f t="shared" si="372"/>
        <v>0</v>
      </c>
      <c r="M652" s="163">
        <f t="shared" si="359"/>
        <v>0</v>
      </c>
      <c r="N652" s="163">
        <f t="shared" si="373"/>
        <v>0</v>
      </c>
      <c r="O652" s="84">
        <f t="shared" si="364"/>
        <v>0</v>
      </c>
      <c r="P652" s="31">
        <f t="shared" si="365"/>
        <v>0</v>
      </c>
      <c r="R652">
        <f t="shared" ca="1" si="374"/>
        <v>769</v>
      </c>
      <c r="S652" s="133">
        <f t="shared" ca="1" si="375"/>
        <v>130.84</v>
      </c>
      <c r="T652" s="132">
        <f t="shared" ca="1" si="366"/>
        <v>0</v>
      </c>
      <c r="U652" s="133">
        <f t="shared" ca="1" si="382"/>
        <v>1.9008342029825436E-4</v>
      </c>
      <c r="V652" s="31">
        <f t="shared" ca="1" si="376"/>
        <v>0</v>
      </c>
      <c r="W652" s="31">
        <f t="shared" ca="1" si="367"/>
        <v>0</v>
      </c>
      <c r="X652" s="163">
        <f t="shared" ca="1" si="383"/>
        <v>0</v>
      </c>
      <c r="Y652" s="163">
        <f t="shared" ca="1" si="384"/>
        <v>0</v>
      </c>
      <c r="Z652" s="163">
        <f t="shared" ca="1" si="377"/>
        <v>0</v>
      </c>
      <c r="AA652" s="163">
        <f t="shared" ca="1" si="385"/>
        <v>0</v>
      </c>
      <c r="AB652" s="84">
        <f t="shared" ca="1" si="368"/>
        <v>0</v>
      </c>
      <c r="AC652" s="160">
        <f t="shared" si="369"/>
        <v>0</v>
      </c>
      <c r="AD652" s="31">
        <f t="shared" ca="1" si="370"/>
        <v>0</v>
      </c>
      <c r="AF652" s="5"/>
      <c r="AG652" s="5"/>
      <c r="AS652" s="55">
        <f t="shared" si="378"/>
        <v>55</v>
      </c>
      <c r="AT652" s="56">
        <f t="shared" si="386"/>
        <v>649</v>
      </c>
      <c r="AU652" s="57">
        <f t="shared" si="360"/>
        <v>4.2140173571766325E-2</v>
      </c>
      <c r="AV652" s="58">
        <f t="shared" si="379"/>
        <v>4.8675505653430484E-3</v>
      </c>
      <c r="AW652" s="59">
        <f t="shared" si="380"/>
        <v>1.004867550565343</v>
      </c>
      <c r="AX652" s="60">
        <f>PRODUCT(AW$4:AW652)</f>
        <v>23.368215359380311</v>
      </c>
    </row>
    <row r="653" spans="5:50">
      <c r="E653">
        <f t="shared" si="358"/>
        <v>650</v>
      </c>
      <c r="F653" s="9">
        <f t="shared" si="381"/>
        <v>123.08333333333026</v>
      </c>
      <c r="G653" s="132">
        <f t="shared" si="361"/>
        <v>0</v>
      </c>
      <c r="H653" s="133">
        <f t="shared" si="387"/>
        <v>1</v>
      </c>
      <c r="I653" s="31">
        <f t="shared" si="371"/>
        <v>0</v>
      </c>
      <c r="J653" s="31">
        <f t="shared" si="362"/>
        <v>0</v>
      </c>
      <c r="K653" s="163">
        <f t="shared" si="363"/>
        <v>0</v>
      </c>
      <c r="L653" s="163">
        <f t="shared" si="372"/>
        <v>0</v>
      </c>
      <c r="M653" s="163">
        <f t="shared" si="359"/>
        <v>0</v>
      </c>
      <c r="N653" s="163">
        <f t="shared" si="373"/>
        <v>0</v>
      </c>
      <c r="O653" s="84">
        <f t="shared" si="364"/>
        <v>0</v>
      </c>
      <c r="P653" s="31">
        <f t="shared" si="365"/>
        <v>0</v>
      </c>
      <c r="R653">
        <f t="shared" ca="1" si="374"/>
        <v>770</v>
      </c>
      <c r="S653" s="133">
        <f t="shared" ca="1" si="375"/>
        <v>130.91999999999999</v>
      </c>
      <c r="T653" s="132">
        <f t="shared" ca="1" si="366"/>
        <v>0</v>
      </c>
      <c r="U653" s="133">
        <f t="shared" ca="1" si="382"/>
        <v>1.9008342029825436E-4</v>
      </c>
      <c r="V653" s="31">
        <f t="shared" ca="1" si="376"/>
        <v>0</v>
      </c>
      <c r="W653" s="31">
        <f t="shared" ca="1" si="367"/>
        <v>0</v>
      </c>
      <c r="X653" s="163">
        <f t="shared" ca="1" si="383"/>
        <v>0</v>
      </c>
      <c r="Y653" s="163">
        <f t="shared" ca="1" si="384"/>
        <v>0</v>
      </c>
      <c r="Z653" s="163">
        <f t="shared" ca="1" si="377"/>
        <v>0</v>
      </c>
      <c r="AA653" s="163">
        <f t="shared" ca="1" si="385"/>
        <v>0</v>
      </c>
      <c r="AB653" s="84">
        <f t="shared" ca="1" si="368"/>
        <v>0</v>
      </c>
      <c r="AC653" s="160">
        <f t="shared" si="369"/>
        <v>0</v>
      </c>
      <c r="AD653" s="31">
        <f t="shared" ca="1" si="370"/>
        <v>0</v>
      </c>
      <c r="AF653" s="5"/>
      <c r="AG653" s="5"/>
      <c r="AS653" s="55">
        <f t="shared" si="378"/>
        <v>55</v>
      </c>
      <c r="AT653" s="56">
        <f t="shared" si="386"/>
        <v>650</v>
      </c>
      <c r="AU653" s="57">
        <f t="shared" si="360"/>
        <v>4.1935054146073417E-2</v>
      </c>
      <c r="AV653" s="58">
        <f t="shared" si="379"/>
        <v>4.8675505653430484E-3</v>
      </c>
      <c r="AW653" s="59">
        <f t="shared" si="380"/>
        <v>1.004867550565343</v>
      </c>
      <c r="AX653" s="60">
        <f>PRODUCT(AW$4:AW653)</f>
        <v>23.481961329263921</v>
      </c>
    </row>
    <row r="654" spans="5:50">
      <c r="E654">
        <f t="shared" si="358"/>
        <v>651</v>
      </c>
      <c r="F654" s="9">
        <f t="shared" si="381"/>
        <v>123.16666666666359</v>
      </c>
      <c r="G654" s="132">
        <f t="shared" si="361"/>
        <v>0</v>
      </c>
      <c r="H654" s="133">
        <f t="shared" si="387"/>
        <v>1</v>
      </c>
      <c r="I654" s="31">
        <f t="shared" si="371"/>
        <v>0</v>
      </c>
      <c r="J654" s="31">
        <f t="shared" si="362"/>
        <v>0</v>
      </c>
      <c r="K654" s="163">
        <f t="shared" si="363"/>
        <v>0</v>
      </c>
      <c r="L654" s="163">
        <f t="shared" si="372"/>
        <v>0</v>
      </c>
      <c r="M654" s="163">
        <f t="shared" si="359"/>
        <v>0</v>
      </c>
      <c r="N654" s="163">
        <f t="shared" si="373"/>
        <v>0</v>
      </c>
      <c r="O654" s="84">
        <f t="shared" si="364"/>
        <v>0</v>
      </c>
      <c r="P654" s="31">
        <f t="shared" si="365"/>
        <v>0</v>
      </c>
      <c r="R654">
        <f t="shared" ca="1" si="374"/>
        <v>771</v>
      </c>
      <c r="S654" s="133">
        <f t="shared" ca="1" si="375"/>
        <v>131</v>
      </c>
      <c r="T654" s="132">
        <f t="shared" ca="1" si="366"/>
        <v>0</v>
      </c>
      <c r="U654" s="133">
        <f t="shared" ca="1" si="382"/>
        <v>1.9008342029825436E-4</v>
      </c>
      <c r="V654" s="31">
        <f t="shared" ca="1" si="376"/>
        <v>0</v>
      </c>
      <c r="W654" s="31">
        <f t="shared" ca="1" si="367"/>
        <v>0</v>
      </c>
      <c r="X654" s="163">
        <f t="shared" ca="1" si="383"/>
        <v>0</v>
      </c>
      <c r="Y654" s="163">
        <f t="shared" ca="1" si="384"/>
        <v>0</v>
      </c>
      <c r="Z654" s="163">
        <f t="shared" ca="1" si="377"/>
        <v>0</v>
      </c>
      <c r="AA654" s="163">
        <f t="shared" ca="1" si="385"/>
        <v>0</v>
      </c>
      <c r="AB654" s="84">
        <f t="shared" ca="1" si="368"/>
        <v>0</v>
      </c>
      <c r="AC654" s="160">
        <f t="shared" si="369"/>
        <v>0</v>
      </c>
      <c r="AD654" s="31">
        <f t="shared" ca="1" si="370"/>
        <v>0</v>
      </c>
      <c r="AF654" s="5"/>
      <c r="AG654" s="5"/>
      <c r="AS654" s="55">
        <f t="shared" si="378"/>
        <v>55</v>
      </c>
      <c r="AT654" s="56">
        <f t="shared" si="386"/>
        <v>651</v>
      </c>
      <c r="AU654" s="57">
        <f t="shared" si="360"/>
        <v>4.1730933149557004E-2</v>
      </c>
      <c r="AV654" s="58">
        <f t="shared" si="379"/>
        <v>4.8675505653430484E-3</v>
      </c>
      <c r="AW654" s="59">
        <f t="shared" si="380"/>
        <v>1.004867550565343</v>
      </c>
      <c r="AX654" s="60">
        <f>PRODUCT(AW$4:AW654)</f>
        <v>23.596260963407545</v>
      </c>
    </row>
    <row r="655" spans="5:50">
      <c r="E655">
        <f t="shared" si="358"/>
        <v>652</v>
      </c>
      <c r="F655" s="9">
        <f t="shared" si="381"/>
        <v>123.24999999999692</v>
      </c>
      <c r="G655" s="132">
        <f t="shared" si="361"/>
        <v>0</v>
      </c>
      <c r="H655" s="133">
        <f t="shared" si="387"/>
        <v>1</v>
      </c>
      <c r="I655" s="31">
        <f t="shared" si="371"/>
        <v>0</v>
      </c>
      <c r="J655" s="31">
        <f t="shared" si="362"/>
        <v>0</v>
      </c>
      <c r="K655" s="163">
        <f t="shared" si="363"/>
        <v>0</v>
      </c>
      <c r="L655" s="163">
        <f t="shared" si="372"/>
        <v>0</v>
      </c>
      <c r="M655" s="163">
        <f t="shared" si="359"/>
        <v>0</v>
      </c>
      <c r="N655" s="163">
        <f t="shared" si="373"/>
        <v>0</v>
      </c>
      <c r="O655" s="84">
        <f t="shared" si="364"/>
        <v>0</v>
      </c>
      <c r="P655" s="31">
        <f t="shared" si="365"/>
        <v>0</v>
      </c>
      <c r="R655">
        <f t="shared" ca="1" si="374"/>
        <v>772</v>
      </c>
      <c r="S655" s="133">
        <f t="shared" ca="1" si="375"/>
        <v>131.08000000000001</v>
      </c>
      <c r="T655" s="132">
        <f t="shared" ca="1" si="366"/>
        <v>0</v>
      </c>
      <c r="U655" s="133">
        <f t="shared" ca="1" si="382"/>
        <v>1.9008342029825436E-4</v>
      </c>
      <c r="V655" s="31">
        <f t="shared" ca="1" si="376"/>
        <v>0</v>
      </c>
      <c r="W655" s="31">
        <f t="shared" ca="1" si="367"/>
        <v>0</v>
      </c>
      <c r="X655" s="163">
        <f t="shared" ca="1" si="383"/>
        <v>0</v>
      </c>
      <c r="Y655" s="163">
        <f t="shared" ca="1" si="384"/>
        <v>0</v>
      </c>
      <c r="Z655" s="163">
        <f t="shared" ca="1" si="377"/>
        <v>0</v>
      </c>
      <c r="AA655" s="163">
        <f t="shared" ca="1" si="385"/>
        <v>0</v>
      </c>
      <c r="AB655" s="84">
        <f t="shared" ca="1" si="368"/>
        <v>0</v>
      </c>
      <c r="AC655" s="160">
        <f t="shared" si="369"/>
        <v>0</v>
      </c>
      <c r="AD655" s="31">
        <f t="shared" ca="1" si="370"/>
        <v>0</v>
      </c>
      <c r="AF655" s="5"/>
      <c r="AG655" s="5"/>
      <c r="AS655" s="55">
        <f t="shared" si="378"/>
        <v>55</v>
      </c>
      <c r="AT655" s="56">
        <f t="shared" si="386"/>
        <v>652</v>
      </c>
      <c r="AU655" s="57">
        <f t="shared" si="360"/>
        <v>4.1527805722312586E-2</v>
      </c>
      <c r="AV655" s="58">
        <f t="shared" si="379"/>
        <v>4.8675505653430484E-3</v>
      </c>
      <c r="AW655" s="59">
        <f t="shared" si="380"/>
        <v>1.004867550565343</v>
      </c>
      <c r="AX655" s="60">
        <f>PRODUCT(AW$4:AW655)</f>
        <v>23.711116956799962</v>
      </c>
    </row>
    <row r="656" spans="5:50">
      <c r="E656">
        <f t="shared" ref="E656:E719" si="388">E655+1</f>
        <v>653</v>
      </c>
      <c r="F656" s="9">
        <f t="shared" si="381"/>
        <v>123.33333333333024</v>
      </c>
      <c r="G656" s="132">
        <f t="shared" si="361"/>
        <v>0</v>
      </c>
      <c r="H656" s="133">
        <f t="shared" si="387"/>
        <v>1</v>
      </c>
      <c r="I656" s="31">
        <f t="shared" si="371"/>
        <v>0</v>
      </c>
      <c r="J656" s="31">
        <f t="shared" si="362"/>
        <v>0</v>
      </c>
      <c r="K656" s="163">
        <f t="shared" si="363"/>
        <v>0</v>
      </c>
      <c r="L656" s="163">
        <f t="shared" si="372"/>
        <v>0</v>
      </c>
      <c r="M656" s="163">
        <f t="shared" ref="M656:M719" si="389">IF(OR(I655+O655=0,K655=0),0,-IF(MOD(E656-1,12)=0,1,0)*I656*($C$17))</f>
        <v>0</v>
      </c>
      <c r="N656" s="163">
        <f t="shared" si="373"/>
        <v>0</v>
      </c>
      <c r="O656" s="84">
        <f t="shared" si="364"/>
        <v>0</v>
      </c>
      <c r="P656" s="31">
        <f t="shared" si="365"/>
        <v>0</v>
      </c>
      <c r="R656">
        <f t="shared" ca="1" si="374"/>
        <v>773</v>
      </c>
      <c r="S656" s="133">
        <f t="shared" ca="1" si="375"/>
        <v>131.16</v>
      </c>
      <c r="T656" s="132">
        <f t="shared" ca="1" si="366"/>
        <v>0</v>
      </c>
      <c r="U656" s="133">
        <f t="shared" ca="1" si="382"/>
        <v>1.9008342029825436E-4</v>
      </c>
      <c r="V656" s="31">
        <f t="shared" ca="1" si="376"/>
        <v>0</v>
      </c>
      <c r="W656" s="31">
        <f t="shared" ca="1" si="367"/>
        <v>0</v>
      </c>
      <c r="X656" s="163">
        <f t="shared" ca="1" si="383"/>
        <v>0</v>
      </c>
      <c r="Y656" s="163">
        <f t="shared" ca="1" si="384"/>
        <v>0</v>
      </c>
      <c r="Z656" s="163">
        <f t="shared" ca="1" si="377"/>
        <v>0</v>
      </c>
      <c r="AA656" s="163">
        <f t="shared" ca="1" si="385"/>
        <v>0</v>
      </c>
      <c r="AB656" s="84">
        <f t="shared" ca="1" si="368"/>
        <v>0</v>
      </c>
      <c r="AC656" s="160">
        <f t="shared" si="369"/>
        <v>0</v>
      </c>
      <c r="AD656" s="31">
        <f t="shared" ca="1" si="370"/>
        <v>0</v>
      </c>
      <c r="AF656" s="5"/>
      <c r="AG656" s="5"/>
      <c r="AS656" s="55">
        <f t="shared" si="378"/>
        <v>55</v>
      </c>
      <c r="AT656" s="56">
        <f t="shared" si="386"/>
        <v>653</v>
      </c>
      <c r="AU656" s="57">
        <f t="shared" si="360"/>
        <v>4.1325667028091484E-2</v>
      </c>
      <c r="AV656" s="58">
        <f t="shared" si="379"/>
        <v>4.8675505653430484E-3</v>
      </c>
      <c r="AW656" s="59">
        <f t="shared" si="380"/>
        <v>1.004867550565343</v>
      </c>
      <c r="AX656" s="60">
        <f>PRODUCT(AW$4:AW656)</f>
        <v>23.826532017547951</v>
      </c>
    </row>
    <row r="657" spans="5:50">
      <c r="E657">
        <f t="shared" si="388"/>
        <v>654</v>
      </c>
      <c r="F657" s="9">
        <f t="shared" si="381"/>
        <v>123.41666666666357</v>
      </c>
      <c r="G657" s="132">
        <f t="shared" si="361"/>
        <v>0</v>
      </c>
      <c r="H657" s="133">
        <f t="shared" si="387"/>
        <v>1</v>
      </c>
      <c r="I657" s="31">
        <f t="shared" si="371"/>
        <v>0</v>
      </c>
      <c r="J657" s="31">
        <f t="shared" si="362"/>
        <v>0</v>
      </c>
      <c r="K657" s="163">
        <f t="shared" si="363"/>
        <v>0</v>
      </c>
      <c r="L657" s="163">
        <f t="shared" si="372"/>
        <v>0</v>
      </c>
      <c r="M657" s="163">
        <f t="shared" si="389"/>
        <v>0</v>
      </c>
      <c r="N657" s="163">
        <f t="shared" si="373"/>
        <v>0</v>
      </c>
      <c r="O657" s="84">
        <f t="shared" si="364"/>
        <v>0</v>
      </c>
      <c r="P657" s="31">
        <f t="shared" si="365"/>
        <v>0</v>
      </c>
      <c r="R657">
        <f t="shared" ca="1" si="374"/>
        <v>774</v>
      </c>
      <c r="S657" s="133">
        <f t="shared" ca="1" si="375"/>
        <v>131.24</v>
      </c>
      <c r="T657" s="132">
        <f t="shared" ca="1" si="366"/>
        <v>0</v>
      </c>
      <c r="U657" s="133">
        <f t="shared" ca="1" si="382"/>
        <v>1.9008342029825436E-4</v>
      </c>
      <c r="V657" s="31">
        <f t="shared" ca="1" si="376"/>
        <v>0</v>
      </c>
      <c r="W657" s="31">
        <f t="shared" ca="1" si="367"/>
        <v>0</v>
      </c>
      <c r="X657" s="163">
        <f t="shared" ca="1" si="383"/>
        <v>0</v>
      </c>
      <c r="Y657" s="163">
        <f t="shared" ca="1" si="384"/>
        <v>0</v>
      </c>
      <c r="Z657" s="163">
        <f t="shared" ca="1" si="377"/>
        <v>0</v>
      </c>
      <c r="AA657" s="163">
        <f t="shared" ca="1" si="385"/>
        <v>0</v>
      </c>
      <c r="AB657" s="84">
        <f t="shared" ca="1" si="368"/>
        <v>0</v>
      </c>
      <c r="AC657" s="160">
        <f t="shared" si="369"/>
        <v>0</v>
      </c>
      <c r="AD657" s="31">
        <f t="shared" ca="1" si="370"/>
        <v>0</v>
      </c>
      <c r="AF657" s="5"/>
      <c r="AG657" s="5"/>
      <c r="AS657" s="55">
        <f t="shared" si="378"/>
        <v>55</v>
      </c>
      <c r="AT657" s="56">
        <f t="shared" si="386"/>
        <v>654</v>
      </c>
      <c r="AU657" s="57">
        <f t="shared" si="360"/>
        <v>4.1124512254185716E-2</v>
      </c>
      <c r="AV657" s="58">
        <f t="shared" si="379"/>
        <v>4.8675505653430484E-3</v>
      </c>
      <c r="AW657" s="59">
        <f t="shared" si="380"/>
        <v>1.004867550565343</v>
      </c>
      <c r="AX657" s="60">
        <f>PRODUCT(AW$4:AW657)</f>
        <v>23.94250886694013</v>
      </c>
    </row>
    <row r="658" spans="5:50">
      <c r="E658">
        <f t="shared" si="388"/>
        <v>655</v>
      </c>
      <c r="F658" s="9">
        <f t="shared" si="381"/>
        <v>123.4999999999969</v>
      </c>
      <c r="G658" s="132">
        <f t="shared" si="361"/>
        <v>0</v>
      </c>
      <c r="H658" s="133">
        <f t="shared" si="387"/>
        <v>1</v>
      </c>
      <c r="I658" s="31">
        <f t="shared" si="371"/>
        <v>0</v>
      </c>
      <c r="J658" s="31">
        <f t="shared" si="362"/>
        <v>0</v>
      </c>
      <c r="K658" s="163">
        <f t="shared" si="363"/>
        <v>0</v>
      </c>
      <c r="L658" s="163">
        <f t="shared" si="372"/>
        <v>0</v>
      </c>
      <c r="M658" s="163">
        <f t="shared" si="389"/>
        <v>0</v>
      </c>
      <c r="N658" s="163">
        <f t="shared" si="373"/>
        <v>0</v>
      </c>
      <c r="O658" s="84">
        <f t="shared" si="364"/>
        <v>0</v>
      </c>
      <c r="P658" s="31">
        <f t="shared" si="365"/>
        <v>0</v>
      </c>
      <c r="R658">
        <f t="shared" ca="1" si="374"/>
        <v>775</v>
      </c>
      <c r="S658" s="133">
        <f t="shared" ca="1" si="375"/>
        <v>131.32</v>
      </c>
      <c r="T658" s="132">
        <f t="shared" ca="1" si="366"/>
        <v>0</v>
      </c>
      <c r="U658" s="133">
        <f t="shared" ca="1" si="382"/>
        <v>1.9008342029825436E-4</v>
      </c>
      <c r="V658" s="31">
        <f t="shared" ca="1" si="376"/>
        <v>0</v>
      </c>
      <c r="W658" s="31">
        <f t="shared" ca="1" si="367"/>
        <v>0</v>
      </c>
      <c r="X658" s="163">
        <f t="shared" ca="1" si="383"/>
        <v>0</v>
      </c>
      <c r="Y658" s="163">
        <f t="shared" ca="1" si="384"/>
        <v>0</v>
      </c>
      <c r="Z658" s="163">
        <f t="shared" ca="1" si="377"/>
        <v>0</v>
      </c>
      <c r="AA658" s="163">
        <f t="shared" ca="1" si="385"/>
        <v>0</v>
      </c>
      <c r="AB658" s="84">
        <f t="shared" ca="1" si="368"/>
        <v>0</v>
      </c>
      <c r="AC658" s="160">
        <f t="shared" si="369"/>
        <v>0</v>
      </c>
      <c r="AD658" s="31">
        <f t="shared" ca="1" si="370"/>
        <v>0</v>
      </c>
      <c r="AF658" s="5"/>
      <c r="AG658" s="5"/>
      <c r="AS658" s="55">
        <f t="shared" si="378"/>
        <v>55</v>
      </c>
      <c r="AT658" s="56">
        <f t="shared" si="386"/>
        <v>655</v>
      </c>
      <c r="AU658" s="57">
        <f t="shared" si="360"/>
        <v>4.0924336611313394E-2</v>
      </c>
      <c r="AV658" s="58">
        <f t="shared" si="379"/>
        <v>4.8675505653430484E-3</v>
      </c>
      <c r="AW658" s="59">
        <f t="shared" si="380"/>
        <v>1.004867550565343</v>
      </c>
      <c r="AX658" s="60">
        <f>PRODUCT(AW$4:AW658)</f>
        <v>24.059050239511137</v>
      </c>
    </row>
    <row r="659" spans="5:50">
      <c r="E659">
        <f t="shared" si="388"/>
        <v>656</v>
      </c>
      <c r="F659" s="9">
        <f t="shared" si="381"/>
        <v>123.58333333333023</v>
      </c>
      <c r="G659" s="132">
        <f t="shared" si="361"/>
        <v>0</v>
      </c>
      <c r="H659" s="133">
        <f t="shared" si="387"/>
        <v>1</v>
      </c>
      <c r="I659" s="31">
        <f t="shared" si="371"/>
        <v>0</v>
      </c>
      <c r="J659" s="31">
        <f t="shared" si="362"/>
        <v>0</v>
      </c>
      <c r="K659" s="163">
        <f t="shared" si="363"/>
        <v>0</v>
      </c>
      <c r="L659" s="163">
        <f t="shared" si="372"/>
        <v>0</v>
      </c>
      <c r="M659" s="163">
        <f t="shared" si="389"/>
        <v>0</v>
      </c>
      <c r="N659" s="163">
        <f t="shared" si="373"/>
        <v>0</v>
      </c>
      <c r="O659" s="84">
        <f t="shared" si="364"/>
        <v>0</v>
      </c>
      <c r="P659" s="31">
        <f t="shared" si="365"/>
        <v>0</v>
      </c>
      <c r="R659">
        <f t="shared" ca="1" si="374"/>
        <v>776</v>
      </c>
      <c r="S659" s="133">
        <f t="shared" ca="1" si="375"/>
        <v>131.4</v>
      </c>
      <c r="T659" s="132">
        <f t="shared" ca="1" si="366"/>
        <v>0</v>
      </c>
      <c r="U659" s="133">
        <f t="shared" ca="1" si="382"/>
        <v>1.9008342029825436E-4</v>
      </c>
      <c r="V659" s="31">
        <f t="shared" ca="1" si="376"/>
        <v>0</v>
      </c>
      <c r="W659" s="31">
        <f t="shared" ca="1" si="367"/>
        <v>0</v>
      </c>
      <c r="X659" s="163">
        <f t="shared" ca="1" si="383"/>
        <v>0</v>
      </c>
      <c r="Y659" s="163">
        <f t="shared" ca="1" si="384"/>
        <v>0</v>
      </c>
      <c r="Z659" s="163">
        <f t="shared" ca="1" si="377"/>
        <v>0</v>
      </c>
      <c r="AA659" s="163">
        <f t="shared" ca="1" si="385"/>
        <v>0</v>
      </c>
      <c r="AB659" s="84">
        <f t="shared" ca="1" si="368"/>
        <v>0</v>
      </c>
      <c r="AC659" s="160">
        <f t="shared" si="369"/>
        <v>0</v>
      </c>
      <c r="AD659" s="31">
        <f t="shared" ca="1" si="370"/>
        <v>0</v>
      </c>
      <c r="AF659" s="5"/>
      <c r="AG659" s="5"/>
      <c r="AS659" s="55">
        <f t="shared" si="378"/>
        <v>55</v>
      </c>
      <c r="AT659" s="56">
        <f t="shared" si="386"/>
        <v>656</v>
      </c>
      <c r="AU659" s="57">
        <f t="shared" si="360"/>
        <v>4.0725135333504706E-2</v>
      </c>
      <c r="AV659" s="58">
        <f t="shared" si="379"/>
        <v>4.8675505653430484E-3</v>
      </c>
      <c r="AW659" s="59">
        <f t="shared" si="380"/>
        <v>1.004867550565343</v>
      </c>
      <c r="AX659" s="60">
        <f>PRODUCT(AW$4:AW659)</f>
        <v>24.176158883106087</v>
      </c>
    </row>
    <row r="660" spans="5:50">
      <c r="E660">
        <f t="shared" si="388"/>
        <v>657</v>
      </c>
      <c r="F660" s="9">
        <f t="shared" si="381"/>
        <v>123.66666666666356</v>
      </c>
      <c r="G660" s="132">
        <f t="shared" si="361"/>
        <v>0</v>
      </c>
      <c r="H660" s="133">
        <f t="shared" si="387"/>
        <v>1</v>
      </c>
      <c r="I660" s="31">
        <f t="shared" si="371"/>
        <v>0</v>
      </c>
      <c r="J660" s="31">
        <f t="shared" si="362"/>
        <v>0</v>
      </c>
      <c r="K660" s="163">
        <f t="shared" si="363"/>
        <v>0</v>
      </c>
      <c r="L660" s="163">
        <f t="shared" si="372"/>
        <v>0</v>
      </c>
      <c r="M660" s="163">
        <f t="shared" si="389"/>
        <v>0</v>
      </c>
      <c r="N660" s="163">
        <f t="shared" si="373"/>
        <v>0</v>
      </c>
      <c r="O660" s="84">
        <f t="shared" si="364"/>
        <v>0</v>
      </c>
      <c r="P660" s="31">
        <f t="shared" si="365"/>
        <v>0</v>
      </c>
      <c r="R660">
        <f t="shared" ca="1" si="374"/>
        <v>777</v>
      </c>
      <c r="S660" s="133">
        <f t="shared" ca="1" si="375"/>
        <v>131.47999999999999</v>
      </c>
      <c r="T660" s="132">
        <f t="shared" ca="1" si="366"/>
        <v>0</v>
      </c>
      <c r="U660" s="133">
        <f t="shared" ca="1" si="382"/>
        <v>1.9008342029825436E-4</v>
      </c>
      <c r="V660" s="31">
        <f t="shared" ca="1" si="376"/>
        <v>0</v>
      </c>
      <c r="W660" s="31">
        <f t="shared" ca="1" si="367"/>
        <v>0</v>
      </c>
      <c r="X660" s="163">
        <f t="shared" ca="1" si="383"/>
        <v>0</v>
      </c>
      <c r="Y660" s="163">
        <f t="shared" ca="1" si="384"/>
        <v>0</v>
      </c>
      <c r="Z660" s="163">
        <f t="shared" ca="1" si="377"/>
        <v>0</v>
      </c>
      <c r="AA660" s="163">
        <f t="shared" ca="1" si="385"/>
        <v>0</v>
      </c>
      <c r="AB660" s="84">
        <f t="shared" ca="1" si="368"/>
        <v>0</v>
      </c>
      <c r="AC660" s="160">
        <f t="shared" si="369"/>
        <v>0</v>
      </c>
      <c r="AD660" s="31">
        <f t="shared" ca="1" si="370"/>
        <v>0</v>
      </c>
      <c r="AF660" s="5"/>
      <c r="AG660" s="5"/>
      <c r="AS660" s="55">
        <f t="shared" si="378"/>
        <v>55</v>
      </c>
      <c r="AT660" s="56">
        <f t="shared" si="386"/>
        <v>657</v>
      </c>
      <c r="AU660" s="57">
        <f t="shared" si="360"/>
        <v>4.0526903677988432E-2</v>
      </c>
      <c r="AV660" s="58">
        <f t="shared" si="379"/>
        <v>4.8675505653430484E-3</v>
      </c>
      <c r="AW660" s="59">
        <f t="shared" si="380"/>
        <v>1.004867550565343</v>
      </c>
      <c r="AX660" s="60">
        <f>PRODUCT(AW$4:AW660)</f>
        <v>24.293837558945373</v>
      </c>
    </row>
    <row r="661" spans="5:50">
      <c r="E661">
        <f t="shared" si="388"/>
        <v>658</v>
      </c>
      <c r="F661" s="9">
        <f t="shared" si="381"/>
        <v>123.74999999999689</v>
      </c>
      <c r="G661" s="132">
        <f t="shared" si="361"/>
        <v>0</v>
      </c>
      <c r="H661" s="133">
        <f t="shared" si="387"/>
        <v>1</v>
      </c>
      <c r="I661" s="31">
        <f t="shared" si="371"/>
        <v>0</v>
      </c>
      <c r="J661" s="31">
        <f t="shared" si="362"/>
        <v>0</v>
      </c>
      <c r="K661" s="163">
        <f t="shared" si="363"/>
        <v>0</v>
      </c>
      <c r="L661" s="163">
        <f t="shared" si="372"/>
        <v>0</v>
      </c>
      <c r="M661" s="163">
        <f t="shared" si="389"/>
        <v>0</v>
      </c>
      <c r="N661" s="163">
        <f t="shared" si="373"/>
        <v>0</v>
      </c>
      <c r="O661" s="84">
        <f t="shared" si="364"/>
        <v>0</v>
      </c>
      <c r="P661" s="31">
        <f t="shared" si="365"/>
        <v>0</v>
      </c>
      <c r="R661">
        <f t="shared" ca="1" si="374"/>
        <v>778</v>
      </c>
      <c r="S661" s="133">
        <f t="shared" ca="1" si="375"/>
        <v>131.56</v>
      </c>
      <c r="T661" s="132">
        <f t="shared" ca="1" si="366"/>
        <v>0</v>
      </c>
      <c r="U661" s="133">
        <f t="shared" ca="1" si="382"/>
        <v>1.9008342029825436E-4</v>
      </c>
      <c r="V661" s="31">
        <f t="shared" ca="1" si="376"/>
        <v>0</v>
      </c>
      <c r="W661" s="31">
        <f t="shared" ca="1" si="367"/>
        <v>0</v>
      </c>
      <c r="X661" s="163">
        <f t="shared" ca="1" si="383"/>
        <v>0</v>
      </c>
      <c r="Y661" s="163">
        <f t="shared" ca="1" si="384"/>
        <v>0</v>
      </c>
      <c r="Z661" s="163">
        <f t="shared" ca="1" si="377"/>
        <v>0</v>
      </c>
      <c r="AA661" s="163">
        <f t="shared" ca="1" si="385"/>
        <v>0</v>
      </c>
      <c r="AB661" s="84">
        <f t="shared" ca="1" si="368"/>
        <v>0</v>
      </c>
      <c r="AC661" s="160">
        <f t="shared" si="369"/>
        <v>0</v>
      </c>
      <c r="AD661" s="31">
        <f t="shared" ca="1" si="370"/>
        <v>0</v>
      </c>
      <c r="AF661" s="5"/>
      <c r="AG661" s="5"/>
      <c r="AS661" s="55">
        <f t="shared" si="378"/>
        <v>55</v>
      </c>
      <c r="AT661" s="56">
        <f t="shared" si="386"/>
        <v>658</v>
      </c>
      <c r="AU661" s="57">
        <f t="shared" si="360"/>
        <v>4.0329636925079036E-2</v>
      </c>
      <c r="AV661" s="58">
        <f t="shared" si="379"/>
        <v>4.8675505653430484E-3</v>
      </c>
      <c r="AW661" s="59">
        <f t="shared" si="380"/>
        <v>1.004867550565343</v>
      </c>
      <c r="AX661" s="60">
        <f>PRODUCT(AW$4:AW661)</f>
        <v>24.412089041689772</v>
      </c>
    </row>
    <row r="662" spans="5:50">
      <c r="E662">
        <f t="shared" si="388"/>
        <v>659</v>
      </c>
      <c r="F662" s="9">
        <f t="shared" si="381"/>
        <v>123.83333333333022</v>
      </c>
      <c r="G662" s="132">
        <f t="shared" si="361"/>
        <v>0</v>
      </c>
      <c r="H662" s="133">
        <f t="shared" si="387"/>
        <v>1</v>
      </c>
      <c r="I662" s="31">
        <f t="shared" si="371"/>
        <v>0</v>
      </c>
      <c r="J662" s="31">
        <f t="shared" si="362"/>
        <v>0</v>
      </c>
      <c r="K662" s="163">
        <f t="shared" si="363"/>
        <v>0</v>
      </c>
      <c r="L662" s="163">
        <f t="shared" si="372"/>
        <v>0</v>
      </c>
      <c r="M662" s="163">
        <f t="shared" si="389"/>
        <v>0</v>
      </c>
      <c r="N662" s="163">
        <f t="shared" si="373"/>
        <v>0</v>
      </c>
      <c r="O662" s="84">
        <f t="shared" si="364"/>
        <v>0</v>
      </c>
      <c r="P662" s="31">
        <f t="shared" si="365"/>
        <v>0</v>
      </c>
      <c r="R662">
        <f t="shared" ca="1" si="374"/>
        <v>779</v>
      </c>
      <c r="S662" s="133">
        <f t="shared" ca="1" si="375"/>
        <v>131.63999999999999</v>
      </c>
      <c r="T662" s="132">
        <f t="shared" ca="1" si="366"/>
        <v>0</v>
      </c>
      <c r="U662" s="133">
        <f t="shared" ca="1" si="382"/>
        <v>1.9008342029825436E-4</v>
      </c>
      <c r="V662" s="31">
        <f t="shared" ca="1" si="376"/>
        <v>0</v>
      </c>
      <c r="W662" s="31">
        <f t="shared" ca="1" si="367"/>
        <v>0</v>
      </c>
      <c r="X662" s="163">
        <f t="shared" ca="1" si="383"/>
        <v>0</v>
      </c>
      <c r="Y662" s="163">
        <f t="shared" ca="1" si="384"/>
        <v>0</v>
      </c>
      <c r="Z662" s="163">
        <f t="shared" ca="1" si="377"/>
        <v>0</v>
      </c>
      <c r="AA662" s="163">
        <f t="shared" ca="1" si="385"/>
        <v>0</v>
      </c>
      <c r="AB662" s="84">
        <f t="shared" ca="1" si="368"/>
        <v>0</v>
      </c>
      <c r="AC662" s="160">
        <f t="shared" si="369"/>
        <v>0</v>
      </c>
      <c r="AD662" s="31">
        <f t="shared" ca="1" si="370"/>
        <v>0</v>
      </c>
      <c r="AF662" s="5"/>
      <c r="AG662" s="5"/>
      <c r="AS662" s="55">
        <f t="shared" si="378"/>
        <v>55</v>
      </c>
      <c r="AT662" s="56">
        <f t="shared" si="386"/>
        <v>659</v>
      </c>
      <c r="AU662" s="57">
        <f t="shared" si="360"/>
        <v>4.013333037806429E-2</v>
      </c>
      <c r="AV662" s="58">
        <f t="shared" si="379"/>
        <v>4.8675505653430484E-3</v>
      </c>
      <c r="AW662" s="59">
        <f t="shared" si="380"/>
        <v>1.004867550565343</v>
      </c>
      <c r="AX662" s="60">
        <f>PRODUCT(AW$4:AW662)</f>
        <v>24.530916119505854</v>
      </c>
    </row>
    <row r="663" spans="5:50">
      <c r="E663">
        <f t="shared" si="388"/>
        <v>660</v>
      </c>
      <c r="F663" s="9">
        <f t="shared" si="381"/>
        <v>123.91666666666355</v>
      </c>
      <c r="G663" s="132">
        <f t="shared" si="361"/>
        <v>0</v>
      </c>
      <c r="H663" s="133">
        <f t="shared" si="387"/>
        <v>1</v>
      </c>
      <c r="I663" s="31">
        <f t="shared" si="371"/>
        <v>0</v>
      </c>
      <c r="J663" s="31">
        <f t="shared" si="362"/>
        <v>0</v>
      </c>
      <c r="K663" s="163">
        <f t="shared" si="363"/>
        <v>0</v>
      </c>
      <c r="L663" s="163">
        <f t="shared" si="372"/>
        <v>0</v>
      </c>
      <c r="M663" s="163">
        <f t="shared" si="389"/>
        <v>0</v>
      </c>
      <c r="N663" s="163">
        <f t="shared" si="373"/>
        <v>0</v>
      </c>
      <c r="O663" s="84">
        <f t="shared" si="364"/>
        <v>0</v>
      </c>
      <c r="P663" s="31">
        <f t="shared" si="365"/>
        <v>0</v>
      </c>
      <c r="R663">
        <f t="shared" ca="1" si="374"/>
        <v>780</v>
      </c>
      <c r="S663" s="133">
        <f t="shared" ca="1" si="375"/>
        <v>131.72</v>
      </c>
      <c r="T663" s="132">
        <f t="shared" ca="1" si="366"/>
        <v>0</v>
      </c>
      <c r="U663" s="133">
        <f t="shared" ca="1" si="382"/>
        <v>1.9008342029825436E-4</v>
      </c>
      <c r="V663" s="31">
        <f t="shared" ca="1" si="376"/>
        <v>0</v>
      </c>
      <c r="W663" s="31">
        <f t="shared" ca="1" si="367"/>
        <v>0</v>
      </c>
      <c r="X663" s="163">
        <f t="shared" ca="1" si="383"/>
        <v>0</v>
      </c>
      <c r="Y663" s="163">
        <f t="shared" ca="1" si="384"/>
        <v>0</v>
      </c>
      <c r="Z663" s="163">
        <f t="shared" ca="1" si="377"/>
        <v>0</v>
      </c>
      <c r="AA663" s="163">
        <f t="shared" ca="1" si="385"/>
        <v>0</v>
      </c>
      <c r="AB663" s="84">
        <f t="shared" ca="1" si="368"/>
        <v>0</v>
      </c>
      <c r="AC663" s="160">
        <f t="shared" si="369"/>
        <v>0</v>
      </c>
      <c r="AD663" s="31">
        <f t="shared" ca="1" si="370"/>
        <v>0</v>
      </c>
      <c r="AF663" s="5"/>
      <c r="AG663" s="5"/>
      <c r="AS663" s="55">
        <f t="shared" si="378"/>
        <v>55</v>
      </c>
      <c r="AT663" s="56">
        <f t="shared" si="386"/>
        <v>660</v>
      </c>
      <c r="AU663" s="57">
        <f t="shared" ref="AU663:AU726" si="390">(1-AV663)*AU662</f>
        <v>3.9937979363093443E-2</v>
      </c>
      <c r="AV663" s="58">
        <f t="shared" si="379"/>
        <v>4.8675505653430484E-3</v>
      </c>
      <c r="AW663" s="59">
        <f t="shared" si="380"/>
        <v>1.004867550565343</v>
      </c>
      <c r="AX663" s="60">
        <f>PRODUCT(AW$4:AW663)</f>
        <v>24.650321594131736</v>
      </c>
    </row>
    <row r="664" spans="5:50">
      <c r="E664">
        <f t="shared" si="388"/>
        <v>661</v>
      </c>
      <c r="F664" s="9">
        <f t="shared" si="381"/>
        <v>123.99999999999687</v>
      </c>
      <c r="G664" s="132">
        <f t="shared" si="361"/>
        <v>0</v>
      </c>
      <c r="H664" s="133">
        <f t="shared" si="387"/>
        <v>1</v>
      </c>
      <c r="I664" s="31">
        <f t="shared" si="371"/>
        <v>0</v>
      </c>
      <c r="J664" s="31">
        <f t="shared" si="362"/>
        <v>0</v>
      </c>
      <c r="K664" s="163">
        <f t="shared" si="363"/>
        <v>0</v>
      </c>
      <c r="L664" s="163">
        <f t="shared" si="372"/>
        <v>0</v>
      </c>
      <c r="M664" s="163">
        <f t="shared" si="389"/>
        <v>0</v>
      </c>
      <c r="N664" s="163">
        <f t="shared" si="373"/>
        <v>0</v>
      </c>
      <c r="O664" s="84">
        <f t="shared" si="364"/>
        <v>0</v>
      </c>
      <c r="P664" s="31">
        <f t="shared" si="365"/>
        <v>0</v>
      </c>
      <c r="R664">
        <f t="shared" ca="1" si="374"/>
        <v>781</v>
      </c>
      <c r="S664" s="133">
        <f t="shared" ca="1" si="375"/>
        <v>131.80000000000001</v>
      </c>
      <c r="T664" s="132">
        <f t="shared" ca="1" si="366"/>
        <v>0</v>
      </c>
      <c r="U664" s="133">
        <f t="shared" ca="1" si="382"/>
        <v>1.9008342029825436E-4</v>
      </c>
      <c r="V664" s="31">
        <f t="shared" ca="1" si="376"/>
        <v>0</v>
      </c>
      <c r="W664" s="31">
        <f t="shared" ca="1" si="367"/>
        <v>0</v>
      </c>
      <c r="X664" s="163">
        <f t="shared" ca="1" si="383"/>
        <v>0</v>
      </c>
      <c r="Y664" s="163">
        <f t="shared" ca="1" si="384"/>
        <v>0</v>
      </c>
      <c r="Z664" s="163">
        <f t="shared" ca="1" si="377"/>
        <v>0</v>
      </c>
      <c r="AA664" s="163">
        <f t="shared" ca="1" si="385"/>
        <v>0</v>
      </c>
      <c r="AB664" s="84">
        <f t="shared" ca="1" si="368"/>
        <v>0</v>
      </c>
      <c r="AC664" s="160">
        <f t="shared" si="369"/>
        <v>0</v>
      </c>
      <c r="AD664" s="31">
        <f t="shared" ca="1" si="370"/>
        <v>0</v>
      </c>
      <c r="AF664" s="5"/>
      <c r="AG664" s="5"/>
      <c r="AS664" s="55">
        <f t="shared" si="378"/>
        <v>56</v>
      </c>
      <c r="AT664" s="56">
        <f t="shared" si="386"/>
        <v>661</v>
      </c>
      <c r="AU664" s="57">
        <f t="shared" si="390"/>
        <v>3.9743579229065955E-2</v>
      </c>
      <c r="AV664" s="58">
        <f t="shared" si="379"/>
        <v>4.8675505653430484E-3</v>
      </c>
      <c r="AW664" s="59">
        <f t="shared" si="380"/>
        <v>1.004867550565343</v>
      </c>
      <c r="AX664" s="60">
        <f>PRODUCT(AW$4:AW664)</f>
        <v>24.770308280943141</v>
      </c>
    </row>
    <row r="665" spans="5:50">
      <c r="E665">
        <f t="shared" si="388"/>
        <v>662</v>
      </c>
      <c r="F665" s="9">
        <f t="shared" si="381"/>
        <v>124.0833333333302</v>
      </c>
      <c r="G665" s="132">
        <f t="shared" si="361"/>
        <v>0</v>
      </c>
      <c r="H665" s="133">
        <f t="shared" si="387"/>
        <v>1</v>
      </c>
      <c r="I665" s="31">
        <f t="shared" si="371"/>
        <v>0</v>
      </c>
      <c r="J665" s="31">
        <f t="shared" si="362"/>
        <v>0</v>
      </c>
      <c r="K665" s="163">
        <f t="shared" si="363"/>
        <v>0</v>
      </c>
      <c r="L665" s="163">
        <f t="shared" si="372"/>
        <v>0</v>
      </c>
      <c r="M665" s="163">
        <f t="shared" si="389"/>
        <v>0</v>
      </c>
      <c r="N665" s="163">
        <f t="shared" si="373"/>
        <v>0</v>
      </c>
      <c r="O665" s="84">
        <f t="shared" si="364"/>
        <v>0</v>
      </c>
      <c r="P665" s="31">
        <f t="shared" si="365"/>
        <v>0</v>
      </c>
      <c r="R665">
        <f t="shared" ca="1" si="374"/>
        <v>782</v>
      </c>
      <c r="S665" s="133">
        <f t="shared" ca="1" si="375"/>
        <v>131.88</v>
      </c>
      <c r="T665" s="132">
        <f t="shared" ca="1" si="366"/>
        <v>0</v>
      </c>
      <c r="U665" s="133">
        <f t="shared" ca="1" si="382"/>
        <v>1.9008342029825436E-4</v>
      </c>
      <c r="V665" s="31">
        <f t="shared" ca="1" si="376"/>
        <v>0</v>
      </c>
      <c r="W665" s="31">
        <f t="shared" ca="1" si="367"/>
        <v>0</v>
      </c>
      <c r="X665" s="163">
        <f t="shared" ca="1" si="383"/>
        <v>0</v>
      </c>
      <c r="Y665" s="163">
        <f t="shared" ca="1" si="384"/>
        <v>0</v>
      </c>
      <c r="Z665" s="163">
        <f t="shared" ca="1" si="377"/>
        <v>0</v>
      </c>
      <c r="AA665" s="163">
        <f t="shared" ca="1" si="385"/>
        <v>0</v>
      </c>
      <c r="AB665" s="84">
        <f t="shared" ca="1" si="368"/>
        <v>0</v>
      </c>
      <c r="AC665" s="160">
        <f t="shared" si="369"/>
        <v>0</v>
      </c>
      <c r="AD665" s="31">
        <f t="shared" ca="1" si="370"/>
        <v>0</v>
      </c>
      <c r="AF665" s="5"/>
      <c r="AG665" s="5"/>
      <c r="AS665" s="55">
        <f t="shared" si="378"/>
        <v>56</v>
      </c>
      <c r="AT665" s="56">
        <f t="shared" si="386"/>
        <v>662</v>
      </c>
      <c r="AU665" s="57">
        <f t="shared" si="390"/>
        <v>3.9550125347520761E-2</v>
      </c>
      <c r="AV665" s="58">
        <f t="shared" si="379"/>
        <v>4.8675505653430484E-3</v>
      </c>
      <c r="AW665" s="59">
        <f t="shared" si="380"/>
        <v>1.004867550565343</v>
      </c>
      <c r="AX665" s="60">
        <f>PRODUCT(AW$4:AW665)</f>
        <v>24.890879009019766</v>
      </c>
    </row>
    <row r="666" spans="5:50">
      <c r="E666">
        <f t="shared" si="388"/>
        <v>663</v>
      </c>
      <c r="F666" s="9">
        <f t="shared" si="381"/>
        <v>124.16666666666353</v>
      </c>
      <c r="G666" s="132">
        <f t="shared" si="361"/>
        <v>0</v>
      </c>
      <c r="H666" s="133">
        <f t="shared" si="387"/>
        <v>1</v>
      </c>
      <c r="I666" s="31">
        <f t="shared" si="371"/>
        <v>0</v>
      </c>
      <c r="J666" s="31">
        <f t="shared" si="362"/>
        <v>0</v>
      </c>
      <c r="K666" s="163">
        <f t="shared" si="363"/>
        <v>0</v>
      </c>
      <c r="L666" s="163">
        <f t="shared" si="372"/>
        <v>0</v>
      </c>
      <c r="M666" s="163">
        <f t="shared" si="389"/>
        <v>0</v>
      </c>
      <c r="N666" s="163">
        <f t="shared" si="373"/>
        <v>0</v>
      </c>
      <c r="O666" s="84">
        <f t="shared" si="364"/>
        <v>0</v>
      </c>
      <c r="P666" s="31">
        <f t="shared" si="365"/>
        <v>0</v>
      </c>
      <c r="R666">
        <f t="shared" ca="1" si="374"/>
        <v>783</v>
      </c>
      <c r="S666" s="133">
        <f t="shared" ca="1" si="375"/>
        <v>131.96</v>
      </c>
      <c r="T666" s="132">
        <f t="shared" ca="1" si="366"/>
        <v>0</v>
      </c>
      <c r="U666" s="133">
        <f t="shared" ca="1" si="382"/>
        <v>1.9008342029825436E-4</v>
      </c>
      <c r="V666" s="31">
        <f t="shared" ca="1" si="376"/>
        <v>0</v>
      </c>
      <c r="W666" s="31">
        <f t="shared" ca="1" si="367"/>
        <v>0</v>
      </c>
      <c r="X666" s="163">
        <f t="shared" ca="1" si="383"/>
        <v>0</v>
      </c>
      <c r="Y666" s="163">
        <f t="shared" ca="1" si="384"/>
        <v>0</v>
      </c>
      <c r="Z666" s="163">
        <f t="shared" ca="1" si="377"/>
        <v>0</v>
      </c>
      <c r="AA666" s="163">
        <f t="shared" ca="1" si="385"/>
        <v>0</v>
      </c>
      <c r="AB666" s="84">
        <f t="shared" ca="1" si="368"/>
        <v>0</v>
      </c>
      <c r="AC666" s="160">
        <f t="shared" si="369"/>
        <v>0</v>
      </c>
      <c r="AD666" s="31">
        <f t="shared" ca="1" si="370"/>
        <v>0</v>
      </c>
      <c r="AF666" s="5"/>
      <c r="AG666" s="5"/>
      <c r="AS666" s="55">
        <f t="shared" si="378"/>
        <v>56</v>
      </c>
      <c r="AT666" s="56">
        <f t="shared" si="386"/>
        <v>663</v>
      </c>
      <c r="AU666" s="57">
        <f t="shared" si="390"/>
        <v>3.9357613112526051E-2</v>
      </c>
      <c r="AV666" s="58">
        <f t="shared" si="379"/>
        <v>4.8675505653430484E-3</v>
      </c>
      <c r="AW666" s="59">
        <f t="shared" si="380"/>
        <v>1.004867550565343</v>
      </c>
      <c r="AX666" s="60">
        <f>PRODUCT(AW$4:AW666)</f>
        <v>25.012036621212005</v>
      </c>
    </row>
    <row r="667" spans="5:50">
      <c r="E667">
        <f t="shared" si="388"/>
        <v>664</v>
      </c>
      <c r="F667" s="9">
        <f t="shared" si="381"/>
        <v>124.24999999999686</v>
      </c>
      <c r="G667" s="132">
        <f t="shared" si="361"/>
        <v>0</v>
      </c>
      <c r="H667" s="133">
        <f t="shared" si="387"/>
        <v>1</v>
      </c>
      <c r="I667" s="31">
        <f t="shared" si="371"/>
        <v>0</v>
      </c>
      <c r="J667" s="31">
        <f t="shared" si="362"/>
        <v>0</v>
      </c>
      <c r="K667" s="163">
        <f t="shared" si="363"/>
        <v>0</v>
      </c>
      <c r="L667" s="163">
        <f t="shared" si="372"/>
        <v>0</v>
      </c>
      <c r="M667" s="163">
        <f t="shared" si="389"/>
        <v>0</v>
      </c>
      <c r="N667" s="163">
        <f t="shared" si="373"/>
        <v>0</v>
      </c>
      <c r="O667" s="84">
        <f t="shared" si="364"/>
        <v>0</v>
      </c>
      <c r="P667" s="31">
        <f t="shared" si="365"/>
        <v>0</v>
      </c>
      <c r="R667">
        <f t="shared" ca="1" si="374"/>
        <v>784</v>
      </c>
      <c r="S667" s="133">
        <f t="shared" ca="1" si="375"/>
        <v>132.04</v>
      </c>
      <c r="T667" s="132">
        <f t="shared" ca="1" si="366"/>
        <v>0</v>
      </c>
      <c r="U667" s="133">
        <f t="shared" ca="1" si="382"/>
        <v>1.9008342029825436E-4</v>
      </c>
      <c r="V667" s="31">
        <f t="shared" ca="1" si="376"/>
        <v>0</v>
      </c>
      <c r="W667" s="31">
        <f t="shared" ca="1" si="367"/>
        <v>0</v>
      </c>
      <c r="X667" s="163">
        <f t="shared" ca="1" si="383"/>
        <v>0</v>
      </c>
      <c r="Y667" s="163">
        <f t="shared" ca="1" si="384"/>
        <v>0</v>
      </c>
      <c r="Z667" s="163">
        <f t="shared" ca="1" si="377"/>
        <v>0</v>
      </c>
      <c r="AA667" s="163">
        <f t="shared" ca="1" si="385"/>
        <v>0</v>
      </c>
      <c r="AB667" s="84">
        <f t="shared" ca="1" si="368"/>
        <v>0</v>
      </c>
      <c r="AC667" s="160">
        <f t="shared" si="369"/>
        <v>0</v>
      </c>
      <c r="AD667" s="31">
        <f t="shared" ca="1" si="370"/>
        <v>0</v>
      </c>
      <c r="AF667" s="5"/>
      <c r="AG667" s="5"/>
      <c r="AS667" s="55">
        <f t="shared" si="378"/>
        <v>56</v>
      </c>
      <c r="AT667" s="56">
        <f t="shared" si="386"/>
        <v>664</v>
      </c>
      <c r="AU667" s="57">
        <f t="shared" si="390"/>
        <v>3.9166037940569623E-2</v>
      </c>
      <c r="AV667" s="58">
        <f t="shared" si="379"/>
        <v>4.8675505653430484E-3</v>
      </c>
      <c r="AW667" s="59">
        <f t="shared" si="380"/>
        <v>1.004867550565343</v>
      </c>
      <c r="AX667" s="60">
        <f>PRODUCT(AW$4:AW667)</f>
        <v>25.133783974207965</v>
      </c>
    </row>
    <row r="668" spans="5:50">
      <c r="E668">
        <f t="shared" si="388"/>
        <v>665</v>
      </c>
      <c r="F668" s="9">
        <f t="shared" si="381"/>
        <v>124.33333333333019</v>
      </c>
      <c r="G668" s="132">
        <f t="shared" si="361"/>
        <v>0</v>
      </c>
      <c r="H668" s="133">
        <f t="shared" si="387"/>
        <v>1</v>
      </c>
      <c r="I668" s="31">
        <f t="shared" si="371"/>
        <v>0</v>
      </c>
      <c r="J668" s="31">
        <f t="shared" si="362"/>
        <v>0</v>
      </c>
      <c r="K668" s="163">
        <f t="shared" si="363"/>
        <v>0</v>
      </c>
      <c r="L668" s="163">
        <f t="shared" si="372"/>
        <v>0</v>
      </c>
      <c r="M668" s="163">
        <f t="shared" si="389"/>
        <v>0</v>
      </c>
      <c r="N668" s="163">
        <f t="shared" si="373"/>
        <v>0</v>
      </c>
      <c r="O668" s="84">
        <f t="shared" si="364"/>
        <v>0</v>
      </c>
      <c r="P668" s="31">
        <f t="shared" si="365"/>
        <v>0</v>
      </c>
      <c r="R668">
        <f t="shared" ca="1" si="374"/>
        <v>785</v>
      </c>
      <c r="S668" s="133">
        <f t="shared" ca="1" si="375"/>
        <v>132.12</v>
      </c>
      <c r="T668" s="132">
        <f t="shared" ca="1" si="366"/>
        <v>0</v>
      </c>
      <c r="U668" s="133">
        <f t="shared" ca="1" si="382"/>
        <v>1.9008342029825436E-4</v>
      </c>
      <c r="V668" s="31">
        <f t="shared" ca="1" si="376"/>
        <v>0</v>
      </c>
      <c r="W668" s="31">
        <f t="shared" ca="1" si="367"/>
        <v>0</v>
      </c>
      <c r="X668" s="163">
        <f t="shared" ca="1" si="383"/>
        <v>0</v>
      </c>
      <c r="Y668" s="163">
        <f t="shared" ca="1" si="384"/>
        <v>0</v>
      </c>
      <c r="Z668" s="163">
        <f t="shared" ca="1" si="377"/>
        <v>0</v>
      </c>
      <c r="AA668" s="163">
        <f t="shared" ca="1" si="385"/>
        <v>0</v>
      </c>
      <c r="AB668" s="84">
        <f t="shared" ca="1" si="368"/>
        <v>0</v>
      </c>
      <c r="AC668" s="160">
        <f t="shared" si="369"/>
        <v>0</v>
      </c>
      <c r="AD668" s="31">
        <f t="shared" ca="1" si="370"/>
        <v>0</v>
      </c>
      <c r="AF668" s="5"/>
      <c r="AG668" s="5"/>
      <c r="AS668" s="55">
        <f t="shared" si="378"/>
        <v>56</v>
      </c>
      <c r="AT668" s="56">
        <f t="shared" si="386"/>
        <v>665</v>
      </c>
      <c r="AU668" s="57">
        <f t="shared" si="390"/>
        <v>3.8975395270449756E-2</v>
      </c>
      <c r="AV668" s="58">
        <f t="shared" si="379"/>
        <v>4.8675505653430484E-3</v>
      </c>
      <c r="AW668" s="59">
        <f t="shared" si="380"/>
        <v>1.004867550565343</v>
      </c>
      <c r="AX668" s="60">
        <f>PRODUCT(AW$4:AW668)</f>
        <v>25.25612393860083</v>
      </c>
    </row>
    <row r="669" spans="5:50">
      <c r="E669">
        <f t="shared" si="388"/>
        <v>666</v>
      </c>
      <c r="F669" s="9">
        <f t="shared" si="381"/>
        <v>124.41666666666352</v>
      </c>
      <c r="G669" s="132">
        <f t="shared" si="361"/>
        <v>0</v>
      </c>
      <c r="H669" s="133">
        <f t="shared" si="387"/>
        <v>1</v>
      </c>
      <c r="I669" s="31">
        <f t="shared" si="371"/>
        <v>0</v>
      </c>
      <c r="J669" s="31">
        <f t="shared" si="362"/>
        <v>0</v>
      </c>
      <c r="K669" s="163">
        <f t="shared" si="363"/>
        <v>0</v>
      </c>
      <c r="L669" s="163">
        <f t="shared" si="372"/>
        <v>0</v>
      </c>
      <c r="M669" s="163">
        <f t="shared" si="389"/>
        <v>0</v>
      </c>
      <c r="N669" s="163">
        <f t="shared" si="373"/>
        <v>0</v>
      </c>
      <c r="O669" s="84">
        <f t="shared" si="364"/>
        <v>0</v>
      </c>
      <c r="P669" s="31">
        <f t="shared" si="365"/>
        <v>0</v>
      </c>
      <c r="R669">
        <f t="shared" ca="1" si="374"/>
        <v>786</v>
      </c>
      <c r="S669" s="133">
        <f t="shared" ca="1" si="375"/>
        <v>132.19999999999999</v>
      </c>
      <c r="T669" s="132">
        <f t="shared" ca="1" si="366"/>
        <v>0</v>
      </c>
      <c r="U669" s="133">
        <f t="shared" ca="1" si="382"/>
        <v>1.9008342029825436E-4</v>
      </c>
      <c r="V669" s="31">
        <f t="shared" ca="1" si="376"/>
        <v>0</v>
      </c>
      <c r="W669" s="31">
        <f t="shared" ca="1" si="367"/>
        <v>0</v>
      </c>
      <c r="X669" s="163">
        <f t="shared" ca="1" si="383"/>
        <v>0</v>
      </c>
      <c r="Y669" s="163">
        <f t="shared" ca="1" si="384"/>
        <v>0</v>
      </c>
      <c r="Z669" s="163">
        <f t="shared" ca="1" si="377"/>
        <v>0</v>
      </c>
      <c r="AA669" s="163">
        <f t="shared" ca="1" si="385"/>
        <v>0</v>
      </c>
      <c r="AB669" s="84">
        <f t="shared" ca="1" si="368"/>
        <v>0</v>
      </c>
      <c r="AC669" s="160">
        <f t="shared" si="369"/>
        <v>0</v>
      </c>
      <c r="AD669" s="31">
        <f t="shared" ca="1" si="370"/>
        <v>0</v>
      </c>
      <c r="AF669" s="5"/>
      <c r="AG669" s="5"/>
      <c r="AS669" s="55">
        <f t="shared" si="378"/>
        <v>56</v>
      </c>
      <c r="AT669" s="56">
        <f t="shared" si="386"/>
        <v>666</v>
      </c>
      <c r="AU669" s="57">
        <f t="shared" si="390"/>
        <v>3.8785680563166607E-2</v>
      </c>
      <c r="AV669" s="58">
        <f t="shared" si="379"/>
        <v>4.8675505653430484E-3</v>
      </c>
      <c r="AW669" s="59">
        <f t="shared" si="380"/>
        <v>1.004867550565343</v>
      </c>
      <c r="AX669" s="60">
        <f>PRODUCT(AW$4:AW669)</f>
        <v>25.379059398956539</v>
      </c>
    </row>
    <row r="670" spans="5:50">
      <c r="E670">
        <f t="shared" si="388"/>
        <v>667</v>
      </c>
      <c r="F670" s="9">
        <f t="shared" si="381"/>
        <v>124.49999999999685</v>
      </c>
      <c r="G670" s="132">
        <f t="shared" si="361"/>
        <v>0</v>
      </c>
      <c r="H670" s="133">
        <f t="shared" si="387"/>
        <v>1</v>
      </c>
      <c r="I670" s="31">
        <f t="shared" si="371"/>
        <v>0</v>
      </c>
      <c r="J670" s="31">
        <f t="shared" si="362"/>
        <v>0</v>
      </c>
      <c r="K670" s="163">
        <f t="shared" si="363"/>
        <v>0</v>
      </c>
      <c r="L670" s="163">
        <f t="shared" si="372"/>
        <v>0</v>
      </c>
      <c r="M670" s="163">
        <f t="shared" si="389"/>
        <v>0</v>
      </c>
      <c r="N670" s="163">
        <f t="shared" si="373"/>
        <v>0</v>
      </c>
      <c r="O670" s="84">
        <f t="shared" si="364"/>
        <v>0</v>
      </c>
      <c r="P670" s="31">
        <f t="shared" si="365"/>
        <v>0</v>
      </c>
      <c r="R670">
        <f t="shared" ca="1" si="374"/>
        <v>787</v>
      </c>
      <c r="S670" s="133">
        <f t="shared" ca="1" si="375"/>
        <v>132.28</v>
      </c>
      <c r="T670" s="132">
        <f t="shared" ca="1" si="366"/>
        <v>0</v>
      </c>
      <c r="U670" s="133">
        <f t="shared" ca="1" si="382"/>
        <v>1.9008342029825436E-4</v>
      </c>
      <c r="V670" s="31">
        <f t="shared" ca="1" si="376"/>
        <v>0</v>
      </c>
      <c r="W670" s="31">
        <f t="shared" ca="1" si="367"/>
        <v>0</v>
      </c>
      <c r="X670" s="163">
        <f t="shared" ca="1" si="383"/>
        <v>0</v>
      </c>
      <c r="Y670" s="163">
        <f t="shared" ca="1" si="384"/>
        <v>0</v>
      </c>
      <c r="Z670" s="163">
        <f t="shared" ca="1" si="377"/>
        <v>0</v>
      </c>
      <c r="AA670" s="163">
        <f t="shared" ca="1" si="385"/>
        <v>0</v>
      </c>
      <c r="AB670" s="84">
        <f t="shared" ca="1" si="368"/>
        <v>0</v>
      </c>
      <c r="AC670" s="160">
        <f t="shared" si="369"/>
        <v>0</v>
      </c>
      <c r="AD670" s="31">
        <f t="shared" ca="1" si="370"/>
        <v>0</v>
      </c>
      <c r="AF670" s="5"/>
      <c r="AG670" s="5"/>
      <c r="AS670" s="55">
        <f t="shared" si="378"/>
        <v>56</v>
      </c>
      <c r="AT670" s="56">
        <f t="shared" si="386"/>
        <v>667</v>
      </c>
      <c r="AU670" s="57">
        <f t="shared" si="390"/>
        <v>3.8596889301814152E-2</v>
      </c>
      <c r="AV670" s="58">
        <f t="shared" si="379"/>
        <v>4.8675505653430484E-3</v>
      </c>
      <c r="AW670" s="59">
        <f t="shared" si="380"/>
        <v>1.004867550565343</v>
      </c>
      <c r="AX670" s="60">
        <f>PRODUCT(AW$4:AW670)</f>
        <v>25.502593253881805</v>
      </c>
    </row>
    <row r="671" spans="5:50">
      <c r="E671">
        <f t="shared" si="388"/>
        <v>668</v>
      </c>
      <c r="F671" s="9">
        <f t="shared" si="381"/>
        <v>124.58333333333017</v>
      </c>
      <c r="G671" s="132">
        <f t="shared" si="361"/>
        <v>0</v>
      </c>
      <c r="H671" s="133">
        <f t="shared" si="387"/>
        <v>1</v>
      </c>
      <c r="I671" s="31">
        <f t="shared" si="371"/>
        <v>0</v>
      </c>
      <c r="J671" s="31">
        <f t="shared" si="362"/>
        <v>0</v>
      </c>
      <c r="K671" s="163">
        <f t="shared" si="363"/>
        <v>0</v>
      </c>
      <c r="L671" s="163">
        <f t="shared" si="372"/>
        <v>0</v>
      </c>
      <c r="M671" s="163">
        <f t="shared" si="389"/>
        <v>0</v>
      </c>
      <c r="N671" s="163">
        <f t="shared" si="373"/>
        <v>0</v>
      </c>
      <c r="O671" s="84">
        <f t="shared" si="364"/>
        <v>0</v>
      </c>
      <c r="P671" s="31">
        <f t="shared" si="365"/>
        <v>0</v>
      </c>
      <c r="R671">
        <f t="shared" ca="1" si="374"/>
        <v>788</v>
      </c>
      <c r="S671" s="133">
        <f t="shared" ca="1" si="375"/>
        <v>132.36000000000001</v>
      </c>
      <c r="T671" s="132">
        <f t="shared" ca="1" si="366"/>
        <v>0</v>
      </c>
      <c r="U671" s="133">
        <f t="shared" ca="1" si="382"/>
        <v>1.9008342029825436E-4</v>
      </c>
      <c r="V671" s="31">
        <f t="shared" ca="1" si="376"/>
        <v>0</v>
      </c>
      <c r="W671" s="31">
        <f t="shared" ca="1" si="367"/>
        <v>0</v>
      </c>
      <c r="X671" s="163">
        <f t="shared" ca="1" si="383"/>
        <v>0</v>
      </c>
      <c r="Y671" s="163">
        <f t="shared" ca="1" si="384"/>
        <v>0</v>
      </c>
      <c r="Z671" s="163">
        <f t="shared" ca="1" si="377"/>
        <v>0</v>
      </c>
      <c r="AA671" s="163">
        <f t="shared" ca="1" si="385"/>
        <v>0</v>
      </c>
      <c r="AB671" s="84">
        <f t="shared" ca="1" si="368"/>
        <v>0</v>
      </c>
      <c r="AC671" s="160">
        <f t="shared" si="369"/>
        <v>0</v>
      </c>
      <c r="AD671" s="31">
        <f t="shared" ca="1" si="370"/>
        <v>0</v>
      </c>
      <c r="AF671" s="5"/>
      <c r="AG671" s="5"/>
      <c r="AS671" s="55">
        <f t="shared" si="378"/>
        <v>56</v>
      </c>
      <c r="AT671" s="56">
        <f t="shared" si="386"/>
        <v>668</v>
      </c>
      <c r="AU671" s="57">
        <f t="shared" si="390"/>
        <v>3.8409016991472623E-2</v>
      </c>
      <c r="AV671" s="58">
        <f t="shared" si="379"/>
        <v>4.8675505653430484E-3</v>
      </c>
      <c r="AW671" s="59">
        <f t="shared" si="380"/>
        <v>1.004867550565343</v>
      </c>
      <c r="AX671" s="60">
        <f>PRODUCT(AW$4:AW671)</f>
        <v>25.626728416092451</v>
      </c>
    </row>
    <row r="672" spans="5:50">
      <c r="E672">
        <f t="shared" si="388"/>
        <v>669</v>
      </c>
      <c r="F672" s="9">
        <f t="shared" si="381"/>
        <v>124.6666666666635</v>
      </c>
      <c r="G672" s="132">
        <f t="shared" si="361"/>
        <v>0</v>
      </c>
      <c r="H672" s="133">
        <f t="shared" si="387"/>
        <v>1</v>
      </c>
      <c r="I672" s="31">
        <f t="shared" si="371"/>
        <v>0</v>
      </c>
      <c r="J672" s="31">
        <f t="shared" si="362"/>
        <v>0</v>
      </c>
      <c r="K672" s="163">
        <f t="shared" si="363"/>
        <v>0</v>
      </c>
      <c r="L672" s="163">
        <f t="shared" si="372"/>
        <v>0</v>
      </c>
      <c r="M672" s="163">
        <f t="shared" si="389"/>
        <v>0</v>
      </c>
      <c r="N672" s="163">
        <f t="shared" si="373"/>
        <v>0</v>
      </c>
      <c r="O672" s="84">
        <f t="shared" si="364"/>
        <v>0</v>
      </c>
      <c r="P672" s="31">
        <f t="shared" si="365"/>
        <v>0</v>
      </c>
      <c r="R672">
        <f t="shared" ca="1" si="374"/>
        <v>789</v>
      </c>
      <c r="S672" s="133">
        <f t="shared" ca="1" si="375"/>
        <v>132.44</v>
      </c>
      <c r="T672" s="132">
        <f t="shared" ca="1" si="366"/>
        <v>0</v>
      </c>
      <c r="U672" s="133">
        <f t="shared" ca="1" si="382"/>
        <v>1.9008342029825436E-4</v>
      </c>
      <c r="V672" s="31">
        <f t="shared" ca="1" si="376"/>
        <v>0</v>
      </c>
      <c r="W672" s="31">
        <f t="shared" ca="1" si="367"/>
        <v>0</v>
      </c>
      <c r="X672" s="163">
        <f t="shared" ca="1" si="383"/>
        <v>0</v>
      </c>
      <c r="Y672" s="163">
        <f t="shared" ca="1" si="384"/>
        <v>0</v>
      </c>
      <c r="Z672" s="163">
        <f t="shared" ca="1" si="377"/>
        <v>0</v>
      </c>
      <c r="AA672" s="163">
        <f t="shared" ca="1" si="385"/>
        <v>0</v>
      </c>
      <c r="AB672" s="84">
        <f t="shared" ca="1" si="368"/>
        <v>0</v>
      </c>
      <c r="AC672" s="160">
        <f t="shared" si="369"/>
        <v>0</v>
      </c>
      <c r="AD672" s="31">
        <f t="shared" ca="1" si="370"/>
        <v>0</v>
      </c>
      <c r="AF672" s="5"/>
      <c r="AG672" s="5"/>
      <c r="AS672" s="55">
        <f t="shared" si="378"/>
        <v>56</v>
      </c>
      <c r="AT672" s="56">
        <f t="shared" si="386"/>
        <v>669</v>
      </c>
      <c r="AU672" s="57">
        <f t="shared" si="390"/>
        <v>3.8222059159101512E-2</v>
      </c>
      <c r="AV672" s="58">
        <f t="shared" si="379"/>
        <v>4.8675505653430484E-3</v>
      </c>
      <c r="AW672" s="59">
        <f t="shared" si="380"/>
        <v>1.004867550565343</v>
      </c>
      <c r="AX672" s="60">
        <f>PRODUCT(AW$4:AW672)</f>
        <v>25.751467812482094</v>
      </c>
    </row>
    <row r="673" spans="5:50">
      <c r="E673">
        <f t="shared" si="388"/>
        <v>670</v>
      </c>
      <c r="F673" s="9">
        <f t="shared" si="381"/>
        <v>124.74999999999683</v>
      </c>
      <c r="G673" s="132">
        <f t="shared" si="361"/>
        <v>0</v>
      </c>
      <c r="H673" s="133">
        <f t="shared" si="387"/>
        <v>1</v>
      </c>
      <c r="I673" s="31">
        <f t="shared" si="371"/>
        <v>0</v>
      </c>
      <c r="J673" s="31">
        <f t="shared" si="362"/>
        <v>0</v>
      </c>
      <c r="K673" s="163">
        <f t="shared" si="363"/>
        <v>0</v>
      </c>
      <c r="L673" s="163">
        <f t="shared" si="372"/>
        <v>0</v>
      </c>
      <c r="M673" s="163">
        <f t="shared" si="389"/>
        <v>0</v>
      </c>
      <c r="N673" s="163">
        <f t="shared" si="373"/>
        <v>0</v>
      </c>
      <c r="O673" s="84">
        <f t="shared" si="364"/>
        <v>0</v>
      </c>
      <c r="P673" s="31">
        <f t="shared" si="365"/>
        <v>0</v>
      </c>
      <c r="R673">
        <f t="shared" ca="1" si="374"/>
        <v>790</v>
      </c>
      <c r="S673" s="133">
        <f t="shared" ca="1" si="375"/>
        <v>132.52000000000001</v>
      </c>
      <c r="T673" s="132">
        <f t="shared" ca="1" si="366"/>
        <v>0</v>
      </c>
      <c r="U673" s="133">
        <f t="shared" ca="1" si="382"/>
        <v>1.9008342029825436E-4</v>
      </c>
      <c r="V673" s="31">
        <f t="shared" ca="1" si="376"/>
        <v>0</v>
      </c>
      <c r="W673" s="31">
        <f t="shared" ca="1" si="367"/>
        <v>0</v>
      </c>
      <c r="X673" s="163">
        <f t="shared" ca="1" si="383"/>
        <v>0</v>
      </c>
      <c r="Y673" s="163">
        <f t="shared" ca="1" si="384"/>
        <v>0</v>
      </c>
      <c r="Z673" s="163">
        <f t="shared" ca="1" si="377"/>
        <v>0</v>
      </c>
      <c r="AA673" s="163">
        <f t="shared" ca="1" si="385"/>
        <v>0</v>
      </c>
      <c r="AB673" s="84">
        <f t="shared" ca="1" si="368"/>
        <v>0</v>
      </c>
      <c r="AC673" s="160">
        <f t="shared" si="369"/>
        <v>0</v>
      </c>
      <c r="AD673" s="31">
        <f t="shared" ca="1" si="370"/>
        <v>0</v>
      </c>
      <c r="AF673" s="5"/>
      <c r="AG673" s="5"/>
      <c r="AS673" s="55">
        <f t="shared" si="378"/>
        <v>56</v>
      </c>
      <c r="AT673" s="56">
        <f t="shared" si="386"/>
        <v>670</v>
      </c>
      <c r="AU673" s="57">
        <f t="shared" si="390"/>
        <v>3.8036011353433055E-2</v>
      </c>
      <c r="AV673" s="58">
        <f t="shared" si="379"/>
        <v>4.8675505653430484E-3</v>
      </c>
      <c r="AW673" s="59">
        <f t="shared" si="380"/>
        <v>1.004867550565343</v>
      </c>
      <c r="AX673" s="60">
        <f>PRODUCT(AW$4:AW673)</f>
        <v>25.876814384191153</v>
      </c>
    </row>
    <row r="674" spans="5:50">
      <c r="E674">
        <f t="shared" si="388"/>
        <v>671</v>
      </c>
      <c r="F674" s="9">
        <f t="shared" si="381"/>
        <v>124.83333333333016</v>
      </c>
      <c r="G674" s="132">
        <f t="shared" si="361"/>
        <v>0</v>
      </c>
      <c r="H674" s="133">
        <f t="shared" si="387"/>
        <v>1</v>
      </c>
      <c r="I674" s="31">
        <f t="shared" si="371"/>
        <v>0</v>
      </c>
      <c r="J674" s="31">
        <f t="shared" si="362"/>
        <v>0</v>
      </c>
      <c r="K674" s="163">
        <f t="shared" si="363"/>
        <v>0</v>
      </c>
      <c r="L674" s="163">
        <f t="shared" si="372"/>
        <v>0</v>
      </c>
      <c r="M674" s="163">
        <f t="shared" si="389"/>
        <v>0</v>
      </c>
      <c r="N674" s="163">
        <f t="shared" si="373"/>
        <v>0</v>
      </c>
      <c r="O674" s="84">
        <f t="shared" si="364"/>
        <v>0</v>
      </c>
      <c r="P674" s="31">
        <f t="shared" si="365"/>
        <v>0</v>
      </c>
      <c r="R674">
        <f t="shared" ca="1" si="374"/>
        <v>791</v>
      </c>
      <c r="S674" s="133">
        <f t="shared" ca="1" si="375"/>
        <v>132.6</v>
      </c>
      <c r="T674" s="132">
        <f t="shared" ca="1" si="366"/>
        <v>0</v>
      </c>
      <c r="U674" s="133">
        <f t="shared" ca="1" si="382"/>
        <v>1.9008342029825436E-4</v>
      </c>
      <c r="V674" s="31">
        <f t="shared" ca="1" si="376"/>
        <v>0</v>
      </c>
      <c r="W674" s="31">
        <f t="shared" ca="1" si="367"/>
        <v>0</v>
      </c>
      <c r="X674" s="163">
        <f t="shared" ca="1" si="383"/>
        <v>0</v>
      </c>
      <c r="Y674" s="163">
        <f t="shared" ca="1" si="384"/>
        <v>0</v>
      </c>
      <c r="Z674" s="163">
        <f t="shared" ca="1" si="377"/>
        <v>0</v>
      </c>
      <c r="AA674" s="163">
        <f t="shared" ca="1" si="385"/>
        <v>0</v>
      </c>
      <c r="AB674" s="84">
        <f t="shared" ca="1" si="368"/>
        <v>0</v>
      </c>
      <c r="AC674" s="160">
        <f t="shared" si="369"/>
        <v>0</v>
      </c>
      <c r="AD674" s="31">
        <f t="shared" ca="1" si="370"/>
        <v>0</v>
      </c>
      <c r="AF674" s="5"/>
      <c r="AG674" s="5"/>
      <c r="AS674" s="55">
        <f t="shared" si="378"/>
        <v>56</v>
      </c>
      <c r="AT674" s="56">
        <f t="shared" si="386"/>
        <v>671</v>
      </c>
      <c r="AU674" s="57">
        <f t="shared" si="390"/>
        <v>3.785086914486626E-2</v>
      </c>
      <c r="AV674" s="58">
        <f t="shared" si="379"/>
        <v>4.8675505653430484E-3</v>
      </c>
      <c r="AW674" s="59">
        <f t="shared" si="380"/>
        <v>1.004867550565343</v>
      </c>
      <c r="AX674" s="60">
        <f>PRODUCT(AW$4:AW674)</f>
        <v>26.002771086676201</v>
      </c>
    </row>
    <row r="675" spans="5:50">
      <c r="E675">
        <f t="shared" si="388"/>
        <v>672</v>
      </c>
      <c r="F675" s="9">
        <f t="shared" si="381"/>
        <v>124.91666666666349</v>
      </c>
      <c r="G675" s="132">
        <f t="shared" si="361"/>
        <v>0</v>
      </c>
      <c r="H675" s="133">
        <f t="shared" si="387"/>
        <v>1</v>
      </c>
      <c r="I675" s="31">
        <f t="shared" si="371"/>
        <v>0</v>
      </c>
      <c r="J675" s="31">
        <f t="shared" si="362"/>
        <v>0</v>
      </c>
      <c r="K675" s="163">
        <f t="shared" si="363"/>
        <v>0</v>
      </c>
      <c r="L675" s="163">
        <f t="shared" si="372"/>
        <v>0</v>
      </c>
      <c r="M675" s="163">
        <f t="shared" si="389"/>
        <v>0</v>
      </c>
      <c r="N675" s="163">
        <f t="shared" si="373"/>
        <v>0</v>
      </c>
      <c r="O675" s="84">
        <f t="shared" si="364"/>
        <v>0</v>
      </c>
      <c r="P675" s="31">
        <f t="shared" si="365"/>
        <v>0</v>
      </c>
      <c r="R675">
        <f t="shared" ca="1" si="374"/>
        <v>792</v>
      </c>
      <c r="S675" s="133">
        <f t="shared" ca="1" si="375"/>
        <v>132.68</v>
      </c>
      <c r="T675" s="132">
        <f t="shared" ca="1" si="366"/>
        <v>0</v>
      </c>
      <c r="U675" s="133">
        <f t="shared" ca="1" si="382"/>
        <v>1.9008342029825436E-4</v>
      </c>
      <c r="V675" s="31">
        <f t="shared" ca="1" si="376"/>
        <v>0</v>
      </c>
      <c r="W675" s="31">
        <f t="shared" ca="1" si="367"/>
        <v>0</v>
      </c>
      <c r="X675" s="163">
        <f t="shared" ca="1" si="383"/>
        <v>0</v>
      </c>
      <c r="Y675" s="163">
        <f t="shared" ca="1" si="384"/>
        <v>0</v>
      </c>
      <c r="Z675" s="163">
        <f t="shared" ca="1" si="377"/>
        <v>0</v>
      </c>
      <c r="AA675" s="163">
        <f t="shared" ca="1" si="385"/>
        <v>0</v>
      </c>
      <c r="AB675" s="84">
        <f t="shared" ca="1" si="368"/>
        <v>0</v>
      </c>
      <c r="AC675" s="160">
        <f t="shared" si="369"/>
        <v>0</v>
      </c>
      <c r="AD675" s="31">
        <f t="shared" ca="1" si="370"/>
        <v>0</v>
      </c>
      <c r="AF675" s="5"/>
      <c r="AG675" s="5"/>
      <c r="AS675" s="55">
        <f t="shared" si="378"/>
        <v>56</v>
      </c>
      <c r="AT675" s="56">
        <f t="shared" si="386"/>
        <v>672</v>
      </c>
      <c r="AU675" s="57">
        <f t="shared" si="390"/>
        <v>3.7666628125361444E-2</v>
      </c>
      <c r="AV675" s="58">
        <f t="shared" si="379"/>
        <v>4.8675505653430484E-3</v>
      </c>
      <c r="AW675" s="59">
        <f t="shared" si="380"/>
        <v>1.004867550565343</v>
      </c>
      <c r="AX675" s="60">
        <f>PRODUCT(AW$4:AW675)</f>
        <v>26.129340889779638</v>
      </c>
    </row>
    <row r="676" spans="5:50">
      <c r="E676">
        <f t="shared" si="388"/>
        <v>673</v>
      </c>
      <c r="F676" s="9">
        <f t="shared" si="381"/>
        <v>124.99999999999682</v>
      </c>
      <c r="G676" s="132">
        <f t="shared" si="361"/>
        <v>0</v>
      </c>
      <c r="H676" s="133">
        <f t="shared" si="387"/>
        <v>1</v>
      </c>
      <c r="I676" s="31">
        <f t="shared" si="371"/>
        <v>0</v>
      </c>
      <c r="J676" s="31">
        <f t="shared" si="362"/>
        <v>0</v>
      </c>
      <c r="K676" s="163">
        <f t="shared" si="363"/>
        <v>0</v>
      </c>
      <c r="L676" s="163">
        <f t="shared" si="372"/>
        <v>0</v>
      </c>
      <c r="M676" s="163">
        <f t="shared" si="389"/>
        <v>0</v>
      </c>
      <c r="N676" s="163">
        <f t="shared" si="373"/>
        <v>0</v>
      </c>
      <c r="O676" s="84">
        <f t="shared" si="364"/>
        <v>0</v>
      </c>
      <c r="P676" s="31">
        <f t="shared" si="365"/>
        <v>0</v>
      </c>
      <c r="R676">
        <f t="shared" ca="1" si="374"/>
        <v>793</v>
      </c>
      <c r="S676" s="133">
        <f t="shared" ca="1" si="375"/>
        <v>132.76</v>
      </c>
      <c r="T676" s="132">
        <f t="shared" ca="1" si="366"/>
        <v>0</v>
      </c>
      <c r="U676" s="133">
        <f t="shared" ca="1" si="382"/>
        <v>1.9008342029825436E-4</v>
      </c>
      <c r="V676" s="31">
        <f t="shared" ca="1" si="376"/>
        <v>0</v>
      </c>
      <c r="W676" s="31">
        <f t="shared" ca="1" si="367"/>
        <v>0</v>
      </c>
      <c r="X676" s="163">
        <f t="shared" ca="1" si="383"/>
        <v>0</v>
      </c>
      <c r="Y676" s="163">
        <f t="shared" ca="1" si="384"/>
        <v>0</v>
      </c>
      <c r="Z676" s="163">
        <f t="shared" ca="1" si="377"/>
        <v>0</v>
      </c>
      <c r="AA676" s="163">
        <f t="shared" ca="1" si="385"/>
        <v>0</v>
      </c>
      <c r="AB676" s="84">
        <f t="shared" ca="1" si="368"/>
        <v>0</v>
      </c>
      <c r="AC676" s="160">
        <f t="shared" si="369"/>
        <v>0</v>
      </c>
      <c r="AD676" s="31">
        <f t="shared" ca="1" si="370"/>
        <v>0</v>
      </c>
      <c r="AF676" s="5"/>
      <c r="AG676" s="5"/>
      <c r="AS676" s="55">
        <f t="shared" si="378"/>
        <v>57</v>
      </c>
      <c r="AT676" s="56">
        <f t="shared" si="386"/>
        <v>673</v>
      </c>
      <c r="AU676" s="57">
        <f t="shared" si="390"/>
        <v>3.7483283908335274E-2</v>
      </c>
      <c r="AV676" s="58">
        <f t="shared" si="379"/>
        <v>4.8675505653430484E-3</v>
      </c>
      <c r="AW676" s="59">
        <f t="shared" si="380"/>
        <v>1.004867550565343</v>
      </c>
      <c r="AX676" s="60">
        <f>PRODUCT(AW$4:AW676)</f>
        <v>26.256526777799724</v>
      </c>
    </row>
    <row r="677" spans="5:50">
      <c r="E677">
        <f t="shared" si="388"/>
        <v>674</v>
      </c>
      <c r="F677" s="9">
        <f t="shared" si="381"/>
        <v>125.08333333333015</v>
      </c>
      <c r="G677" s="132">
        <f t="shared" si="361"/>
        <v>0</v>
      </c>
      <c r="H677" s="133">
        <f t="shared" si="387"/>
        <v>1</v>
      </c>
      <c r="I677" s="31">
        <f t="shared" si="371"/>
        <v>0</v>
      </c>
      <c r="J677" s="31">
        <f t="shared" si="362"/>
        <v>0</v>
      </c>
      <c r="K677" s="163">
        <f t="shared" si="363"/>
        <v>0</v>
      </c>
      <c r="L677" s="163">
        <f t="shared" si="372"/>
        <v>0</v>
      </c>
      <c r="M677" s="163">
        <f t="shared" si="389"/>
        <v>0</v>
      </c>
      <c r="N677" s="163">
        <f t="shared" si="373"/>
        <v>0</v>
      </c>
      <c r="O677" s="84">
        <f t="shared" si="364"/>
        <v>0</v>
      </c>
      <c r="P677" s="31">
        <f t="shared" si="365"/>
        <v>0</v>
      </c>
      <c r="R677">
        <f t="shared" ca="1" si="374"/>
        <v>794</v>
      </c>
      <c r="S677" s="133">
        <f t="shared" ca="1" si="375"/>
        <v>132.84</v>
      </c>
      <c r="T677" s="132">
        <f t="shared" ca="1" si="366"/>
        <v>0</v>
      </c>
      <c r="U677" s="133">
        <f t="shared" ca="1" si="382"/>
        <v>1.9008342029825436E-4</v>
      </c>
      <c r="V677" s="31">
        <f t="shared" ca="1" si="376"/>
        <v>0</v>
      </c>
      <c r="W677" s="31">
        <f t="shared" ca="1" si="367"/>
        <v>0</v>
      </c>
      <c r="X677" s="163">
        <f t="shared" ca="1" si="383"/>
        <v>0</v>
      </c>
      <c r="Y677" s="163">
        <f t="shared" ca="1" si="384"/>
        <v>0</v>
      </c>
      <c r="Z677" s="163">
        <f t="shared" ca="1" si="377"/>
        <v>0</v>
      </c>
      <c r="AA677" s="163">
        <f t="shared" ca="1" si="385"/>
        <v>0</v>
      </c>
      <c r="AB677" s="84">
        <f t="shared" ca="1" si="368"/>
        <v>0</v>
      </c>
      <c r="AC677" s="160">
        <f t="shared" si="369"/>
        <v>0</v>
      </c>
      <c r="AD677" s="31">
        <f t="shared" ca="1" si="370"/>
        <v>0</v>
      </c>
      <c r="AF677" s="5"/>
      <c r="AG677" s="5"/>
      <c r="AS677" s="55">
        <f t="shared" si="378"/>
        <v>57</v>
      </c>
      <c r="AT677" s="56">
        <f t="shared" si="386"/>
        <v>674</v>
      </c>
      <c r="AU677" s="57">
        <f t="shared" si="390"/>
        <v>3.7300832128556345E-2</v>
      </c>
      <c r="AV677" s="58">
        <f t="shared" si="379"/>
        <v>4.8675505653430484E-3</v>
      </c>
      <c r="AW677" s="59">
        <f t="shared" si="380"/>
        <v>1.004867550565343</v>
      </c>
      <c r="AX677" s="60">
        <f>PRODUCT(AW$4:AW677)</f>
        <v>26.38433174956095</v>
      </c>
    </row>
    <row r="678" spans="5:50">
      <c r="E678">
        <f t="shared" si="388"/>
        <v>675</v>
      </c>
      <c r="F678" s="9">
        <f t="shared" si="381"/>
        <v>125.16666666666347</v>
      </c>
      <c r="G678" s="132">
        <f t="shared" si="361"/>
        <v>0</v>
      </c>
      <c r="H678" s="133">
        <f t="shared" si="387"/>
        <v>1</v>
      </c>
      <c r="I678" s="31">
        <f t="shared" si="371"/>
        <v>0</v>
      </c>
      <c r="J678" s="31">
        <f t="shared" si="362"/>
        <v>0</v>
      </c>
      <c r="K678" s="163">
        <f t="shared" si="363"/>
        <v>0</v>
      </c>
      <c r="L678" s="163">
        <f t="shared" si="372"/>
        <v>0</v>
      </c>
      <c r="M678" s="163">
        <f t="shared" si="389"/>
        <v>0</v>
      </c>
      <c r="N678" s="163">
        <f t="shared" si="373"/>
        <v>0</v>
      </c>
      <c r="O678" s="84">
        <f t="shared" si="364"/>
        <v>0</v>
      </c>
      <c r="P678" s="31">
        <f t="shared" si="365"/>
        <v>0</v>
      </c>
      <c r="R678">
        <f t="shared" ca="1" si="374"/>
        <v>795</v>
      </c>
      <c r="S678" s="133">
        <f t="shared" ca="1" si="375"/>
        <v>132.91999999999999</v>
      </c>
      <c r="T678" s="132">
        <f t="shared" ca="1" si="366"/>
        <v>0</v>
      </c>
      <c r="U678" s="133">
        <f t="shared" ca="1" si="382"/>
        <v>1.9008342029825436E-4</v>
      </c>
      <c r="V678" s="31">
        <f t="shared" ca="1" si="376"/>
        <v>0</v>
      </c>
      <c r="W678" s="31">
        <f t="shared" ca="1" si="367"/>
        <v>0</v>
      </c>
      <c r="X678" s="163">
        <f t="shared" ca="1" si="383"/>
        <v>0</v>
      </c>
      <c r="Y678" s="163">
        <f t="shared" ca="1" si="384"/>
        <v>0</v>
      </c>
      <c r="Z678" s="163">
        <f t="shared" ca="1" si="377"/>
        <v>0</v>
      </c>
      <c r="AA678" s="163">
        <f t="shared" ca="1" si="385"/>
        <v>0</v>
      </c>
      <c r="AB678" s="84">
        <f t="shared" ca="1" si="368"/>
        <v>0</v>
      </c>
      <c r="AC678" s="160">
        <f t="shared" si="369"/>
        <v>0</v>
      </c>
      <c r="AD678" s="31">
        <f t="shared" ca="1" si="370"/>
        <v>0</v>
      </c>
      <c r="AF678" s="5"/>
      <c r="AG678" s="5"/>
      <c r="AS678" s="55">
        <f t="shared" si="378"/>
        <v>57</v>
      </c>
      <c r="AT678" s="56">
        <f t="shared" si="386"/>
        <v>675</v>
      </c>
      <c r="AU678" s="57">
        <f t="shared" si="390"/>
        <v>3.7119268442041227E-2</v>
      </c>
      <c r="AV678" s="58">
        <f t="shared" si="379"/>
        <v>4.8675505653430484E-3</v>
      </c>
      <c r="AW678" s="59">
        <f t="shared" si="380"/>
        <v>1.004867550565343</v>
      </c>
      <c r="AX678" s="60">
        <f>PRODUCT(AW$4:AW678)</f>
        <v>26.512758818484723</v>
      </c>
    </row>
    <row r="679" spans="5:50">
      <c r="E679">
        <f t="shared" si="388"/>
        <v>676</v>
      </c>
      <c r="F679" s="9">
        <f t="shared" si="381"/>
        <v>125.2499999999968</v>
      </c>
      <c r="G679" s="132">
        <f t="shared" si="361"/>
        <v>0</v>
      </c>
      <c r="H679" s="133">
        <f t="shared" si="387"/>
        <v>1</v>
      </c>
      <c r="I679" s="31">
        <f t="shared" si="371"/>
        <v>0</v>
      </c>
      <c r="J679" s="31">
        <f t="shared" si="362"/>
        <v>0</v>
      </c>
      <c r="K679" s="163">
        <f t="shared" si="363"/>
        <v>0</v>
      </c>
      <c r="L679" s="163">
        <f t="shared" si="372"/>
        <v>0</v>
      </c>
      <c r="M679" s="163">
        <f t="shared" si="389"/>
        <v>0</v>
      </c>
      <c r="N679" s="163">
        <f t="shared" si="373"/>
        <v>0</v>
      </c>
      <c r="O679" s="84">
        <f t="shared" si="364"/>
        <v>0</v>
      </c>
      <c r="P679" s="31">
        <f t="shared" si="365"/>
        <v>0</v>
      </c>
      <c r="R679">
        <f t="shared" ca="1" si="374"/>
        <v>796</v>
      </c>
      <c r="S679" s="133">
        <f t="shared" ca="1" si="375"/>
        <v>133</v>
      </c>
      <c r="T679" s="132">
        <f t="shared" ca="1" si="366"/>
        <v>0</v>
      </c>
      <c r="U679" s="133">
        <f t="shared" ca="1" si="382"/>
        <v>1.9008342029825436E-4</v>
      </c>
      <c r="V679" s="31">
        <f t="shared" ca="1" si="376"/>
        <v>0</v>
      </c>
      <c r="W679" s="31">
        <f t="shared" ca="1" si="367"/>
        <v>0</v>
      </c>
      <c r="X679" s="163">
        <f t="shared" ca="1" si="383"/>
        <v>0</v>
      </c>
      <c r="Y679" s="163">
        <f t="shared" ca="1" si="384"/>
        <v>0</v>
      </c>
      <c r="Z679" s="163">
        <f t="shared" ca="1" si="377"/>
        <v>0</v>
      </c>
      <c r="AA679" s="163">
        <f t="shared" ca="1" si="385"/>
        <v>0</v>
      </c>
      <c r="AB679" s="84">
        <f t="shared" ca="1" si="368"/>
        <v>0</v>
      </c>
      <c r="AC679" s="160">
        <f t="shared" si="369"/>
        <v>0</v>
      </c>
      <c r="AD679" s="31">
        <f t="shared" ca="1" si="370"/>
        <v>0</v>
      </c>
      <c r="AF679" s="5"/>
      <c r="AG679" s="5"/>
      <c r="AS679" s="55">
        <f t="shared" si="378"/>
        <v>57</v>
      </c>
      <c r="AT679" s="56">
        <f t="shared" si="386"/>
        <v>676</v>
      </c>
      <c r="AU679" s="57">
        <f t="shared" si="390"/>
        <v>3.6938588525951048E-2</v>
      </c>
      <c r="AV679" s="58">
        <f t="shared" si="379"/>
        <v>4.8675505653430484E-3</v>
      </c>
      <c r="AW679" s="59">
        <f t="shared" si="380"/>
        <v>1.004867550565343</v>
      </c>
      <c r="AX679" s="60">
        <f>PRODUCT(AW$4:AW679)</f>
        <v>26.641811012660444</v>
      </c>
    </row>
    <row r="680" spans="5:50">
      <c r="E680">
        <f t="shared" si="388"/>
        <v>677</v>
      </c>
      <c r="F680" s="9">
        <f t="shared" si="381"/>
        <v>125.33333333333013</v>
      </c>
      <c r="G680" s="132">
        <f t="shared" si="361"/>
        <v>0</v>
      </c>
      <c r="H680" s="133">
        <f t="shared" si="387"/>
        <v>1</v>
      </c>
      <c r="I680" s="31">
        <f t="shared" si="371"/>
        <v>0</v>
      </c>
      <c r="J680" s="31">
        <f t="shared" si="362"/>
        <v>0</v>
      </c>
      <c r="K680" s="163">
        <f t="shared" si="363"/>
        <v>0</v>
      </c>
      <c r="L680" s="163">
        <f t="shared" si="372"/>
        <v>0</v>
      </c>
      <c r="M680" s="163">
        <f t="shared" si="389"/>
        <v>0</v>
      </c>
      <c r="N680" s="163">
        <f t="shared" si="373"/>
        <v>0</v>
      </c>
      <c r="O680" s="84">
        <f t="shared" si="364"/>
        <v>0</v>
      </c>
      <c r="P680" s="31">
        <f t="shared" si="365"/>
        <v>0</v>
      </c>
      <c r="R680">
        <f t="shared" ca="1" si="374"/>
        <v>797</v>
      </c>
      <c r="S680" s="133">
        <f t="shared" ca="1" si="375"/>
        <v>133.08000000000001</v>
      </c>
      <c r="T680" s="132">
        <f t="shared" ca="1" si="366"/>
        <v>0</v>
      </c>
      <c r="U680" s="133">
        <f t="shared" ca="1" si="382"/>
        <v>1.9008342029825436E-4</v>
      </c>
      <c r="V680" s="31">
        <f t="shared" ca="1" si="376"/>
        <v>0</v>
      </c>
      <c r="W680" s="31">
        <f t="shared" ca="1" si="367"/>
        <v>0</v>
      </c>
      <c r="X680" s="163">
        <f t="shared" ca="1" si="383"/>
        <v>0</v>
      </c>
      <c r="Y680" s="163">
        <f t="shared" ca="1" si="384"/>
        <v>0</v>
      </c>
      <c r="Z680" s="163">
        <f t="shared" ca="1" si="377"/>
        <v>0</v>
      </c>
      <c r="AA680" s="163">
        <f t="shared" ca="1" si="385"/>
        <v>0</v>
      </c>
      <c r="AB680" s="84">
        <f t="shared" ca="1" si="368"/>
        <v>0</v>
      </c>
      <c r="AC680" s="160">
        <f t="shared" si="369"/>
        <v>0</v>
      </c>
      <c r="AD680" s="31">
        <f t="shared" ca="1" si="370"/>
        <v>0</v>
      </c>
      <c r="AF680" s="5"/>
      <c r="AG680" s="5"/>
      <c r="AS680" s="55">
        <f t="shared" si="378"/>
        <v>57</v>
      </c>
      <c r="AT680" s="56">
        <f t="shared" si="386"/>
        <v>677</v>
      </c>
      <c r="AU680" s="57">
        <f t="shared" si="390"/>
        <v>3.6758788078488577E-2</v>
      </c>
      <c r="AV680" s="58">
        <f t="shared" si="379"/>
        <v>4.8675505653430484E-3</v>
      </c>
      <c r="AW680" s="59">
        <f t="shared" si="380"/>
        <v>1.004867550565343</v>
      </c>
      <c r="AX680" s="60">
        <f>PRODUCT(AW$4:AW680)</f>
        <v>26.771491374916881</v>
      </c>
    </row>
    <row r="681" spans="5:50">
      <c r="E681">
        <f t="shared" si="388"/>
        <v>678</v>
      </c>
      <c r="F681" s="9">
        <f t="shared" si="381"/>
        <v>125.41666666666346</v>
      </c>
      <c r="G681" s="132">
        <f t="shared" si="361"/>
        <v>0</v>
      </c>
      <c r="H681" s="133">
        <f t="shared" si="387"/>
        <v>1</v>
      </c>
      <c r="I681" s="31">
        <f t="shared" si="371"/>
        <v>0</v>
      </c>
      <c r="J681" s="31">
        <f t="shared" si="362"/>
        <v>0</v>
      </c>
      <c r="K681" s="163">
        <f t="shared" si="363"/>
        <v>0</v>
      </c>
      <c r="L681" s="163">
        <f t="shared" si="372"/>
        <v>0</v>
      </c>
      <c r="M681" s="163">
        <f t="shared" si="389"/>
        <v>0</v>
      </c>
      <c r="N681" s="163">
        <f t="shared" si="373"/>
        <v>0</v>
      </c>
      <c r="O681" s="84">
        <f t="shared" si="364"/>
        <v>0</v>
      </c>
      <c r="P681" s="31">
        <f t="shared" si="365"/>
        <v>0</v>
      </c>
      <c r="R681">
        <f t="shared" ca="1" si="374"/>
        <v>798</v>
      </c>
      <c r="S681" s="133">
        <f t="shared" ca="1" si="375"/>
        <v>133.16</v>
      </c>
      <c r="T681" s="132">
        <f t="shared" ca="1" si="366"/>
        <v>0</v>
      </c>
      <c r="U681" s="133">
        <f t="shared" ca="1" si="382"/>
        <v>1.9008342029825436E-4</v>
      </c>
      <c r="V681" s="31">
        <f t="shared" ca="1" si="376"/>
        <v>0</v>
      </c>
      <c r="W681" s="31">
        <f t="shared" ca="1" si="367"/>
        <v>0</v>
      </c>
      <c r="X681" s="163">
        <f t="shared" ca="1" si="383"/>
        <v>0</v>
      </c>
      <c r="Y681" s="163">
        <f t="shared" ca="1" si="384"/>
        <v>0</v>
      </c>
      <c r="Z681" s="163">
        <f t="shared" ca="1" si="377"/>
        <v>0</v>
      </c>
      <c r="AA681" s="163">
        <f t="shared" ca="1" si="385"/>
        <v>0</v>
      </c>
      <c r="AB681" s="84">
        <f t="shared" ca="1" si="368"/>
        <v>0</v>
      </c>
      <c r="AC681" s="160">
        <f t="shared" si="369"/>
        <v>0</v>
      </c>
      <c r="AD681" s="31">
        <f t="shared" ca="1" si="370"/>
        <v>0</v>
      </c>
      <c r="AF681" s="5"/>
      <c r="AG681" s="5"/>
      <c r="AS681" s="55">
        <f t="shared" si="378"/>
        <v>57</v>
      </c>
      <c r="AT681" s="56">
        <f t="shared" si="386"/>
        <v>678</v>
      </c>
      <c r="AU681" s="57">
        <f t="shared" si="390"/>
        <v>3.6579862818795807E-2</v>
      </c>
      <c r="AV681" s="58">
        <f t="shared" si="379"/>
        <v>4.8675505653430484E-3</v>
      </c>
      <c r="AW681" s="59">
        <f t="shared" si="380"/>
        <v>1.004867550565343</v>
      </c>
      <c r="AX681" s="60">
        <f>PRODUCT(AW$4:AW681)</f>
        <v>26.901802962893935</v>
      </c>
    </row>
    <row r="682" spans="5:50">
      <c r="E682">
        <f t="shared" si="388"/>
        <v>679</v>
      </c>
      <c r="F682" s="9">
        <f t="shared" si="381"/>
        <v>125.49999999999679</v>
      </c>
      <c r="G682" s="132">
        <f t="shared" si="361"/>
        <v>0</v>
      </c>
      <c r="H682" s="133">
        <f t="shared" si="387"/>
        <v>1</v>
      </c>
      <c r="I682" s="31">
        <f t="shared" si="371"/>
        <v>0</v>
      </c>
      <c r="J682" s="31">
        <f t="shared" si="362"/>
        <v>0</v>
      </c>
      <c r="K682" s="163">
        <f t="shared" si="363"/>
        <v>0</v>
      </c>
      <c r="L682" s="163">
        <f t="shared" si="372"/>
        <v>0</v>
      </c>
      <c r="M682" s="163">
        <f t="shared" si="389"/>
        <v>0</v>
      </c>
      <c r="N682" s="163">
        <f t="shared" si="373"/>
        <v>0</v>
      </c>
      <c r="O682" s="84">
        <f t="shared" si="364"/>
        <v>0</v>
      </c>
      <c r="P682" s="31">
        <f t="shared" si="365"/>
        <v>0</v>
      </c>
      <c r="R682">
        <f t="shared" ca="1" si="374"/>
        <v>799</v>
      </c>
      <c r="S682" s="133">
        <f t="shared" ca="1" si="375"/>
        <v>133.24</v>
      </c>
      <c r="T682" s="132">
        <f t="shared" ca="1" si="366"/>
        <v>0</v>
      </c>
      <c r="U682" s="133">
        <f t="shared" ca="1" si="382"/>
        <v>1.9008342029825436E-4</v>
      </c>
      <c r="V682" s="31">
        <f t="shared" ca="1" si="376"/>
        <v>0</v>
      </c>
      <c r="W682" s="31">
        <f t="shared" ca="1" si="367"/>
        <v>0</v>
      </c>
      <c r="X682" s="163">
        <f t="shared" ca="1" si="383"/>
        <v>0</v>
      </c>
      <c r="Y682" s="163">
        <f t="shared" ca="1" si="384"/>
        <v>0</v>
      </c>
      <c r="Z682" s="163">
        <f t="shared" ca="1" si="377"/>
        <v>0</v>
      </c>
      <c r="AA682" s="163">
        <f t="shared" ca="1" si="385"/>
        <v>0</v>
      </c>
      <c r="AB682" s="84">
        <f t="shared" ca="1" si="368"/>
        <v>0</v>
      </c>
      <c r="AC682" s="160">
        <f t="shared" si="369"/>
        <v>0</v>
      </c>
      <c r="AD682" s="31">
        <f t="shared" ca="1" si="370"/>
        <v>0</v>
      </c>
      <c r="AF682" s="5"/>
      <c r="AG682" s="5"/>
      <c r="AS682" s="55">
        <f t="shared" si="378"/>
        <v>57</v>
      </c>
      <c r="AT682" s="56">
        <f t="shared" si="386"/>
        <v>679</v>
      </c>
      <c r="AU682" s="57">
        <f t="shared" si="390"/>
        <v>3.6401808486852004E-2</v>
      </c>
      <c r="AV682" s="58">
        <f t="shared" si="379"/>
        <v>4.8675505653430484E-3</v>
      </c>
      <c r="AW682" s="59">
        <f t="shared" si="380"/>
        <v>1.004867550565343</v>
      </c>
      <c r="AX682" s="60">
        <f>PRODUCT(AW$4:AW682)</f>
        <v>27.032748849114718</v>
      </c>
    </row>
    <row r="683" spans="5:50">
      <c r="E683">
        <f t="shared" si="388"/>
        <v>680</v>
      </c>
      <c r="F683" s="9">
        <f t="shared" si="381"/>
        <v>125.58333333333012</v>
      </c>
      <c r="G683" s="132">
        <f t="shared" si="361"/>
        <v>0</v>
      </c>
      <c r="H683" s="133">
        <f t="shared" si="387"/>
        <v>1</v>
      </c>
      <c r="I683" s="31">
        <f t="shared" si="371"/>
        <v>0</v>
      </c>
      <c r="J683" s="31">
        <f t="shared" si="362"/>
        <v>0</v>
      </c>
      <c r="K683" s="163">
        <f t="shared" si="363"/>
        <v>0</v>
      </c>
      <c r="L683" s="163">
        <f t="shared" si="372"/>
        <v>0</v>
      </c>
      <c r="M683" s="163">
        <f t="shared" si="389"/>
        <v>0</v>
      </c>
      <c r="N683" s="163">
        <f t="shared" si="373"/>
        <v>0</v>
      </c>
      <c r="O683" s="84">
        <f t="shared" si="364"/>
        <v>0</v>
      </c>
      <c r="P683" s="31">
        <f t="shared" si="365"/>
        <v>0</v>
      </c>
      <c r="R683">
        <f t="shared" ca="1" si="374"/>
        <v>800</v>
      </c>
      <c r="S683" s="133">
        <f t="shared" ca="1" si="375"/>
        <v>133.32</v>
      </c>
      <c r="T683" s="132">
        <f t="shared" ca="1" si="366"/>
        <v>0</v>
      </c>
      <c r="U683" s="133">
        <f t="shared" ca="1" si="382"/>
        <v>1.9008342029825436E-4</v>
      </c>
      <c r="V683" s="31">
        <f t="shared" ca="1" si="376"/>
        <v>0</v>
      </c>
      <c r="W683" s="31">
        <f t="shared" ca="1" si="367"/>
        <v>0</v>
      </c>
      <c r="X683" s="163">
        <f t="shared" ca="1" si="383"/>
        <v>0</v>
      </c>
      <c r="Y683" s="163">
        <f t="shared" ca="1" si="384"/>
        <v>0</v>
      </c>
      <c r="Z683" s="163">
        <f t="shared" ca="1" si="377"/>
        <v>0</v>
      </c>
      <c r="AA683" s="163">
        <f t="shared" ca="1" si="385"/>
        <v>0</v>
      </c>
      <c r="AB683" s="84">
        <f t="shared" ca="1" si="368"/>
        <v>0</v>
      </c>
      <c r="AC683" s="160">
        <f t="shared" si="369"/>
        <v>0</v>
      </c>
      <c r="AD683" s="31">
        <f t="shared" ca="1" si="370"/>
        <v>0</v>
      </c>
      <c r="AF683" s="5"/>
      <c r="AG683" s="5"/>
      <c r="AS683" s="55">
        <f t="shared" si="378"/>
        <v>57</v>
      </c>
      <c r="AT683" s="56">
        <f t="shared" si="386"/>
        <v>680</v>
      </c>
      <c r="AU683" s="57">
        <f t="shared" si="390"/>
        <v>3.6224620843372315E-2</v>
      </c>
      <c r="AV683" s="58">
        <f t="shared" si="379"/>
        <v>4.8675505653430484E-3</v>
      </c>
      <c r="AW683" s="59">
        <f t="shared" si="380"/>
        <v>1.004867550565343</v>
      </c>
      <c r="AX683" s="60">
        <f>PRODUCT(AW$4:AW683)</f>
        <v>27.164332121058003</v>
      </c>
    </row>
    <row r="684" spans="5:50">
      <c r="E684">
        <f t="shared" si="388"/>
        <v>681</v>
      </c>
      <c r="F684" s="9">
        <f t="shared" si="381"/>
        <v>125.66666666666345</v>
      </c>
      <c r="G684" s="132">
        <f t="shared" si="361"/>
        <v>0</v>
      </c>
      <c r="H684" s="133">
        <f t="shared" si="387"/>
        <v>1</v>
      </c>
      <c r="I684" s="31">
        <f t="shared" si="371"/>
        <v>0</v>
      </c>
      <c r="J684" s="31">
        <f t="shared" si="362"/>
        <v>0</v>
      </c>
      <c r="K684" s="163">
        <f t="shared" si="363"/>
        <v>0</v>
      </c>
      <c r="L684" s="163">
        <f t="shared" si="372"/>
        <v>0</v>
      </c>
      <c r="M684" s="163">
        <f t="shared" si="389"/>
        <v>0</v>
      </c>
      <c r="N684" s="163">
        <f t="shared" si="373"/>
        <v>0</v>
      </c>
      <c r="O684" s="84">
        <f t="shared" si="364"/>
        <v>0</v>
      </c>
      <c r="P684" s="31">
        <f t="shared" si="365"/>
        <v>0</v>
      </c>
      <c r="R684">
        <f t="shared" ca="1" si="374"/>
        <v>801</v>
      </c>
      <c r="S684" s="133">
        <f t="shared" ca="1" si="375"/>
        <v>133.4</v>
      </c>
      <c r="T684" s="132">
        <f t="shared" ca="1" si="366"/>
        <v>0</v>
      </c>
      <c r="U684" s="133">
        <f t="shared" ca="1" si="382"/>
        <v>1.9008342029825436E-4</v>
      </c>
      <c r="V684" s="31">
        <f t="shared" ca="1" si="376"/>
        <v>0</v>
      </c>
      <c r="W684" s="31">
        <f t="shared" ca="1" si="367"/>
        <v>0</v>
      </c>
      <c r="X684" s="163">
        <f t="shared" ca="1" si="383"/>
        <v>0</v>
      </c>
      <c r="Y684" s="163">
        <f t="shared" ca="1" si="384"/>
        <v>0</v>
      </c>
      <c r="Z684" s="163">
        <f t="shared" ca="1" si="377"/>
        <v>0</v>
      </c>
      <c r="AA684" s="163">
        <f t="shared" ca="1" si="385"/>
        <v>0</v>
      </c>
      <c r="AB684" s="84">
        <f t="shared" ca="1" si="368"/>
        <v>0</v>
      </c>
      <c r="AC684" s="160">
        <f t="shared" si="369"/>
        <v>0</v>
      </c>
      <c r="AD684" s="31">
        <f t="shared" ca="1" si="370"/>
        <v>0</v>
      </c>
      <c r="AF684" s="5"/>
      <c r="AG684" s="5"/>
      <c r="AS684" s="55">
        <f t="shared" si="378"/>
        <v>57</v>
      </c>
      <c r="AT684" s="56">
        <f t="shared" si="386"/>
        <v>681</v>
      </c>
      <c r="AU684" s="57">
        <f t="shared" si="390"/>
        <v>3.6048295669706819E-2</v>
      </c>
      <c r="AV684" s="58">
        <f t="shared" si="379"/>
        <v>4.8675505653430484E-3</v>
      </c>
      <c r="AW684" s="59">
        <f t="shared" si="380"/>
        <v>1.004867550565343</v>
      </c>
      <c r="AX684" s="60">
        <f>PRODUCT(AW$4:AW684)</f>
        <v>27.296555881231026</v>
      </c>
    </row>
    <row r="685" spans="5:50">
      <c r="E685">
        <f t="shared" si="388"/>
        <v>682</v>
      </c>
      <c r="F685" s="9">
        <f t="shared" si="381"/>
        <v>125.74999999999677</v>
      </c>
      <c r="G685" s="132">
        <f t="shared" si="361"/>
        <v>0</v>
      </c>
      <c r="H685" s="133">
        <f t="shared" si="387"/>
        <v>1</v>
      </c>
      <c r="I685" s="31">
        <f t="shared" si="371"/>
        <v>0</v>
      </c>
      <c r="J685" s="31">
        <f t="shared" si="362"/>
        <v>0</v>
      </c>
      <c r="K685" s="163">
        <f t="shared" si="363"/>
        <v>0</v>
      </c>
      <c r="L685" s="163">
        <f t="shared" si="372"/>
        <v>0</v>
      </c>
      <c r="M685" s="163">
        <f t="shared" si="389"/>
        <v>0</v>
      </c>
      <c r="N685" s="163">
        <f t="shared" si="373"/>
        <v>0</v>
      </c>
      <c r="O685" s="84">
        <f t="shared" si="364"/>
        <v>0</v>
      </c>
      <c r="P685" s="31">
        <f t="shared" si="365"/>
        <v>0</v>
      </c>
      <c r="R685">
        <f t="shared" ca="1" si="374"/>
        <v>802</v>
      </c>
      <c r="S685" s="133">
        <f t="shared" ca="1" si="375"/>
        <v>133.47999999999999</v>
      </c>
      <c r="T685" s="132">
        <f t="shared" ca="1" si="366"/>
        <v>0</v>
      </c>
      <c r="U685" s="133">
        <f t="shared" ca="1" si="382"/>
        <v>1.9008342029825436E-4</v>
      </c>
      <c r="V685" s="31">
        <f t="shared" ca="1" si="376"/>
        <v>0</v>
      </c>
      <c r="W685" s="31">
        <f t="shared" ca="1" si="367"/>
        <v>0</v>
      </c>
      <c r="X685" s="163">
        <f t="shared" ca="1" si="383"/>
        <v>0</v>
      </c>
      <c r="Y685" s="163">
        <f t="shared" ca="1" si="384"/>
        <v>0</v>
      </c>
      <c r="Z685" s="163">
        <f t="shared" ca="1" si="377"/>
        <v>0</v>
      </c>
      <c r="AA685" s="163">
        <f t="shared" ca="1" si="385"/>
        <v>0</v>
      </c>
      <c r="AB685" s="84">
        <f t="shared" ca="1" si="368"/>
        <v>0</v>
      </c>
      <c r="AC685" s="160">
        <f t="shared" si="369"/>
        <v>0</v>
      </c>
      <c r="AD685" s="31">
        <f t="shared" ca="1" si="370"/>
        <v>0</v>
      </c>
      <c r="AF685" s="5"/>
      <c r="AG685" s="5"/>
      <c r="AS685" s="55">
        <f t="shared" si="378"/>
        <v>57</v>
      </c>
      <c r="AT685" s="56">
        <f t="shared" si="386"/>
        <v>682</v>
      </c>
      <c r="AU685" s="57">
        <f t="shared" si="390"/>
        <v>3.5872828767740082E-2</v>
      </c>
      <c r="AV685" s="58">
        <f t="shared" si="379"/>
        <v>4.8675505653430484E-3</v>
      </c>
      <c r="AW685" s="59">
        <f t="shared" si="380"/>
        <v>1.004867550565343</v>
      </c>
      <c r="AX685" s="60">
        <f>PRODUCT(AW$4:AW685)</f>
        <v>27.429423247242628</v>
      </c>
    </row>
    <row r="686" spans="5:50">
      <c r="E686">
        <f t="shared" si="388"/>
        <v>683</v>
      </c>
      <c r="F686" s="9">
        <f t="shared" si="381"/>
        <v>125.8333333333301</v>
      </c>
      <c r="G686" s="132">
        <f t="shared" si="361"/>
        <v>0</v>
      </c>
      <c r="H686" s="133">
        <f t="shared" si="387"/>
        <v>1</v>
      </c>
      <c r="I686" s="31">
        <f t="shared" si="371"/>
        <v>0</v>
      </c>
      <c r="J686" s="31">
        <f t="shared" si="362"/>
        <v>0</v>
      </c>
      <c r="K686" s="163">
        <f t="shared" si="363"/>
        <v>0</v>
      </c>
      <c r="L686" s="163">
        <f t="shared" si="372"/>
        <v>0</v>
      </c>
      <c r="M686" s="163">
        <f t="shared" si="389"/>
        <v>0</v>
      </c>
      <c r="N686" s="163">
        <f t="shared" si="373"/>
        <v>0</v>
      </c>
      <c r="O686" s="84">
        <f t="shared" si="364"/>
        <v>0</v>
      </c>
      <c r="P686" s="31">
        <f t="shared" si="365"/>
        <v>0</v>
      </c>
      <c r="R686">
        <f t="shared" ca="1" si="374"/>
        <v>803</v>
      </c>
      <c r="S686" s="133">
        <f t="shared" ca="1" si="375"/>
        <v>133.56</v>
      </c>
      <c r="T686" s="132">
        <f t="shared" ca="1" si="366"/>
        <v>0</v>
      </c>
      <c r="U686" s="133">
        <f t="shared" ca="1" si="382"/>
        <v>1.9008342029825436E-4</v>
      </c>
      <c r="V686" s="31">
        <f t="shared" ca="1" si="376"/>
        <v>0</v>
      </c>
      <c r="W686" s="31">
        <f t="shared" ca="1" si="367"/>
        <v>0</v>
      </c>
      <c r="X686" s="163">
        <f t="shared" ca="1" si="383"/>
        <v>0</v>
      </c>
      <c r="Y686" s="163">
        <f t="shared" ca="1" si="384"/>
        <v>0</v>
      </c>
      <c r="Z686" s="163">
        <f t="shared" ca="1" si="377"/>
        <v>0</v>
      </c>
      <c r="AA686" s="163">
        <f t="shared" ca="1" si="385"/>
        <v>0</v>
      </c>
      <c r="AB686" s="84">
        <f t="shared" ca="1" si="368"/>
        <v>0</v>
      </c>
      <c r="AC686" s="160">
        <f t="shared" si="369"/>
        <v>0</v>
      </c>
      <c r="AD686" s="31">
        <f t="shared" ca="1" si="370"/>
        <v>0</v>
      </c>
      <c r="AF686" s="5"/>
      <c r="AG686" s="5"/>
      <c r="AS686" s="55">
        <f t="shared" si="378"/>
        <v>57</v>
      </c>
      <c r="AT686" s="56">
        <f t="shared" si="386"/>
        <v>683</v>
      </c>
      <c r="AU686" s="57">
        <f t="shared" si="390"/>
        <v>3.5698215959791217E-2</v>
      </c>
      <c r="AV686" s="58">
        <f t="shared" si="379"/>
        <v>4.8675505653430484E-3</v>
      </c>
      <c r="AW686" s="59">
        <f t="shared" si="380"/>
        <v>1.004867550565343</v>
      </c>
      <c r="AX686" s="60">
        <f>PRODUCT(AW$4:AW686)</f>
        <v>27.562937351876776</v>
      </c>
    </row>
    <row r="687" spans="5:50">
      <c r="E687">
        <f t="shared" si="388"/>
        <v>684</v>
      </c>
      <c r="F687" s="9">
        <f t="shared" si="381"/>
        <v>125.91666666666343</v>
      </c>
      <c r="G687" s="132">
        <f t="shared" si="361"/>
        <v>0</v>
      </c>
      <c r="H687" s="133">
        <f t="shared" si="387"/>
        <v>1</v>
      </c>
      <c r="I687" s="31">
        <f t="shared" si="371"/>
        <v>0</v>
      </c>
      <c r="J687" s="31">
        <f t="shared" si="362"/>
        <v>0</v>
      </c>
      <c r="K687" s="163">
        <f t="shared" si="363"/>
        <v>0</v>
      </c>
      <c r="L687" s="163">
        <f t="shared" si="372"/>
        <v>0</v>
      </c>
      <c r="M687" s="163">
        <f t="shared" si="389"/>
        <v>0</v>
      </c>
      <c r="N687" s="163">
        <f t="shared" si="373"/>
        <v>0</v>
      </c>
      <c r="O687" s="84">
        <f t="shared" si="364"/>
        <v>0</v>
      </c>
      <c r="P687" s="31">
        <f t="shared" si="365"/>
        <v>0</v>
      </c>
      <c r="R687">
        <f t="shared" ca="1" si="374"/>
        <v>804</v>
      </c>
      <c r="S687" s="133">
        <f t="shared" ca="1" si="375"/>
        <v>133.63999999999999</v>
      </c>
      <c r="T687" s="132">
        <f t="shared" ca="1" si="366"/>
        <v>0</v>
      </c>
      <c r="U687" s="133">
        <f t="shared" ca="1" si="382"/>
        <v>1.9008342029825436E-4</v>
      </c>
      <c r="V687" s="31">
        <f t="shared" ca="1" si="376"/>
        <v>0</v>
      </c>
      <c r="W687" s="31">
        <f t="shared" ca="1" si="367"/>
        <v>0</v>
      </c>
      <c r="X687" s="163">
        <f t="shared" ca="1" si="383"/>
        <v>0</v>
      </c>
      <c r="Y687" s="163">
        <f t="shared" ca="1" si="384"/>
        <v>0</v>
      </c>
      <c r="Z687" s="163">
        <f t="shared" ca="1" si="377"/>
        <v>0</v>
      </c>
      <c r="AA687" s="163">
        <f t="shared" ca="1" si="385"/>
        <v>0</v>
      </c>
      <c r="AB687" s="84">
        <f t="shared" ca="1" si="368"/>
        <v>0</v>
      </c>
      <c r="AC687" s="160">
        <f t="shared" si="369"/>
        <v>0</v>
      </c>
      <c r="AD687" s="31">
        <f t="shared" ca="1" si="370"/>
        <v>0</v>
      </c>
      <c r="AF687" s="5"/>
      <c r="AG687" s="5"/>
      <c r="AS687" s="55">
        <f t="shared" si="378"/>
        <v>57</v>
      </c>
      <c r="AT687" s="56">
        <f t="shared" si="386"/>
        <v>684</v>
      </c>
      <c r="AU687" s="57">
        <f t="shared" si="390"/>
        <v>3.5524453088514395E-2</v>
      </c>
      <c r="AV687" s="58">
        <f t="shared" si="379"/>
        <v>4.8675505653430484E-3</v>
      </c>
      <c r="AW687" s="59">
        <f t="shared" si="380"/>
        <v>1.004867550565343</v>
      </c>
      <c r="AX687" s="60">
        <f>PRODUCT(AW$4:AW687)</f>
        <v>27.69710134316642</v>
      </c>
    </row>
    <row r="688" spans="5:50">
      <c r="E688">
        <f t="shared" si="388"/>
        <v>685</v>
      </c>
      <c r="F688" s="9">
        <f t="shared" si="381"/>
        <v>125.99999999999676</v>
      </c>
      <c r="G688" s="132">
        <f t="shared" si="361"/>
        <v>0</v>
      </c>
      <c r="H688" s="133">
        <f t="shared" si="387"/>
        <v>1</v>
      </c>
      <c r="I688" s="31">
        <f t="shared" si="371"/>
        <v>0</v>
      </c>
      <c r="J688" s="31">
        <f t="shared" si="362"/>
        <v>0</v>
      </c>
      <c r="K688" s="163">
        <f t="shared" si="363"/>
        <v>0</v>
      </c>
      <c r="L688" s="163">
        <f t="shared" si="372"/>
        <v>0</v>
      </c>
      <c r="M688" s="163">
        <f t="shared" si="389"/>
        <v>0</v>
      </c>
      <c r="N688" s="163">
        <f t="shared" si="373"/>
        <v>0</v>
      </c>
      <c r="O688" s="84">
        <f t="shared" si="364"/>
        <v>0</v>
      </c>
      <c r="P688" s="31">
        <f t="shared" si="365"/>
        <v>0</v>
      </c>
      <c r="R688">
        <f t="shared" ca="1" si="374"/>
        <v>805</v>
      </c>
      <c r="S688" s="133">
        <f t="shared" ca="1" si="375"/>
        <v>133.72</v>
      </c>
      <c r="T688" s="132">
        <f t="shared" ca="1" si="366"/>
        <v>0</v>
      </c>
      <c r="U688" s="133">
        <f t="shared" ca="1" si="382"/>
        <v>1.9008342029825436E-4</v>
      </c>
      <c r="V688" s="31">
        <f t="shared" ca="1" si="376"/>
        <v>0</v>
      </c>
      <c r="W688" s="31">
        <f t="shared" ca="1" si="367"/>
        <v>0</v>
      </c>
      <c r="X688" s="163">
        <f t="shared" ca="1" si="383"/>
        <v>0</v>
      </c>
      <c r="Y688" s="163">
        <f t="shared" ca="1" si="384"/>
        <v>0</v>
      </c>
      <c r="Z688" s="163">
        <f t="shared" ca="1" si="377"/>
        <v>0</v>
      </c>
      <c r="AA688" s="163">
        <f t="shared" ca="1" si="385"/>
        <v>0</v>
      </c>
      <c r="AB688" s="84">
        <f t="shared" ca="1" si="368"/>
        <v>0</v>
      </c>
      <c r="AC688" s="160">
        <f t="shared" si="369"/>
        <v>0</v>
      </c>
      <c r="AD688" s="31">
        <f t="shared" ca="1" si="370"/>
        <v>0</v>
      </c>
      <c r="AF688" s="5"/>
      <c r="AG688" s="5"/>
      <c r="AS688" s="55">
        <f t="shared" si="378"/>
        <v>58</v>
      </c>
      <c r="AT688" s="56">
        <f t="shared" si="386"/>
        <v>685</v>
      </c>
      <c r="AU688" s="57">
        <f t="shared" si="390"/>
        <v>3.5351536016799891E-2</v>
      </c>
      <c r="AV688" s="58">
        <f t="shared" si="379"/>
        <v>4.8675505653430484E-3</v>
      </c>
      <c r="AW688" s="59">
        <f t="shared" si="380"/>
        <v>1.004867550565343</v>
      </c>
      <c r="AX688" s="60">
        <f>PRODUCT(AW$4:AW688)</f>
        <v>27.831918384467713</v>
      </c>
    </row>
    <row r="689" spans="5:50">
      <c r="E689">
        <f t="shared" si="388"/>
        <v>686</v>
      </c>
      <c r="F689" s="9">
        <f t="shared" si="381"/>
        <v>126.08333333333009</v>
      </c>
      <c r="G689" s="132">
        <f t="shared" si="361"/>
        <v>0</v>
      </c>
      <c r="H689" s="133">
        <f t="shared" si="387"/>
        <v>1</v>
      </c>
      <c r="I689" s="31">
        <f t="shared" si="371"/>
        <v>0</v>
      </c>
      <c r="J689" s="31">
        <f t="shared" si="362"/>
        <v>0</v>
      </c>
      <c r="K689" s="163">
        <f t="shared" si="363"/>
        <v>0</v>
      </c>
      <c r="L689" s="163">
        <f t="shared" si="372"/>
        <v>0</v>
      </c>
      <c r="M689" s="163">
        <f t="shared" si="389"/>
        <v>0</v>
      </c>
      <c r="N689" s="163">
        <f t="shared" si="373"/>
        <v>0</v>
      </c>
      <c r="O689" s="84">
        <f t="shared" si="364"/>
        <v>0</v>
      </c>
      <c r="P689" s="31">
        <f t="shared" si="365"/>
        <v>0</v>
      </c>
      <c r="R689">
        <f t="shared" ca="1" si="374"/>
        <v>806</v>
      </c>
      <c r="S689" s="133">
        <f t="shared" ca="1" si="375"/>
        <v>133.80000000000001</v>
      </c>
      <c r="T689" s="132">
        <f t="shared" ca="1" si="366"/>
        <v>0</v>
      </c>
      <c r="U689" s="133">
        <f t="shared" ca="1" si="382"/>
        <v>1.9008342029825436E-4</v>
      </c>
      <c r="V689" s="31">
        <f t="shared" ca="1" si="376"/>
        <v>0</v>
      </c>
      <c r="W689" s="31">
        <f t="shared" ca="1" si="367"/>
        <v>0</v>
      </c>
      <c r="X689" s="163">
        <f t="shared" ca="1" si="383"/>
        <v>0</v>
      </c>
      <c r="Y689" s="163">
        <f t="shared" ca="1" si="384"/>
        <v>0</v>
      </c>
      <c r="Z689" s="163">
        <f t="shared" ca="1" si="377"/>
        <v>0</v>
      </c>
      <c r="AA689" s="163">
        <f t="shared" ca="1" si="385"/>
        <v>0</v>
      </c>
      <c r="AB689" s="84">
        <f t="shared" ca="1" si="368"/>
        <v>0</v>
      </c>
      <c r="AC689" s="160">
        <f t="shared" si="369"/>
        <v>0</v>
      </c>
      <c r="AD689" s="31">
        <f t="shared" ca="1" si="370"/>
        <v>0</v>
      </c>
      <c r="AF689" s="5"/>
      <c r="AG689" s="5"/>
      <c r="AS689" s="55">
        <f t="shared" si="378"/>
        <v>58</v>
      </c>
      <c r="AT689" s="56">
        <f t="shared" si="386"/>
        <v>686</v>
      </c>
      <c r="AU689" s="57">
        <f t="shared" si="390"/>
        <v>3.5179460627675574E-2</v>
      </c>
      <c r="AV689" s="58">
        <f t="shared" si="379"/>
        <v>4.8675505653430484E-3</v>
      </c>
      <c r="AW689" s="59">
        <f t="shared" si="380"/>
        <v>1.004867550565343</v>
      </c>
      <c r="AX689" s="60">
        <f>PRODUCT(AW$4:AW689)</f>
        <v>27.967391654534609</v>
      </c>
    </row>
    <row r="690" spans="5:50">
      <c r="E690">
        <f t="shared" si="388"/>
        <v>687</v>
      </c>
      <c r="F690" s="9">
        <f t="shared" si="381"/>
        <v>126.16666666666342</v>
      </c>
      <c r="G690" s="132">
        <f t="shared" si="361"/>
        <v>0</v>
      </c>
      <c r="H690" s="133">
        <f t="shared" si="387"/>
        <v>1</v>
      </c>
      <c r="I690" s="31">
        <f t="shared" si="371"/>
        <v>0</v>
      </c>
      <c r="J690" s="31">
        <f t="shared" si="362"/>
        <v>0</v>
      </c>
      <c r="K690" s="163">
        <f t="shared" si="363"/>
        <v>0</v>
      </c>
      <c r="L690" s="163">
        <f t="shared" si="372"/>
        <v>0</v>
      </c>
      <c r="M690" s="163">
        <f t="shared" si="389"/>
        <v>0</v>
      </c>
      <c r="N690" s="163">
        <f t="shared" si="373"/>
        <v>0</v>
      </c>
      <c r="O690" s="84">
        <f t="shared" si="364"/>
        <v>0</v>
      </c>
      <c r="P690" s="31">
        <f t="shared" si="365"/>
        <v>0</v>
      </c>
      <c r="R690">
        <f t="shared" ca="1" si="374"/>
        <v>807</v>
      </c>
      <c r="S690" s="133">
        <f t="shared" ca="1" si="375"/>
        <v>133.88</v>
      </c>
      <c r="T690" s="132">
        <f t="shared" ca="1" si="366"/>
        <v>0</v>
      </c>
      <c r="U690" s="133">
        <f t="shared" ca="1" si="382"/>
        <v>1.9008342029825436E-4</v>
      </c>
      <c r="V690" s="31">
        <f t="shared" ca="1" si="376"/>
        <v>0</v>
      </c>
      <c r="W690" s="31">
        <f t="shared" ca="1" si="367"/>
        <v>0</v>
      </c>
      <c r="X690" s="163">
        <f t="shared" ca="1" si="383"/>
        <v>0</v>
      </c>
      <c r="Y690" s="163">
        <f t="shared" ca="1" si="384"/>
        <v>0</v>
      </c>
      <c r="Z690" s="163">
        <f t="shared" ca="1" si="377"/>
        <v>0</v>
      </c>
      <c r="AA690" s="163">
        <f t="shared" ca="1" si="385"/>
        <v>0</v>
      </c>
      <c r="AB690" s="84">
        <f t="shared" ca="1" si="368"/>
        <v>0</v>
      </c>
      <c r="AC690" s="160">
        <f t="shared" si="369"/>
        <v>0</v>
      </c>
      <c r="AD690" s="31">
        <f t="shared" ca="1" si="370"/>
        <v>0</v>
      </c>
      <c r="AF690" s="5"/>
      <c r="AG690" s="5"/>
      <c r="AS690" s="55">
        <f t="shared" si="378"/>
        <v>58</v>
      </c>
      <c r="AT690" s="56">
        <f t="shared" si="386"/>
        <v>687</v>
      </c>
      <c r="AU690" s="57">
        <f t="shared" si="390"/>
        <v>3.5008222824208866E-2</v>
      </c>
      <c r="AV690" s="58">
        <f t="shared" si="379"/>
        <v>4.8675505653430484E-3</v>
      </c>
      <c r="AW690" s="59">
        <f t="shared" si="380"/>
        <v>1.004867550565343</v>
      </c>
      <c r="AX690" s="60">
        <f>PRODUCT(AW$4:AW690)</f>
        <v>28.103524347593808</v>
      </c>
    </row>
    <row r="691" spans="5:50">
      <c r="E691">
        <f t="shared" si="388"/>
        <v>688</v>
      </c>
      <c r="F691" s="9">
        <f t="shared" si="381"/>
        <v>126.24999999999675</v>
      </c>
      <c r="G691" s="132">
        <f t="shared" si="361"/>
        <v>0</v>
      </c>
      <c r="H691" s="133">
        <f t="shared" si="387"/>
        <v>1</v>
      </c>
      <c r="I691" s="31">
        <f t="shared" si="371"/>
        <v>0</v>
      </c>
      <c r="J691" s="31">
        <f t="shared" si="362"/>
        <v>0</v>
      </c>
      <c r="K691" s="163">
        <f t="shared" si="363"/>
        <v>0</v>
      </c>
      <c r="L691" s="163">
        <f t="shared" si="372"/>
        <v>0</v>
      </c>
      <c r="M691" s="163">
        <f t="shared" si="389"/>
        <v>0</v>
      </c>
      <c r="N691" s="163">
        <f t="shared" si="373"/>
        <v>0</v>
      </c>
      <c r="O691" s="84">
        <f t="shared" si="364"/>
        <v>0</v>
      </c>
      <c r="P691" s="31">
        <f t="shared" si="365"/>
        <v>0</v>
      </c>
      <c r="R691">
        <f t="shared" ca="1" si="374"/>
        <v>808</v>
      </c>
      <c r="S691" s="133">
        <f t="shared" ca="1" si="375"/>
        <v>133.96</v>
      </c>
      <c r="T691" s="132">
        <f t="shared" ca="1" si="366"/>
        <v>0</v>
      </c>
      <c r="U691" s="133">
        <f t="shared" ca="1" si="382"/>
        <v>1.9008342029825436E-4</v>
      </c>
      <c r="V691" s="31">
        <f t="shared" ca="1" si="376"/>
        <v>0</v>
      </c>
      <c r="W691" s="31">
        <f t="shared" ca="1" si="367"/>
        <v>0</v>
      </c>
      <c r="X691" s="163">
        <f t="shared" ca="1" si="383"/>
        <v>0</v>
      </c>
      <c r="Y691" s="163">
        <f t="shared" ca="1" si="384"/>
        <v>0</v>
      </c>
      <c r="Z691" s="163">
        <f t="shared" ca="1" si="377"/>
        <v>0</v>
      </c>
      <c r="AA691" s="163">
        <f t="shared" ca="1" si="385"/>
        <v>0</v>
      </c>
      <c r="AB691" s="84">
        <f t="shared" ca="1" si="368"/>
        <v>0</v>
      </c>
      <c r="AC691" s="160">
        <f t="shared" si="369"/>
        <v>0</v>
      </c>
      <c r="AD691" s="31">
        <f t="shared" ca="1" si="370"/>
        <v>0</v>
      </c>
      <c r="AF691" s="5"/>
      <c r="AG691" s="5"/>
      <c r="AS691" s="55">
        <f t="shared" si="378"/>
        <v>58</v>
      </c>
      <c r="AT691" s="56">
        <f t="shared" si="386"/>
        <v>688</v>
      </c>
      <c r="AU691" s="57">
        <f t="shared" si="390"/>
        <v>3.4837818529409231E-2</v>
      </c>
      <c r="AV691" s="58">
        <f t="shared" si="379"/>
        <v>4.8675505653430484E-3</v>
      </c>
      <c r="AW691" s="59">
        <f t="shared" si="380"/>
        <v>1.004867550565343</v>
      </c>
      <c r="AX691" s="60">
        <f>PRODUCT(AW$4:AW691)</f>
        <v>28.240319673420071</v>
      </c>
    </row>
    <row r="692" spans="5:50">
      <c r="E692">
        <f t="shared" si="388"/>
        <v>689</v>
      </c>
      <c r="F692" s="9">
        <f t="shared" si="381"/>
        <v>126.33333333333007</v>
      </c>
      <c r="G692" s="132">
        <f t="shared" si="361"/>
        <v>0</v>
      </c>
      <c r="H692" s="133">
        <f t="shared" si="387"/>
        <v>1</v>
      </c>
      <c r="I692" s="31">
        <f t="shared" si="371"/>
        <v>0</v>
      </c>
      <c r="J692" s="31">
        <f t="shared" si="362"/>
        <v>0</v>
      </c>
      <c r="K692" s="163">
        <f t="shared" si="363"/>
        <v>0</v>
      </c>
      <c r="L692" s="163">
        <f t="shared" si="372"/>
        <v>0</v>
      </c>
      <c r="M692" s="163">
        <f t="shared" si="389"/>
        <v>0</v>
      </c>
      <c r="N692" s="163">
        <f t="shared" si="373"/>
        <v>0</v>
      </c>
      <c r="O692" s="84">
        <f t="shared" si="364"/>
        <v>0</v>
      </c>
      <c r="P692" s="31">
        <f t="shared" si="365"/>
        <v>0</v>
      </c>
      <c r="R692">
        <f t="shared" ca="1" si="374"/>
        <v>809</v>
      </c>
      <c r="S692" s="133">
        <f t="shared" ca="1" si="375"/>
        <v>134.04</v>
      </c>
      <c r="T692" s="132">
        <f t="shared" ca="1" si="366"/>
        <v>0</v>
      </c>
      <c r="U692" s="133">
        <f t="shared" ca="1" si="382"/>
        <v>1.9008342029825436E-4</v>
      </c>
      <c r="V692" s="31">
        <f t="shared" ca="1" si="376"/>
        <v>0</v>
      </c>
      <c r="W692" s="31">
        <f t="shared" ca="1" si="367"/>
        <v>0</v>
      </c>
      <c r="X692" s="163">
        <f t="shared" ca="1" si="383"/>
        <v>0</v>
      </c>
      <c r="Y692" s="163">
        <f t="shared" ca="1" si="384"/>
        <v>0</v>
      </c>
      <c r="Z692" s="163">
        <f t="shared" ca="1" si="377"/>
        <v>0</v>
      </c>
      <c r="AA692" s="163">
        <f t="shared" ca="1" si="385"/>
        <v>0</v>
      </c>
      <c r="AB692" s="84">
        <f t="shared" ca="1" si="368"/>
        <v>0</v>
      </c>
      <c r="AC692" s="160">
        <f t="shared" si="369"/>
        <v>0</v>
      </c>
      <c r="AD692" s="31">
        <f t="shared" ca="1" si="370"/>
        <v>0</v>
      </c>
      <c r="AF692" s="5"/>
      <c r="AG692" s="5"/>
      <c r="AS692" s="55">
        <f t="shared" si="378"/>
        <v>58</v>
      </c>
      <c r="AT692" s="56">
        <f t="shared" si="386"/>
        <v>689</v>
      </c>
      <c r="AU692" s="57">
        <f t="shared" si="390"/>
        <v>3.4668243686131084E-2</v>
      </c>
      <c r="AV692" s="58">
        <f t="shared" si="379"/>
        <v>4.8675505653430484E-3</v>
      </c>
      <c r="AW692" s="59">
        <f t="shared" si="380"/>
        <v>1.004867550565343</v>
      </c>
      <c r="AX692" s="60">
        <f>PRODUCT(AW$4:AW692)</f>
        <v>28.377780857411896</v>
      </c>
    </row>
    <row r="693" spans="5:50">
      <c r="E693">
        <f t="shared" si="388"/>
        <v>690</v>
      </c>
      <c r="F693" s="9">
        <f t="shared" si="381"/>
        <v>126.4166666666634</v>
      </c>
      <c r="G693" s="132">
        <f t="shared" si="361"/>
        <v>0</v>
      </c>
      <c r="H693" s="133">
        <f t="shared" si="387"/>
        <v>1</v>
      </c>
      <c r="I693" s="31">
        <f t="shared" si="371"/>
        <v>0</v>
      </c>
      <c r="J693" s="31">
        <f t="shared" si="362"/>
        <v>0</v>
      </c>
      <c r="K693" s="163">
        <f t="shared" si="363"/>
        <v>0</v>
      </c>
      <c r="L693" s="163">
        <f t="shared" si="372"/>
        <v>0</v>
      </c>
      <c r="M693" s="163">
        <f t="shared" si="389"/>
        <v>0</v>
      </c>
      <c r="N693" s="163">
        <f t="shared" si="373"/>
        <v>0</v>
      </c>
      <c r="O693" s="84">
        <f t="shared" si="364"/>
        <v>0</v>
      </c>
      <c r="P693" s="31">
        <f t="shared" si="365"/>
        <v>0</v>
      </c>
      <c r="R693">
        <f t="shared" ca="1" si="374"/>
        <v>810</v>
      </c>
      <c r="S693" s="133">
        <f t="shared" ca="1" si="375"/>
        <v>134.12</v>
      </c>
      <c r="T693" s="132">
        <f t="shared" ca="1" si="366"/>
        <v>0</v>
      </c>
      <c r="U693" s="133">
        <f t="shared" ca="1" si="382"/>
        <v>1.9008342029825436E-4</v>
      </c>
      <c r="V693" s="31">
        <f t="shared" ca="1" si="376"/>
        <v>0</v>
      </c>
      <c r="W693" s="31">
        <f t="shared" ca="1" si="367"/>
        <v>0</v>
      </c>
      <c r="X693" s="163">
        <f t="shared" ca="1" si="383"/>
        <v>0</v>
      </c>
      <c r="Y693" s="163">
        <f t="shared" ca="1" si="384"/>
        <v>0</v>
      </c>
      <c r="Z693" s="163">
        <f t="shared" ca="1" si="377"/>
        <v>0</v>
      </c>
      <c r="AA693" s="163">
        <f t="shared" ca="1" si="385"/>
        <v>0</v>
      </c>
      <c r="AB693" s="84">
        <f t="shared" ca="1" si="368"/>
        <v>0</v>
      </c>
      <c r="AC693" s="160">
        <f t="shared" si="369"/>
        <v>0</v>
      </c>
      <c r="AD693" s="31">
        <f t="shared" ca="1" si="370"/>
        <v>0</v>
      </c>
      <c r="AF693" s="5"/>
      <c r="AG693" s="5"/>
      <c r="AS693" s="55">
        <f t="shared" si="378"/>
        <v>58</v>
      </c>
      <c r="AT693" s="56">
        <f t="shared" si="386"/>
        <v>690</v>
      </c>
      <c r="AU693" s="57">
        <f t="shared" si="390"/>
        <v>3.4499494256977209E-2</v>
      </c>
      <c r="AV693" s="58">
        <f t="shared" si="379"/>
        <v>4.8675505653430484E-3</v>
      </c>
      <c r="AW693" s="59">
        <f t="shared" si="380"/>
        <v>1.004867550565343</v>
      </c>
      <c r="AX693" s="60">
        <f>PRODUCT(AW$4:AW693)</f>
        <v>28.515911140667573</v>
      </c>
    </row>
    <row r="694" spans="5:50">
      <c r="E694">
        <f t="shared" si="388"/>
        <v>691</v>
      </c>
      <c r="F694" s="9">
        <f t="shared" si="381"/>
        <v>126.49999999999673</v>
      </c>
      <c r="G694" s="132">
        <f t="shared" si="361"/>
        <v>0</v>
      </c>
      <c r="H694" s="133">
        <f t="shared" si="387"/>
        <v>1</v>
      </c>
      <c r="I694" s="31">
        <f t="shared" si="371"/>
        <v>0</v>
      </c>
      <c r="J694" s="31">
        <f t="shared" si="362"/>
        <v>0</v>
      </c>
      <c r="K694" s="163">
        <f t="shared" si="363"/>
        <v>0</v>
      </c>
      <c r="L694" s="163">
        <f t="shared" si="372"/>
        <v>0</v>
      </c>
      <c r="M694" s="163">
        <f t="shared" si="389"/>
        <v>0</v>
      </c>
      <c r="N694" s="163">
        <f t="shared" si="373"/>
        <v>0</v>
      </c>
      <c r="O694" s="84">
        <f t="shared" si="364"/>
        <v>0</v>
      </c>
      <c r="P694" s="31">
        <f t="shared" si="365"/>
        <v>0</v>
      </c>
      <c r="R694">
        <f t="shared" ca="1" si="374"/>
        <v>811</v>
      </c>
      <c r="S694" s="133">
        <f t="shared" ca="1" si="375"/>
        <v>134.19999999999999</v>
      </c>
      <c r="T694" s="132">
        <f t="shared" ca="1" si="366"/>
        <v>0</v>
      </c>
      <c r="U694" s="133">
        <f t="shared" ca="1" si="382"/>
        <v>1.9008342029825436E-4</v>
      </c>
      <c r="V694" s="31">
        <f t="shared" ca="1" si="376"/>
        <v>0</v>
      </c>
      <c r="W694" s="31">
        <f t="shared" ca="1" si="367"/>
        <v>0</v>
      </c>
      <c r="X694" s="163">
        <f t="shared" ca="1" si="383"/>
        <v>0</v>
      </c>
      <c r="Y694" s="163">
        <f t="shared" ca="1" si="384"/>
        <v>0</v>
      </c>
      <c r="Z694" s="163">
        <f t="shared" ca="1" si="377"/>
        <v>0</v>
      </c>
      <c r="AA694" s="163">
        <f t="shared" ca="1" si="385"/>
        <v>0</v>
      </c>
      <c r="AB694" s="84">
        <f t="shared" ca="1" si="368"/>
        <v>0</v>
      </c>
      <c r="AC694" s="160">
        <f t="shared" si="369"/>
        <v>0</v>
      </c>
      <c r="AD694" s="31">
        <f t="shared" ca="1" si="370"/>
        <v>0</v>
      </c>
      <c r="AF694" s="5"/>
      <c r="AG694" s="5"/>
      <c r="AS694" s="55">
        <f t="shared" si="378"/>
        <v>58</v>
      </c>
      <c r="AT694" s="56">
        <f t="shared" si="386"/>
        <v>691</v>
      </c>
      <c r="AU694" s="57">
        <f t="shared" si="390"/>
        <v>3.4331566224202609E-2</v>
      </c>
      <c r="AV694" s="58">
        <f t="shared" si="379"/>
        <v>4.8675505653430484E-3</v>
      </c>
      <c r="AW694" s="59">
        <f t="shared" si="380"/>
        <v>1.004867550565343</v>
      </c>
      <c r="AX694" s="60">
        <f>PRODUCT(AW$4:AW694)</f>
        <v>28.654713780061602</v>
      </c>
    </row>
    <row r="695" spans="5:50">
      <c r="E695">
        <f t="shared" si="388"/>
        <v>692</v>
      </c>
      <c r="F695" s="9">
        <f t="shared" si="381"/>
        <v>126.58333333333006</v>
      </c>
      <c r="G695" s="132">
        <f t="shared" si="361"/>
        <v>0</v>
      </c>
      <c r="H695" s="133">
        <f t="shared" si="387"/>
        <v>1</v>
      </c>
      <c r="I695" s="31">
        <f t="shared" si="371"/>
        <v>0</v>
      </c>
      <c r="J695" s="31">
        <f t="shared" si="362"/>
        <v>0</v>
      </c>
      <c r="K695" s="163">
        <f t="shared" si="363"/>
        <v>0</v>
      </c>
      <c r="L695" s="163">
        <f t="shared" si="372"/>
        <v>0</v>
      </c>
      <c r="M695" s="163">
        <f t="shared" si="389"/>
        <v>0</v>
      </c>
      <c r="N695" s="163">
        <f t="shared" si="373"/>
        <v>0</v>
      </c>
      <c r="O695" s="84">
        <f t="shared" si="364"/>
        <v>0</v>
      </c>
      <c r="P695" s="31">
        <f t="shared" si="365"/>
        <v>0</v>
      </c>
      <c r="R695">
        <f t="shared" ca="1" si="374"/>
        <v>812</v>
      </c>
      <c r="S695" s="133">
        <f t="shared" ca="1" si="375"/>
        <v>134.28</v>
      </c>
      <c r="T695" s="132">
        <f t="shared" ca="1" si="366"/>
        <v>0</v>
      </c>
      <c r="U695" s="133">
        <f t="shared" ca="1" si="382"/>
        <v>1.9008342029825436E-4</v>
      </c>
      <c r="V695" s="31">
        <f t="shared" ca="1" si="376"/>
        <v>0</v>
      </c>
      <c r="W695" s="31">
        <f t="shared" ca="1" si="367"/>
        <v>0</v>
      </c>
      <c r="X695" s="163">
        <f t="shared" ca="1" si="383"/>
        <v>0</v>
      </c>
      <c r="Y695" s="163">
        <f t="shared" ca="1" si="384"/>
        <v>0</v>
      </c>
      <c r="Z695" s="163">
        <f t="shared" ca="1" si="377"/>
        <v>0</v>
      </c>
      <c r="AA695" s="163">
        <f t="shared" ca="1" si="385"/>
        <v>0</v>
      </c>
      <c r="AB695" s="84">
        <f t="shared" ca="1" si="368"/>
        <v>0</v>
      </c>
      <c r="AC695" s="160">
        <f t="shared" si="369"/>
        <v>0</v>
      </c>
      <c r="AD695" s="31">
        <f t="shared" ca="1" si="370"/>
        <v>0</v>
      </c>
      <c r="AF695" s="5"/>
      <c r="AG695" s="5"/>
      <c r="AS695" s="55">
        <f t="shared" si="378"/>
        <v>58</v>
      </c>
      <c r="AT695" s="56">
        <f t="shared" si="386"/>
        <v>692</v>
      </c>
      <c r="AU695" s="57">
        <f t="shared" si="390"/>
        <v>3.4164455589618878E-2</v>
      </c>
      <c r="AV695" s="58">
        <f t="shared" si="379"/>
        <v>4.8675505653430484E-3</v>
      </c>
      <c r="AW695" s="59">
        <f t="shared" si="380"/>
        <v>1.004867550565343</v>
      </c>
      <c r="AX695" s="60">
        <f>PRODUCT(AW$4:AW695)</f>
        <v>28.794192048321484</v>
      </c>
    </row>
    <row r="696" spans="5:50">
      <c r="E696">
        <f t="shared" si="388"/>
        <v>693</v>
      </c>
      <c r="F696" s="9">
        <f t="shared" si="381"/>
        <v>126.66666666666339</v>
      </c>
      <c r="G696" s="132">
        <f t="shared" si="361"/>
        <v>0</v>
      </c>
      <c r="H696" s="133">
        <f t="shared" si="387"/>
        <v>1</v>
      </c>
      <c r="I696" s="31">
        <f t="shared" si="371"/>
        <v>0</v>
      </c>
      <c r="J696" s="31">
        <f t="shared" si="362"/>
        <v>0</v>
      </c>
      <c r="K696" s="163">
        <f t="shared" si="363"/>
        <v>0</v>
      </c>
      <c r="L696" s="163">
        <f t="shared" si="372"/>
        <v>0</v>
      </c>
      <c r="M696" s="163">
        <f t="shared" si="389"/>
        <v>0</v>
      </c>
      <c r="N696" s="163">
        <f t="shared" si="373"/>
        <v>0</v>
      </c>
      <c r="O696" s="84">
        <f t="shared" si="364"/>
        <v>0</v>
      </c>
      <c r="P696" s="31">
        <f t="shared" si="365"/>
        <v>0</v>
      </c>
      <c r="R696">
        <f t="shared" ca="1" si="374"/>
        <v>813</v>
      </c>
      <c r="S696" s="133">
        <f t="shared" ca="1" si="375"/>
        <v>134.36000000000001</v>
      </c>
      <c r="T696" s="132">
        <f t="shared" ca="1" si="366"/>
        <v>0</v>
      </c>
      <c r="U696" s="133">
        <f t="shared" ca="1" si="382"/>
        <v>1.9008342029825436E-4</v>
      </c>
      <c r="V696" s="31">
        <f t="shared" ca="1" si="376"/>
        <v>0</v>
      </c>
      <c r="W696" s="31">
        <f t="shared" ca="1" si="367"/>
        <v>0</v>
      </c>
      <c r="X696" s="163">
        <f t="shared" ca="1" si="383"/>
        <v>0</v>
      </c>
      <c r="Y696" s="163">
        <f t="shared" ca="1" si="384"/>
        <v>0</v>
      </c>
      <c r="Z696" s="163">
        <f t="shared" ca="1" si="377"/>
        <v>0</v>
      </c>
      <c r="AA696" s="163">
        <f t="shared" ca="1" si="385"/>
        <v>0</v>
      </c>
      <c r="AB696" s="84">
        <f t="shared" ca="1" si="368"/>
        <v>0</v>
      </c>
      <c r="AC696" s="160">
        <f t="shared" si="369"/>
        <v>0</v>
      </c>
      <c r="AD696" s="31">
        <f t="shared" ca="1" si="370"/>
        <v>0</v>
      </c>
      <c r="AF696" s="5"/>
      <c r="AG696" s="5"/>
      <c r="AS696" s="55">
        <f t="shared" si="378"/>
        <v>58</v>
      </c>
      <c r="AT696" s="56">
        <f t="shared" si="386"/>
        <v>693</v>
      </c>
      <c r="AU696" s="57">
        <f t="shared" si="390"/>
        <v>3.3998158374498988E-2</v>
      </c>
      <c r="AV696" s="58">
        <f t="shared" si="379"/>
        <v>4.8675505653430484E-3</v>
      </c>
      <c r="AW696" s="59">
        <f t="shared" si="380"/>
        <v>1.004867550565343</v>
      </c>
      <c r="AX696" s="60">
        <f>PRODUCT(AW$4:AW696)</f>
        <v>28.934349234104889</v>
      </c>
    </row>
    <row r="697" spans="5:50">
      <c r="E697">
        <f t="shared" si="388"/>
        <v>694</v>
      </c>
      <c r="F697" s="9">
        <f t="shared" si="381"/>
        <v>126.74999999999672</v>
      </c>
      <c r="G697" s="132">
        <f t="shared" si="361"/>
        <v>0</v>
      </c>
      <c r="H697" s="133">
        <f t="shared" si="387"/>
        <v>1</v>
      </c>
      <c r="I697" s="31">
        <f t="shared" si="371"/>
        <v>0</v>
      </c>
      <c r="J697" s="31">
        <f t="shared" si="362"/>
        <v>0</v>
      </c>
      <c r="K697" s="163">
        <f t="shared" si="363"/>
        <v>0</v>
      </c>
      <c r="L697" s="163">
        <f t="shared" si="372"/>
        <v>0</v>
      </c>
      <c r="M697" s="163">
        <f t="shared" si="389"/>
        <v>0</v>
      </c>
      <c r="N697" s="163">
        <f t="shared" si="373"/>
        <v>0</v>
      </c>
      <c r="O697" s="84">
        <f t="shared" si="364"/>
        <v>0</v>
      </c>
      <c r="P697" s="31">
        <f t="shared" si="365"/>
        <v>0</v>
      </c>
      <c r="R697">
        <f t="shared" ca="1" si="374"/>
        <v>814</v>
      </c>
      <c r="S697" s="133">
        <f t="shared" ca="1" si="375"/>
        <v>134.44</v>
      </c>
      <c r="T697" s="132">
        <f t="shared" ca="1" si="366"/>
        <v>0</v>
      </c>
      <c r="U697" s="133">
        <f t="shared" ca="1" si="382"/>
        <v>1.9008342029825436E-4</v>
      </c>
      <c r="V697" s="31">
        <f t="shared" ca="1" si="376"/>
        <v>0</v>
      </c>
      <c r="W697" s="31">
        <f t="shared" ca="1" si="367"/>
        <v>0</v>
      </c>
      <c r="X697" s="163">
        <f t="shared" ca="1" si="383"/>
        <v>0</v>
      </c>
      <c r="Y697" s="163">
        <f t="shared" ca="1" si="384"/>
        <v>0</v>
      </c>
      <c r="Z697" s="163">
        <f t="shared" ca="1" si="377"/>
        <v>0</v>
      </c>
      <c r="AA697" s="163">
        <f t="shared" ca="1" si="385"/>
        <v>0</v>
      </c>
      <c r="AB697" s="84">
        <f t="shared" ca="1" si="368"/>
        <v>0</v>
      </c>
      <c r="AC697" s="160">
        <f t="shared" si="369"/>
        <v>0</v>
      </c>
      <c r="AD697" s="31">
        <f t="shared" ca="1" si="370"/>
        <v>0</v>
      </c>
      <c r="AF697" s="5"/>
      <c r="AG697" s="5"/>
      <c r="AS697" s="55">
        <f t="shared" si="378"/>
        <v>58</v>
      </c>
      <c r="AT697" s="56">
        <f t="shared" si="386"/>
        <v>694</v>
      </c>
      <c r="AU697" s="57">
        <f t="shared" si="390"/>
        <v>3.3832670619482572E-2</v>
      </c>
      <c r="AV697" s="58">
        <f t="shared" si="379"/>
        <v>4.8675505653430484E-3</v>
      </c>
      <c r="AW697" s="59">
        <f t="shared" si="380"/>
        <v>1.004867550565343</v>
      </c>
      <c r="AX697" s="60">
        <f>PRODUCT(AW$4:AW697)</f>
        <v>29.07518864207719</v>
      </c>
    </row>
    <row r="698" spans="5:50">
      <c r="E698">
        <f t="shared" si="388"/>
        <v>695</v>
      </c>
      <c r="F698" s="9">
        <f t="shared" si="381"/>
        <v>126.83333333333005</v>
      </c>
      <c r="G698" s="132">
        <f t="shared" si="361"/>
        <v>0</v>
      </c>
      <c r="H698" s="133">
        <f t="shared" si="387"/>
        <v>1</v>
      </c>
      <c r="I698" s="31">
        <f t="shared" si="371"/>
        <v>0</v>
      </c>
      <c r="J698" s="31">
        <f t="shared" si="362"/>
        <v>0</v>
      </c>
      <c r="K698" s="163">
        <f t="shared" si="363"/>
        <v>0</v>
      </c>
      <c r="L698" s="163">
        <f t="shared" si="372"/>
        <v>0</v>
      </c>
      <c r="M698" s="163">
        <f t="shared" si="389"/>
        <v>0</v>
      </c>
      <c r="N698" s="163">
        <f t="shared" si="373"/>
        <v>0</v>
      </c>
      <c r="O698" s="84">
        <f t="shared" si="364"/>
        <v>0</v>
      </c>
      <c r="P698" s="31">
        <f t="shared" si="365"/>
        <v>0</v>
      </c>
      <c r="R698">
        <f t="shared" ca="1" si="374"/>
        <v>815</v>
      </c>
      <c r="S698" s="133">
        <f t="shared" ca="1" si="375"/>
        <v>134.52000000000001</v>
      </c>
      <c r="T698" s="132">
        <f t="shared" ca="1" si="366"/>
        <v>0</v>
      </c>
      <c r="U698" s="133">
        <f t="shared" ca="1" si="382"/>
        <v>1.9008342029825436E-4</v>
      </c>
      <c r="V698" s="31">
        <f t="shared" ca="1" si="376"/>
        <v>0</v>
      </c>
      <c r="W698" s="31">
        <f t="shared" ca="1" si="367"/>
        <v>0</v>
      </c>
      <c r="X698" s="163">
        <f t="shared" ca="1" si="383"/>
        <v>0</v>
      </c>
      <c r="Y698" s="163">
        <f t="shared" ca="1" si="384"/>
        <v>0</v>
      </c>
      <c r="Z698" s="163">
        <f t="shared" ca="1" si="377"/>
        <v>0</v>
      </c>
      <c r="AA698" s="163">
        <f t="shared" ca="1" si="385"/>
        <v>0</v>
      </c>
      <c r="AB698" s="84">
        <f t="shared" ca="1" si="368"/>
        <v>0</v>
      </c>
      <c r="AC698" s="160">
        <f t="shared" si="369"/>
        <v>0</v>
      </c>
      <c r="AD698" s="31">
        <f t="shared" ca="1" si="370"/>
        <v>0</v>
      </c>
      <c r="AF698" s="5"/>
      <c r="AG698" s="5"/>
      <c r="AS698" s="55">
        <f t="shared" si="378"/>
        <v>58</v>
      </c>
      <c r="AT698" s="56">
        <f t="shared" si="386"/>
        <v>695</v>
      </c>
      <c r="AU698" s="57">
        <f t="shared" si="390"/>
        <v>3.3667988384481644E-2</v>
      </c>
      <c r="AV698" s="58">
        <f t="shared" si="379"/>
        <v>4.8675505653430484E-3</v>
      </c>
      <c r="AW698" s="59">
        <f t="shared" si="380"/>
        <v>1.004867550565343</v>
      </c>
      <c r="AX698" s="60">
        <f>PRODUCT(AW$4:AW698)</f>
        <v>29.21671359298939</v>
      </c>
    </row>
    <row r="699" spans="5:50">
      <c r="E699">
        <f t="shared" si="388"/>
        <v>696</v>
      </c>
      <c r="F699" s="9">
        <f t="shared" si="381"/>
        <v>126.91666666666337</v>
      </c>
      <c r="G699" s="132">
        <f t="shared" si="361"/>
        <v>0</v>
      </c>
      <c r="H699" s="133">
        <f t="shared" si="387"/>
        <v>1</v>
      </c>
      <c r="I699" s="31">
        <f t="shared" si="371"/>
        <v>0</v>
      </c>
      <c r="J699" s="31">
        <f t="shared" si="362"/>
        <v>0</v>
      </c>
      <c r="K699" s="163">
        <f t="shared" si="363"/>
        <v>0</v>
      </c>
      <c r="L699" s="163">
        <f t="shared" si="372"/>
        <v>0</v>
      </c>
      <c r="M699" s="163">
        <f t="shared" si="389"/>
        <v>0</v>
      </c>
      <c r="N699" s="163">
        <f t="shared" si="373"/>
        <v>0</v>
      </c>
      <c r="O699" s="84">
        <f t="shared" si="364"/>
        <v>0</v>
      </c>
      <c r="P699" s="31">
        <f t="shared" si="365"/>
        <v>0</v>
      </c>
      <c r="R699">
        <f t="shared" ca="1" si="374"/>
        <v>816</v>
      </c>
      <c r="S699" s="133">
        <f t="shared" ca="1" si="375"/>
        <v>134.6</v>
      </c>
      <c r="T699" s="132">
        <f t="shared" ca="1" si="366"/>
        <v>0</v>
      </c>
      <c r="U699" s="133">
        <f t="shared" ca="1" si="382"/>
        <v>1.9008342029825436E-4</v>
      </c>
      <c r="V699" s="31">
        <f t="shared" ca="1" si="376"/>
        <v>0</v>
      </c>
      <c r="W699" s="31">
        <f t="shared" ca="1" si="367"/>
        <v>0</v>
      </c>
      <c r="X699" s="163">
        <f t="shared" ca="1" si="383"/>
        <v>0</v>
      </c>
      <c r="Y699" s="163">
        <f t="shared" ca="1" si="384"/>
        <v>0</v>
      </c>
      <c r="Z699" s="163">
        <f t="shared" ca="1" si="377"/>
        <v>0</v>
      </c>
      <c r="AA699" s="163">
        <f t="shared" ca="1" si="385"/>
        <v>0</v>
      </c>
      <c r="AB699" s="84">
        <f t="shared" ca="1" si="368"/>
        <v>0</v>
      </c>
      <c r="AC699" s="160">
        <f t="shared" si="369"/>
        <v>0</v>
      </c>
      <c r="AD699" s="31">
        <f t="shared" ca="1" si="370"/>
        <v>0</v>
      </c>
      <c r="AF699" s="5"/>
      <c r="AG699" s="5"/>
      <c r="AS699" s="55">
        <f t="shared" si="378"/>
        <v>58</v>
      </c>
      <c r="AT699" s="56">
        <f t="shared" si="386"/>
        <v>696</v>
      </c>
      <c r="AU699" s="57">
        <f t="shared" si="390"/>
        <v>3.3504107748586795E-2</v>
      </c>
      <c r="AV699" s="58">
        <f t="shared" si="379"/>
        <v>4.8675505653430484E-3</v>
      </c>
      <c r="AW699" s="59">
        <f t="shared" si="380"/>
        <v>1.004867550565343</v>
      </c>
      <c r="AX699" s="60">
        <f>PRODUCT(AW$4:AW699)</f>
        <v>29.358927423756413</v>
      </c>
    </row>
    <row r="700" spans="5:50">
      <c r="E700">
        <f t="shared" si="388"/>
        <v>697</v>
      </c>
      <c r="F700" s="9">
        <f t="shared" si="381"/>
        <v>126.9999999999967</v>
      </c>
      <c r="G700" s="132">
        <f t="shared" si="361"/>
        <v>0</v>
      </c>
      <c r="H700" s="133">
        <f t="shared" si="387"/>
        <v>1</v>
      </c>
      <c r="I700" s="31">
        <f t="shared" si="371"/>
        <v>0</v>
      </c>
      <c r="J700" s="31">
        <f t="shared" si="362"/>
        <v>0</v>
      </c>
      <c r="K700" s="163">
        <f t="shared" si="363"/>
        <v>0</v>
      </c>
      <c r="L700" s="163">
        <f t="shared" si="372"/>
        <v>0</v>
      </c>
      <c r="M700" s="163">
        <f t="shared" si="389"/>
        <v>0</v>
      </c>
      <c r="N700" s="163">
        <f t="shared" si="373"/>
        <v>0</v>
      </c>
      <c r="O700" s="84">
        <f t="shared" si="364"/>
        <v>0</v>
      </c>
      <c r="P700" s="31">
        <f t="shared" si="365"/>
        <v>0</v>
      </c>
      <c r="R700">
        <f t="shared" ca="1" si="374"/>
        <v>817</v>
      </c>
      <c r="S700" s="133">
        <f t="shared" ca="1" si="375"/>
        <v>134.68</v>
      </c>
      <c r="T700" s="132">
        <f t="shared" ca="1" si="366"/>
        <v>0</v>
      </c>
      <c r="U700" s="133">
        <f t="shared" ca="1" si="382"/>
        <v>1.9008342029825436E-4</v>
      </c>
      <c r="V700" s="31">
        <f t="shared" ca="1" si="376"/>
        <v>0</v>
      </c>
      <c r="W700" s="31">
        <f t="shared" ca="1" si="367"/>
        <v>0</v>
      </c>
      <c r="X700" s="163">
        <f t="shared" ca="1" si="383"/>
        <v>0</v>
      </c>
      <c r="Y700" s="163">
        <f t="shared" ca="1" si="384"/>
        <v>0</v>
      </c>
      <c r="Z700" s="163">
        <f t="shared" ca="1" si="377"/>
        <v>0</v>
      </c>
      <c r="AA700" s="163">
        <f t="shared" ca="1" si="385"/>
        <v>0</v>
      </c>
      <c r="AB700" s="84">
        <f t="shared" ca="1" si="368"/>
        <v>0</v>
      </c>
      <c r="AC700" s="160">
        <f t="shared" si="369"/>
        <v>0</v>
      </c>
      <c r="AD700" s="31">
        <f t="shared" ca="1" si="370"/>
        <v>0</v>
      </c>
      <c r="AF700" s="5"/>
      <c r="AG700" s="5"/>
      <c r="AS700" s="55">
        <f t="shared" si="378"/>
        <v>59</v>
      </c>
      <c r="AT700" s="56">
        <f t="shared" si="386"/>
        <v>697</v>
      </c>
      <c r="AU700" s="57">
        <f t="shared" si="390"/>
        <v>3.3341024809973849E-2</v>
      </c>
      <c r="AV700" s="58">
        <f t="shared" si="379"/>
        <v>4.8675505653430484E-3</v>
      </c>
      <c r="AW700" s="59">
        <f t="shared" si="380"/>
        <v>1.004867550565343</v>
      </c>
      <c r="AX700" s="60">
        <f>PRODUCT(AW$4:AW700)</f>
        <v>29.501833487535784</v>
      </c>
    </row>
    <row r="701" spans="5:50">
      <c r="E701">
        <f t="shared" si="388"/>
        <v>698</v>
      </c>
      <c r="F701" s="9">
        <f t="shared" si="381"/>
        <v>127.08333333333003</v>
      </c>
      <c r="G701" s="132">
        <f t="shared" si="361"/>
        <v>0</v>
      </c>
      <c r="H701" s="133">
        <f t="shared" si="387"/>
        <v>1</v>
      </c>
      <c r="I701" s="31">
        <f t="shared" si="371"/>
        <v>0</v>
      </c>
      <c r="J701" s="31">
        <f t="shared" si="362"/>
        <v>0</v>
      </c>
      <c r="K701" s="163">
        <f t="shared" si="363"/>
        <v>0</v>
      </c>
      <c r="L701" s="163">
        <f t="shared" si="372"/>
        <v>0</v>
      </c>
      <c r="M701" s="163">
        <f t="shared" si="389"/>
        <v>0</v>
      </c>
      <c r="N701" s="163">
        <f t="shared" si="373"/>
        <v>0</v>
      </c>
      <c r="O701" s="84">
        <f t="shared" si="364"/>
        <v>0</v>
      </c>
      <c r="P701" s="31">
        <f t="shared" si="365"/>
        <v>0</v>
      </c>
      <c r="R701">
        <f t="shared" ca="1" si="374"/>
        <v>818</v>
      </c>
      <c r="S701" s="133">
        <f t="shared" ca="1" si="375"/>
        <v>134.76</v>
      </c>
      <c r="T701" s="132">
        <f t="shared" ca="1" si="366"/>
        <v>0</v>
      </c>
      <c r="U701" s="133">
        <f t="shared" ca="1" si="382"/>
        <v>1.9008342029825436E-4</v>
      </c>
      <c r="V701" s="31">
        <f t="shared" ca="1" si="376"/>
        <v>0</v>
      </c>
      <c r="W701" s="31">
        <f t="shared" ca="1" si="367"/>
        <v>0</v>
      </c>
      <c r="X701" s="163">
        <f t="shared" ca="1" si="383"/>
        <v>0</v>
      </c>
      <c r="Y701" s="163">
        <f t="shared" ca="1" si="384"/>
        <v>0</v>
      </c>
      <c r="Z701" s="163">
        <f t="shared" ca="1" si="377"/>
        <v>0</v>
      </c>
      <c r="AA701" s="163">
        <f t="shared" ca="1" si="385"/>
        <v>0</v>
      </c>
      <c r="AB701" s="84">
        <f t="shared" ca="1" si="368"/>
        <v>0</v>
      </c>
      <c r="AC701" s="160">
        <f t="shared" si="369"/>
        <v>0</v>
      </c>
      <c r="AD701" s="31">
        <f t="shared" ca="1" si="370"/>
        <v>0</v>
      </c>
      <c r="AF701" s="5"/>
      <c r="AG701" s="5"/>
      <c r="AS701" s="55">
        <f t="shared" si="378"/>
        <v>59</v>
      </c>
      <c r="AT701" s="56">
        <f t="shared" si="386"/>
        <v>698</v>
      </c>
      <c r="AU701" s="57">
        <f t="shared" si="390"/>
        <v>3.3178735685810944E-2</v>
      </c>
      <c r="AV701" s="58">
        <f t="shared" si="379"/>
        <v>4.8675505653430484E-3</v>
      </c>
      <c r="AW701" s="59">
        <f t="shared" si="380"/>
        <v>1.004867550565343</v>
      </c>
      <c r="AX701" s="60">
        <f>PRODUCT(AW$4:AW701)</f>
        <v>29.645435153806694</v>
      </c>
    </row>
    <row r="702" spans="5:50">
      <c r="E702">
        <f t="shared" si="388"/>
        <v>699</v>
      </c>
      <c r="F702" s="9">
        <f t="shared" si="381"/>
        <v>127.16666666666336</v>
      </c>
      <c r="G702" s="132">
        <f t="shared" si="361"/>
        <v>0</v>
      </c>
      <c r="H702" s="133">
        <f t="shared" si="387"/>
        <v>1</v>
      </c>
      <c r="I702" s="31">
        <f t="shared" si="371"/>
        <v>0</v>
      </c>
      <c r="J702" s="31">
        <f t="shared" si="362"/>
        <v>0</v>
      </c>
      <c r="K702" s="163">
        <f t="shared" si="363"/>
        <v>0</v>
      </c>
      <c r="L702" s="163">
        <f t="shared" si="372"/>
        <v>0</v>
      </c>
      <c r="M702" s="163">
        <f t="shared" si="389"/>
        <v>0</v>
      </c>
      <c r="N702" s="163">
        <f t="shared" si="373"/>
        <v>0</v>
      </c>
      <c r="O702" s="84">
        <f t="shared" si="364"/>
        <v>0</v>
      </c>
      <c r="P702" s="31">
        <f t="shared" si="365"/>
        <v>0</v>
      </c>
      <c r="R702">
        <f t="shared" ca="1" si="374"/>
        <v>819</v>
      </c>
      <c r="S702" s="133">
        <f t="shared" ca="1" si="375"/>
        <v>134.84</v>
      </c>
      <c r="T702" s="132">
        <f t="shared" ca="1" si="366"/>
        <v>0</v>
      </c>
      <c r="U702" s="133">
        <f t="shared" ca="1" si="382"/>
        <v>1.9008342029825436E-4</v>
      </c>
      <c r="V702" s="31">
        <f t="shared" ca="1" si="376"/>
        <v>0</v>
      </c>
      <c r="W702" s="31">
        <f t="shared" ca="1" si="367"/>
        <v>0</v>
      </c>
      <c r="X702" s="163">
        <f t="shared" ca="1" si="383"/>
        <v>0</v>
      </c>
      <c r="Y702" s="163">
        <f t="shared" ca="1" si="384"/>
        <v>0</v>
      </c>
      <c r="Z702" s="163">
        <f t="shared" ca="1" si="377"/>
        <v>0</v>
      </c>
      <c r="AA702" s="163">
        <f t="shared" ca="1" si="385"/>
        <v>0</v>
      </c>
      <c r="AB702" s="84">
        <f t="shared" ca="1" si="368"/>
        <v>0</v>
      </c>
      <c r="AC702" s="160">
        <f t="shared" si="369"/>
        <v>0</v>
      </c>
      <c r="AD702" s="31">
        <f t="shared" ca="1" si="370"/>
        <v>0</v>
      </c>
      <c r="AF702" s="5"/>
      <c r="AG702" s="5"/>
      <c r="AS702" s="55">
        <f t="shared" si="378"/>
        <v>59</v>
      </c>
      <c r="AT702" s="56">
        <f t="shared" si="386"/>
        <v>699</v>
      </c>
      <c r="AU702" s="57">
        <f t="shared" si="390"/>
        <v>3.3017236512166107E-2</v>
      </c>
      <c r="AV702" s="58">
        <f t="shared" si="379"/>
        <v>4.8675505653430484E-3</v>
      </c>
      <c r="AW702" s="59">
        <f t="shared" si="380"/>
        <v>1.004867550565343</v>
      </c>
      <c r="AX702" s="60">
        <f>PRODUCT(AW$4:AW702)</f>
        <v>29.789735808449446</v>
      </c>
    </row>
    <row r="703" spans="5:50">
      <c r="E703">
        <f t="shared" si="388"/>
        <v>700</v>
      </c>
      <c r="F703" s="9">
        <f t="shared" si="381"/>
        <v>127.24999999999669</v>
      </c>
      <c r="G703" s="132">
        <f t="shared" si="361"/>
        <v>0</v>
      </c>
      <c r="H703" s="133">
        <f t="shared" si="387"/>
        <v>1</v>
      </c>
      <c r="I703" s="31">
        <f t="shared" si="371"/>
        <v>0</v>
      </c>
      <c r="J703" s="31">
        <f t="shared" si="362"/>
        <v>0</v>
      </c>
      <c r="K703" s="163">
        <f t="shared" si="363"/>
        <v>0</v>
      </c>
      <c r="L703" s="163">
        <f t="shared" si="372"/>
        <v>0</v>
      </c>
      <c r="M703" s="163">
        <f t="shared" si="389"/>
        <v>0</v>
      </c>
      <c r="N703" s="163">
        <f t="shared" si="373"/>
        <v>0</v>
      </c>
      <c r="O703" s="84">
        <f t="shared" si="364"/>
        <v>0</v>
      </c>
      <c r="P703" s="31">
        <f t="shared" si="365"/>
        <v>0</v>
      </c>
      <c r="R703">
        <f t="shared" ca="1" si="374"/>
        <v>820</v>
      </c>
      <c r="S703" s="133">
        <f t="shared" ca="1" si="375"/>
        <v>134.91999999999999</v>
      </c>
      <c r="T703" s="132">
        <f t="shared" ca="1" si="366"/>
        <v>0</v>
      </c>
      <c r="U703" s="133">
        <f t="shared" ca="1" si="382"/>
        <v>1.9008342029825436E-4</v>
      </c>
      <c r="V703" s="31">
        <f t="shared" ca="1" si="376"/>
        <v>0</v>
      </c>
      <c r="W703" s="31">
        <f t="shared" ca="1" si="367"/>
        <v>0</v>
      </c>
      <c r="X703" s="163">
        <f t="shared" ca="1" si="383"/>
        <v>0</v>
      </c>
      <c r="Y703" s="163">
        <f t="shared" ca="1" si="384"/>
        <v>0</v>
      </c>
      <c r="Z703" s="163">
        <f t="shared" ca="1" si="377"/>
        <v>0</v>
      </c>
      <c r="AA703" s="163">
        <f t="shared" ca="1" si="385"/>
        <v>0</v>
      </c>
      <c r="AB703" s="84">
        <f t="shared" ca="1" si="368"/>
        <v>0</v>
      </c>
      <c r="AC703" s="160">
        <f t="shared" si="369"/>
        <v>0</v>
      </c>
      <c r="AD703" s="31">
        <f t="shared" ca="1" si="370"/>
        <v>0</v>
      </c>
      <c r="AF703" s="5"/>
      <c r="AG703" s="5"/>
      <c r="AS703" s="55">
        <f t="shared" si="378"/>
        <v>59</v>
      </c>
      <c r="AT703" s="56">
        <f t="shared" si="386"/>
        <v>700</v>
      </c>
      <c r="AU703" s="57">
        <f t="shared" si="390"/>
        <v>3.285652344391525E-2</v>
      </c>
      <c r="AV703" s="58">
        <f t="shared" si="379"/>
        <v>4.8675505653430484E-3</v>
      </c>
      <c r="AW703" s="59">
        <f t="shared" si="380"/>
        <v>1.004867550565343</v>
      </c>
      <c r="AX703" s="60">
        <f>PRODUCT(AW$4:AW703)</f>
        <v>29.934738853825284</v>
      </c>
    </row>
    <row r="704" spans="5:50">
      <c r="E704">
        <f t="shared" si="388"/>
        <v>701</v>
      </c>
      <c r="F704" s="9">
        <f t="shared" si="381"/>
        <v>127.33333333333002</v>
      </c>
      <c r="G704" s="132">
        <f t="shared" si="361"/>
        <v>0</v>
      </c>
      <c r="H704" s="133">
        <f t="shared" si="387"/>
        <v>1</v>
      </c>
      <c r="I704" s="31">
        <f t="shared" si="371"/>
        <v>0</v>
      </c>
      <c r="J704" s="31">
        <f t="shared" si="362"/>
        <v>0</v>
      </c>
      <c r="K704" s="163">
        <f t="shared" si="363"/>
        <v>0</v>
      </c>
      <c r="L704" s="163">
        <f t="shared" si="372"/>
        <v>0</v>
      </c>
      <c r="M704" s="163">
        <f t="shared" si="389"/>
        <v>0</v>
      </c>
      <c r="N704" s="163">
        <f t="shared" si="373"/>
        <v>0</v>
      </c>
      <c r="O704" s="84">
        <f t="shared" si="364"/>
        <v>0</v>
      </c>
      <c r="P704" s="31">
        <f t="shared" si="365"/>
        <v>0</v>
      </c>
      <c r="R704">
        <f t="shared" ca="1" si="374"/>
        <v>821</v>
      </c>
      <c r="S704" s="133">
        <f t="shared" ca="1" si="375"/>
        <v>135</v>
      </c>
      <c r="T704" s="132">
        <f t="shared" ca="1" si="366"/>
        <v>0</v>
      </c>
      <c r="U704" s="133">
        <f t="shared" ca="1" si="382"/>
        <v>1.9008342029825436E-4</v>
      </c>
      <c r="V704" s="31">
        <f t="shared" ca="1" si="376"/>
        <v>0</v>
      </c>
      <c r="W704" s="31">
        <f t="shared" ca="1" si="367"/>
        <v>0</v>
      </c>
      <c r="X704" s="163">
        <f t="shared" ca="1" si="383"/>
        <v>0</v>
      </c>
      <c r="Y704" s="163">
        <f t="shared" ca="1" si="384"/>
        <v>0</v>
      </c>
      <c r="Z704" s="163">
        <f t="shared" ca="1" si="377"/>
        <v>0</v>
      </c>
      <c r="AA704" s="163">
        <f t="shared" ca="1" si="385"/>
        <v>0</v>
      </c>
      <c r="AB704" s="84">
        <f t="shared" ca="1" si="368"/>
        <v>0</v>
      </c>
      <c r="AC704" s="160">
        <f t="shared" si="369"/>
        <v>0</v>
      </c>
      <c r="AD704" s="31">
        <f t="shared" ca="1" si="370"/>
        <v>0</v>
      </c>
      <c r="AF704" s="5"/>
      <c r="AG704" s="5"/>
      <c r="AS704" s="55">
        <f t="shared" si="378"/>
        <v>59</v>
      </c>
      <c r="AT704" s="56">
        <f t="shared" si="386"/>
        <v>701</v>
      </c>
      <c r="AU704" s="57">
        <f t="shared" si="390"/>
        <v>3.2696592654650615E-2</v>
      </c>
      <c r="AV704" s="58">
        <f t="shared" si="379"/>
        <v>4.8675505653430484E-3</v>
      </c>
      <c r="AW704" s="59">
        <f t="shared" si="380"/>
        <v>1.004867550565343</v>
      </c>
      <c r="AX704" s="60">
        <f>PRODUCT(AW$4:AW704)</f>
        <v>30.080447708856617</v>
      </c>
    </row>
    <row r="705" spans="5:50">
      <c r="E705">
        <f t="shared" si="388"/>
        <v>702</v>
      </c>
      <c r="F705" s="9">
        <f t="shared" si="381"/>
        <v>127.41666666666335</v>
      </c>
      <c r="G705" s="132">
        <f t="shared" si="361"/>
        <v>0</v>
      </c>
      <c r="H705" s="133">
        <f t="shared" si="387"/>
        <v>1</v>
      </c>
      <c r="I705" s="31">
        <f t="shared" si="371"/>
        <v>0</v>
      </c>
      <c r="J705" s="31">
        <f t="shared" si="362"/>
        <v>0</v>
      </c>
      <c r="K705" s="163">
        <f t="shared" si="363"/>
        <v>0</v>
      </c>
      <c r="L705" s="163">
        <f t="shared" si="372"/>
        <v>0</v>
      </c>
      <c r="M705" s="163">
        <f t="shared" si="389"/>
        <v>0</v>
      </c>
      <c r="N705" s="163">
        <f t="shared" si="373"/>
        <v>0</v>
      </c>
      <c r="O705" s="84">
        <f t="shared" si="364"/>
        <v>0</v>
      </c>
      <c r="P705" s="31">
        <f t="shared" si="365"/>
        <v>0</v>
      </c>
      <c r="R705">
        <f t="shared" ca="1" si="374"/>
        <v>822</v>
      </c>
      <c r="S705" s="133">
        <f t="shared" ca="1" si="375"/>
        <v>135.08000000000001</v>
      </c>
      <c r="T705" s="132">
        <f t="shared" ca="1" si="366"/>
        <v>0</v>
      </c>
      <c r="U705" s="133">
        <f t="shared" ca="1" si="382"/>
        <v>1.9008342029825436E-4</v>
      </c>
      <c r="V705" s="31">
        <f t="shared" ca="1" si="376"/>
        <v>0</v>
      </c>
      <c r="W705" s="31">
        <f t="shared" ca="1" si="367"/>
        <v>0</v>
      </c>
      <c r="X705" s="163">
        <f t="shared" ca="1" si="383"/>
        <v>0</v>
      </c>
      <c r="Y705" s="163">
        <f t="shared" ca="1" si="384"/>
        <v>0</v>
      </c>
      <c r="Z705" s="163">
        <f t="shared" ca="1" si="377"/>
        <v>0</v>
      </c>
      <c r="AA705" s="163">
        <f t="shared" ca="1" si="385"/>
        <v>0</v>
      </c>
      <c r="AB705" s="84">
        <f t="shared" ca="1" si="368"/>
        <v>0</v>
      </c>
      <c r="AC705" s="160">
        <f t="shared" si="369"/>
        <v>0</v>
      </c>
      <c r="AD705" s="31">
        <f t="shared" ca="1" si="370"/>
        <v>0</v>
      </c>
      <c r="AF705" s="5"/>
      <c r="AG705" s="5"/>
      <c r="AS705" s="55">
        <f t="shared" si="378"/>
        <v>59</v>
      </c>
      <c r="AT705" s="56">
        <f t="shared" si="386"/>
        <v>702</v>
      </c>
      <c r="AU705" s="57">
        <f t="shared" si="390"/>
        <v>3.2537440336589681E-2</v>
      </c>
      <c r="AV705" s="58">
        <f t="shared" si="379"/>
        <v>4.8675505653430484E-3</v>
      </c>
      <c r="AW705" s="59">
        <f t="shared" si="380"/>
        <v>1.004867550565343</v>
      </c>
      <c r="AX705" s="60">
        <f>PRODUCT(AW$4:AW705)</f>
        <v>30.226865809107636</v>
      </c>
    </row>
    <row r="706" spans="5:50">
      <c r="E706">
        <f t="shared" si="388"/>
        <v>703</v>
      </c>
      <c r="F706" s="9">
        <f t="shared" si="381"/>
        <v>127.49999999999667</v>
      </c>
      <c r="G706" s="132">
        <f t="shared" si="361"/>
        <v>0</v>
      </c>
      <c r="H706" s="133">
        <f t="shared" si="387"/>
        <v>1</v>
      </c>
      <c r="I706" s="31">
        <f t="shared" si="371"/>
        <v>0</v>
      </c>
      <c r="J706" s="31">
        <f t="shared" si="362"/>
        <v>0</v>
      </c>
      <c r="K706" s="163">
        <f t="shared" si="363"/>
        <v>0</v>
      </c>
      <c r="L706" s="163">
        <f t="shared" si="372"/>
        <v>0</v>
      </c>
      <c r="M706" s="163">
        <f t="shared" si="389"/>
        <v>0</v>
      </c>
      <c r="N706" s="163">
        <f t="shared" si="373"/>
        <v>0</v>
      </c>
      <c r="O706" s="84">
        <f t="shared" si="364"/>
        <v>0</v>
      </c>
      <c r="P706" s="31">
        <f t="shared" si="365"/>
        <v>0</v>
      </c>
      <c r="R706">
        <f t="shared" ca="1" si="374"/>
        <v>823</v>
      </c>
      <c r="S706" s="133">
        <f t="shared" ca="1" si="375"/>
        <v>135.16</v>
      </c>
      <c r="T706" s="132">
        <f t="shared" ca="1" si="366"/>
        <v>0</v>
      </c>
      <c r="U706" s="133">
        <f t="shared" ca="1" si="382"/>
        <v>1.9008342029825436E-4</v>
      </c>
      <c r="V706" s="31">
        <f t="shared" ca="1" si="376"/>
        <v>0</v>
      </c>
      <c r="W706" s="31">
        <f t="shared" ca="1" si="367"/>
        <v>0</v>
      </c>
      <c r="X706" s="163">
        <f t="shared" ca="1" si="383"/>
        <v>0</v>
      </c>
      <c r="Y706" s="163">
        <f t="shared" ca="1" si="384"/>
        <v>0</v>
      </c>
      <c r="Z706" s="163">
        <f t="shared" ca="1" si="377"/>
        <v>0</v>
      </c>
      <c r="AA706" s="163">
        <f t="shared" ca="1" si="385"/>
        <v>0</v>
      </c>
      <c r="AB706" s="84">
        <f t="shared" ca="1" si="368"/>
        <v>0</v>
      </c>
      <c r="AC706" s="160">
        <f t="shared" si="369"/>
        <v>0</v>
      </c>
      <c r="AD706" s="31">
        <f t="shared" ca="1" si="370"/>
        <v>0</v>
      </c>
      <c r="AF706" s="5"/>
      <c r="AG706" s="5"/>
      <c r="AS706" s="55">
        <f t="shared" si="378"/>
        <v>59</v>
      </c>
      <c r="AT706" s="56">
        <f t="shared" si="386"/>
        <v>703</v>
      </c>
      <c r="AU706" s="57">
        <f t="shared" si="390"/>
        <v>3.2379062700484497E-2</v>
      </c>
      <c r="AV706" s="58">
        <f t="shared" si="379"/>
        <v>4.8675505653430484E-3</v>
      </c>
      <c r="AW706" s="59">
        <f t="shared" si="380"/>
        <v>1.004867550565343</v>
      </c>
      <c r="AX706" s="60">
        <f>PRODUCT(AW$4:AW706)</f>
        <v>30.373996606865305</v>
      </c>
    </row>
    <row r="707" spans="5:50">
      <c r="E707">
        <f t="shared" si="388"/>
        <v>704</v>
      </c>
      <c r="F707" s="9">
        <f t="shared" si="381"/>
        <v>127.58333333333</v>
      </c>
      <c r="G707" s="132">
        <f t="shared" si="361"/>
        <v>0</v>
      </c>
      <c r="H707" s="133">
        <f t="shared" si="387"/>
        <v>1</v>
      </c>
      <c r="I707" s="31">
        <f t="shared" si="371"/>
        <v>0</v>
      </c>
      <c r="J707" s="31">
        <f t="shared" si="362"/>
        <v>0</v>
      </c>
      <c r="K707" s="163">
        <f t="shared" si="363"/>
        <v>0</v>
      </c>
      <c r="L707" s="163">
        <f t="shared" si="372"/>
        <v>0</v>
      </c>
      <c r="M707" s="163">
        <f t="shared" si="389"/>
        <v>0</v>
      </c>
      <c r="N707" s="163">
        <f t="shared" si="373"/>
        <v>0</v>
      </c>
      <c r="O707" s="84">
        <f t="shared" si="364"/>
        <v>0</v>
      </c>
      <c r="P707" s="31">
        <f t="shared" si="365"/>
        <v>0</v>
      </c>
      <c r="R707">
        <f t="shared" ca="1" si="374"/>
        <v>824</v>
      </c>
      <c r="S707" s="133">
        <f t="shared" ca="1" si="375"/>
        <v>135.24</v>
      </c>
      <c r="T707" s="132">
        <f t="shared" ca="1" si="366"/>
        <v>0</v>
      </c>
      <c r="U707" s="133">
        <f t="shared" ca="1" si="382"/>
        <v>1.9008342029825436E-4</v>
      </c>
      <c r="V707" s="31">
        <f t="shared" ca="1" si="376"/>
        <v>0</v>
      </c>
      <c r="W707" s="31">
        <f t="shared" ca="1" si="367"/>
        <v>0</v>
      </c>
      <c r="X707" s="163">
        <f t="shared" ca="1" si="383"/>
        <v>0</v>
      </c>
      <c r="Y707" s="163">
        <f t="shared" ca="1" si="384"/>
        <v>0</v>
      </c>
      <c r="Z707" s="163">
        <f t="shared" ca="1" si="377"/>
        <v>0</v>
      </c>
      <c r="AA707" s="163">
        <f t="shared" ca="1" si="385"/>
        <v>0</v>
      </c>
      <c r="AB707" s="84">
        <f t="shared" ca="1" si="368"/>
        <v>0</v>
      </c>
      <c r="AC707" s="160">
        <f t="shared" si="369"/>
        <v>0</v>
      </c>
      <c r="AD707" s="31">
        <f t="shared" ca="1" si="370"/>
        <v>0</v>
      </c>
      <c r="AF707" s="5"/>
      <c r="AG707" s="5"/>
      <c r="AS707" s="55">
        <f t="shared" si="378"/>
        <v>59</v>
      </c>
      <c r="AT707" s="56">
        <f t="shared" si="386"/>
        <v>704</v>
      </c>
      <c r="AU707" s="57">
        <f t="shared" si="390"/>
        <v>3.2221455975531478E-2</v>
      </c>
      <c r="AV707" s="58">
        <f t="shared" si="379"/>
        <v>4.8675505653430484E-3</v>
      </c>
      <c r="AW707" s="59">
        <f t="shared" si="380"/>
        <v>1.004867550565343</v>
      </c>
      <c r="AX707" s="60">
        <f>PRODUCT(AW$4:AW707)</f>
        <v>30.521843571220781</v>
      </c>
    </row>
    <row r="708" spans="5:50">
      <c r="E708">
        <f t="shared" si="388"/>
        <v>705</v>
      </c>
      <c r="F708" s="9">
        <f t="shared" si="381"/>
        <v>127.66666666666333</v>
      </c>
      <c r="G708" s="132">
        <f t="shared" ref="G708:G771" si="391">(1-(1-IF(F708&gt;$AK$90,0,VLOOKUP(ROUND(F708,0),$AK$4:$AL$90,2,FALSE)))^(1/12))*0</f>
        <v>0</v>
      </c>
      <c r="H708" s="133">
        <f t="shared" si="387"/>
        <v>1</v>
      </c>
      <c r="I708" s="31">
        <f t="shared" si="371"/>
        <v>0</v>
      </c>
      <c r="J708" s="31">
        <f t="shared" ref="J708:J771" si="392">(I708)*$AV708</f>
        <v>0</v>
      </c>
      <c r="K708" s="163">
        <f t="shared" ref="K708:K771" si="393">IF(I708=0,0,-$C$19)*H708</f>
        <v>0</v>
      </c>
      <c r="L708" s="163">
        <f t="shared" si="372"/>
        <v>0</v>
      </c>
      <c r="M708" s="163">
        <f t="shared" si="389"/>
        <v>0</v>
      </c>
      <c r="N708" s="163">
        <f t="shared" si="373"/>
        <v>0</v>
      </c>
      <c r="O708" s="84">
        <f t="shared" ref="O708:O771" si="394">-MIN(
IF(MOD(E708-1,IF($C$7="Annual",12,1))=0,1,0)
*IF(F708&lt;=$C$6,H708*$C$5*$C$4/IF($C$7="Monthly",12,1),$C$12),I708)</f>
        <v>0</v>
      </c>
      <c r="P708" s="31">
        <f t="shared" ref="P708:P771" si="395">SUM(I708:O708)</f>
        <v>0</v>
      </c>
      <c r="R708">
        <f t="shared" ca="1" si="374"/>
        <v>825</v>
      </c>
      <c r="S708" s="133">
        <f t="shared" ca="1" si="375"/>
        <v>135.32</v>
      </c>
      <c r="T708" s="132">
        <f t="shared" ref="T708:T771" ca="1" si="396">(1-(1-IF(S708&gt;$AK$90,0,VLOOKUP(ROUND(S708,0),$AK$4:$AL$90,2,FALSE)))^(1/12))</f>
        <v>0</v>
      </c>
      <c r="U708" s="133">
        <f t="shared" ca="1" si="382"/>
        <v>1.9008342029825436E-4</v>
      </c>
      <c r="V708" s="31">
        <f t="shared" ca="1" si="376"/>
        <v>0</v>
      </c>
      <c r="W708" s="31">
        <f t="shared" ref="W708:W771" ca="1" si="397">(V708)*$AV708</f>
        <v>0</v>
      </c>
      <c r="X708" s="163">
        <f t="shared" ca="1" si="383"/>
        <v>0</v>
      </c>
      <c r="Y708" s="163">
        <f t="shared" ca="1" si="384"/>
        <v>0</v>
      </c>
      <c r="Z708" s="163">
        <f t="shared" ca="1" si="377"/>
        <v>0</v>
      </c>
      <c r="AA708" s="163">
        <f t="shared" ca="1" si="385"/>
        <v>0</v>
      </c>
      <c r="AB708" s="84">
        <f t="shared" ref="AB708:AB771" ca="1" si="398">-MIN(IF(MOD(R708,IF($C$7="Annual",12,1))=0,1,0)*$C$39*U708/IF($C$7="Monthly",12,1),V708)</f>
        <v>0</v>
      </c>
      <c r="AC708" s="160">
        <f t="shared" ref="AC708:AC771" si="399">IF($C$8="Yes",-V708*T708,0)</f>
        <v>0</v>
      </c>
      <c r="AD708" s="31">
        <f t="shared" ref="AD708:AD771" ca="1" si="400">SUM(V708:AC708)</f>
        <v>0</v>
      </c>
      <c r="AF708" s="5"/>
      <c r="AG708" s="5"/>
      <c r="AS708" s="55">
        <f t="shared" si="378"/>
        <v>59</v>
      </c>
      <c r="AT708" s="56">
        <f t="shared" si="386"/>
        <v>705</v>
      </c>
      <c r="AU708" s="57">
        <f t="shared" si="390"/>
        <v>3.2064616409281606E-2</v>
      </c>
      <c r="AV708" s="58">
        <f t="shared" si="379"/>
        <v>4.8675505653430484E-3</v>
      </c>
      <c r="AW708" s="59">
        <f t="shared" si="380"/>
        <v>1.004867550565343</v>
      </c>
      <c r="AX708" s="60">
        <f>PRODUCT(AW$4:AW708)</f>
        <v>30.670410188151187</v>
      </c>
    </row>
    <row r="709" spans="5:50">
      <c r="E709">
        <f t="shared" si="388"/>
        <v>706</v>
      </c>
      <c r="F709" s="9">
        <f t="shared" si="381"/>
        <v>127.74999999999666</v>
      </c>
      <c r="G709" s="132">
        <f t="shared" si="391"/>
        <v>0</v>
      </c>
      <c r="H709" s="133">
        <f t="shared" si="387"/>
        <v>1</v>
      </c>
      <c r="I709" s="31">
        <f t="shared" ref="I709:I772" si="401">MAX(P708,0)*(1-G709)</f>
        <v>0</v>
      </c>
      <c r="J709" s="31">
        <f t="shared" si="392"/>
        <v>0</v>
      </c>
      <c r="K709" s="163">
        <f t="shared" si="393"/>
        <v>0</v>
      </c>
      <c r="L709" s="163">
        <f t="shared" ref="L709:L772" si="402">IF(OR(I708+O708=0,K708=0),0,-I709*($C$16/12))</f>
        <v>0</v>
      </c>
      <c r="M709" s="163">
        <f t="shared" si="389"/>
        <v>0</v>
      </c>
      <c r="N709" s="163">
        <f t="shared" ref="N709:N772" si="403">IF(OR(I708+O708=0,K708=0),0,-I709*($C$18*(1+$C$20))/12)</f>
        <v>0</v>
      </c>
      <c r="O709" s="84">
        <f t="shared" si="394"/>
        <v>0</v>
      </c>
      <c r="P709" s="31">
        <f t="shared" si="395"/>
        <v>0</v>
      </c>
      <c r="R709">
        <f t="shared" ref="R709:R772" ca="1" si="404">R708+1</f>
        <v>826</v>
      </c>
      <c r="S709" s="133">
        <f t="shared" ref="S709:S772" ca="1" si="405">ROUND((R709-R708)/12+S708,2)</f>
        <v>135.4</v>
      </c>
      <c r="T709" s="132">
        <f t="shared" ca="1" si="396"/>
        <v>0</v>
      </c>
      <c r="U709" s="133">
        <f t="shared" ca="1" si="382"/>
        <v>1.9008342029825436E-4</v>
      </c>
      <c r="V709" s="31">
        <f t="shared" ref="V709:V772" ca="1" si="406">MAX(AD708,0)*(1-T709)</f>
        <v>0</v>
      </c>
      <c r="W709" s="31">
        <f t="shared" ca="1" si="397"/>
        <v>0</v>
      </c>
      <c r="X709" s="163">
        <f t="shared" ca="1" si="383"/>
        <v>0</v>
      </c>
      <c r="Y709" s="163">
        <f t="shared" ca="1" si="384"/>
        <v>0</v>
      </c>
      <c r="Z709" s="163">
        <f t="shared" ref="Z709:Z772" ca="1" si="407">IF(OR(V708+AB708=0,X708=0),0,-IF(MOD(E709,12)=0,1,0)*V709*($C$17))</f>
        <v>0</v>
      </c>
      <c r="AA709" s="163">
        <f t="shared" ca="1" si="385"/>
        <v>0</v>
      </c>
      <c r="AB709" s="84">
        <f t="shared" ca="1" si="398"/>
        <v>0</v>
      </c>
      <c r="AC709" s="160">
        <f t="shared" si="399"/>
        <v>0</v>
      </c>
      <c r="AD709" s="31">
        <f t="shared" ca="1" si="400"/>
        <v>0</v>
      </c>
      <c r="AF709" s="5"/>
      <c r="AG709" s="5"/>
      <c r="AS709" s="55">
        <f t="shared" ref="AS709:AS772" si="408">ROUNDDOWN((AT709-1)/12,0)+1</f>
        <v>59</v>
      </c>
      <c r="AT709" s="56">
        <f t="shared" si="386"/>
        <v>706</v>
      </c>
      <c r="AU709" s="57">
        <f t="shared" si="390"/>
        <v>3.1908540267551098E-2</v>
      </c>
      <c r="AV709" s="58">
        <f t="shared" ref="AV709:AV772" si="409">((1+$AV$1)^(1/12))-1</f>
        <v>4.8675505653430484E-3</v>
      </c>
      <c r="AW709" s="59">
        <f t="shared" ref="AW709:AW772" si="410">(1+AV709)</f>
        <v>1.004867550565343</v>
      </c>
      <c r="AX709" s="60">
        <f>PRODUCT(AW$4:AW709)</f>
        <v>30.819699960601827</v>
      </c>
    </row>
    <row r="710" spans="5:50">
      <c r="E710">
        <f t="shared" si="388"/>
        <v>707</v>
      </c>
      <c r="F710" s="9">
        <f t="shared" ref="F710:F773" si="411">1/12+F709</f>
        <v>127.83333333332999</v>
      </c>
      <c r="G710" s="132">
        <f t="shared" si="391"/>
        <v>0</v>
      </c>
      <c r="H710" s="133">
        <f t="shared" si="387"/>
        <v>1</v>
      </c>
      <c r="I710" s="31">
        <f t="shared" si="401"/>
        <v>0</v>
      </c>
      <c r="J710" s="31">
        <f t="shared" si="392"/>
        <v>0</v>
      </c>
      <c r="K710" s="163">
        <f t="shared" si="393"/>
        <v>0</v>
      </c>
      <c r="L710" s="163">
        <f t="shared" si="402"/>
        <v>0</v>
      </c>
      <c r="M710" s="163">
        <f t="shared" si="389"/>
        <v>0</v>
      </c>
      <c r="N710" s="163">
        <f t="shared" si="403"/>
        <v>0</v>
      </c>
      <c r="O710" s="84">
        <f t="shared" si="394"/>
        <v>0</v>
      </c>
      <c r="P710" s="31">
        <f t="shared" si="395"/>
        <v>0</v>
      </c>
      <c r="R710">
        <f t="shared" ca="1" si="404"/>
        <v>827</v>
      </c>
      <c r="S710" s="133">
        <f t="shared" ca="1" si="405"/>
        <v>135.47999999999999</v>
      </c>
      <c r="T710" s="132">
        <f t="shared" ca="1" si="396"/>
        <v>0</v>
      </c>
      <c r="U710" s="133">
        <f t="shared" ref="U710:U773" ca="1" si="412">U709*(1-T710)</f>
        <v>1.9008342029825436E-4</v>
      </c>
      <c r="V710" s="31">
        <f t="shared" ca="1" si="406"/>
        <v>0</v>
      </c>
      <c r="W710" s="31">
        <f t="shared" ca="1" si="397"/>
        <v>0</v>
      </c>
      <c r="X710" s="163">
        <f t="shared" ref="X710:X773" ca="1" si="413">IF(V710=0,0,-$C$19)*U710</f>
        <v>0</v>
      </c>
      <c r="Y710" s="163">
        <f t="shared" ref="Y710:Y773" ca="1" si="414">IF(OR(V709+AB709=0,X709=0),0,-V710*($C$16/12))</f>
        <v>0</v>
      </c>
      <c r="Z710" s="163">
        <f t="shared" ca="1" si="407"/>
        <v>0</v>
      </c>
      <c r="AA710" s="163">
        <f t="shared" ref="AA710:AA773" ca="1" si="415">IF(OR(V709+AB709=0,X709=0),0,-V710*($C$18*(1+$C$20))/12)</f>
        <v>0</v>
      </c>
      <c r="AB710" s="84">
        <f t="shared" ca="1" si="398"/>
        <v>0</v>
      </c>
      <c r="AC710" s="160">
        <f t="shared" si="399"/>
        <v>0</v>
      </c>
      <c r="AD710" s="31">
        <f t="shared" ca="1" si="400"/>
        <v>0</v>
      </c>
      <c r="AF710" s="5"/>
      <c r="AG710" s="5"/>
      <c r="AS710" s="55">
        <f t="shared" si="408"/>
        <v>59</v>
      </c>
      <c r="AT710" s="56">
        <f t="shared" ref="AT710:AT773" si="416">AT709+1</f>
        <v>707</v>
      </c>
      <c r="AU710" s="57">
        <f t="shared" si="390"/>
        <v>3.175322383433251E-2</v>
      </c>
      <c r="AV710" s="58">
        <f t="shared" si="409"/>
        <v>4.8675505653430484E-3</v>
      </c>
      <c r="AW710" s="59">
        <f t="shared" si="410"/>
        <v>1.004867550565343</v>
      </c>
      <c r="AX710" s="60">
        <f>PRODUCT(AW$4:AW710)</f>
        <v>30.969716408568758</v>
      </c>
    </row>
    <row r="711" spans="5:50">
      <c r="E711">
        <f t="shared" si="388"/>
        <v>708</v>
      </c>
      <c r="F711" s="9">
        <f t="shared" si="411"/>
        <v>127.91666666666332</v>
      </c>
      <c r="G711" s="132">
        <f t="shared" si="391"/>
        <v>0</v>
      </c>
      <c r="H711" s="133">
        <f t="shared" ref="H711:H774" si="417">H710*(1-G711)</f>
        <v>1</v>
      </c>
      <c r="I711" s="31">
        <f t="shared" si="401"/>
        <v>0</v>
      </c>
      <c r="J711" s="31">
        <f t="shared" si="392"/>
        <v>0</v>
      </c>
      <c r="K711" s="163">
        <f t="shared" si="393"/>
        <v>0</v>
      </c>
      <c r="L711" s="163">
        <f t="shared" si="402"/>
        <v>0</v>
      </c>
      <c r="M711" s="163">
        <f t="shared" si="389"/>
        <v>0</v>
      </c>
      <c r="N711" s="163">
        <f t="shared" si="403"/>
        <v>0</v>
      </c>
      <c r="O711" s="84">
        <f t="shared" si="394"/>
        <v>0</v>
      </c>
      <c r="P711" s="31">
        <f t="shared" si="395"/>
        <v>0</v>
      </c>
      <c r="R711">
        <f t="shared" ca="1" si="404"/>
        <v>828</v>
      </c>
      <c r="S711" s="133">
        <f t="shared" ca="1" si="405"/>
        <v>135.56</v>
      </c>
      <c r="T711" s="132">
        <f t="shared" ca="1" si="396"/>
        <v>0</v>
      </c>
      <c r="U711" s="133">
        <f t="shared" ca="1" si="412"/>
        <v>1.9008342029825436E-4</v>
      </c>
      <c r="V711" s="31">
        <f t="shared" ca="1" si="406"/>
        <v>0</v>
      </c>
      <c r="W711" s="31">
        <f t="shared" ca="1" si="397"/>
        <v>0</v>
      </c>
      <c r="X711" s="163">
        <f t="shared" ca="1" si="413"/>
        <v>0</v>
      </c>
      <c r="Y711" s="163">
        <f t="shared" ca="1" si="414"/>
        <v>0</v>
      </c>
      <c r="Z711" s="163">
        <f t="shared" ca="1" si="407"/>
        <v>0</v>
      </c>
      <c r="AA711" s="163">
        <f t="shared" ca="1" si="415"/>
        <v>0</v>
      </c>
      <c r="AB711" s="84">
        <f t="shared" ca="1" si="398"/>
        <v>0</v>
      </c>
      <c r="AC711" s="160">
        <f t="shared" si="399"/>
        <v>0</v>
      </c>
      <c r="AD711" s="31">
        <f t="shared" ca="1" si="400"/>
        <v>0</v>
      </c>
      <c r="AF711" s="5"/>
      <c r="AG711" s="5"/>
      <c r="AS711" s="55">
        <f t="shared" si="408"/>
        <v>59</v>
      </c>
      <c r="AT711" s="56">
        <f t="shared" si="416"/>
        <v>708</v>
      </c>
      <c r="AU711" s="57">
        <f t="shared" si="390"/>
        <v>3.1598663411706238E-2</v>
      </c>
      <c r="AV711" s="58">
        <f t="shared" si="409"/>
        <v>4.8675505653430484E-3</v>
      </c>
      <c r="AW711" s="59">
        <f t="shared" si="410"/>
        <v>1.004867550565343</v>
      </c>
      <c r="AX711" s="60">
        <f>PRODUCT(AW$4:AW711)</f>
        <v>31.120463069181799</v>
      </c>
    </row>
    <row r="712" spans="5:50">
      <c r="E712">
        <f t="shared" si="388"/>
        <v>709</v>
      </c>
      <c r="F712" s="9">
        <f t="shared" si="411"/>
        <v>127.99999999999665</v>
      </c>
      <c r="G712" s="132">
        <f t="shared" si="391"/>
        <v>0</v>
      </c>
      <c r="H712" s="133">
        <f t="shared" si="417"/>
        <v>1</v>
      </c>
      <c r="I712" s="31">
        <f t="shared" si="401"/>
        <v>0</v>
      </c>
      <c r="J712" s="31">
        <f t="shared" si="392"/>
        <v>0</v>
      </c>
      <c r="K712" s="163">
        <f t="shared" si="393"/>
        <v>0</v>
      </c>
      <c r="L712" s="163">
        <f t="shared" si="402"/>
        <v>0</v>
      </c>
      <c r="M712" s="163">
        <f t="shared" si="389"/>
        <v>0</v>
      </c>
      <c r="N712" s="163">
        <f t="shared" si="403"/>
        <v>0</v>
      </c>
      <c r="O712" s="84">
        <f t="shared" si="394"/>
        <v>0</v>
      </c>
      <c r="P712" s="31">
        <f t="shared" si="395"/>
        <v>0</v>
      </c>
      <c r="R712">
        <f t="shared" ca="1" si="404"/>
        <v>829</v>
      </c>
      <c r="S712" s="133">
        <f t="shared" ca="1" si="405"/>
        <v>135.63999999999999</v>
      </c>
      <c r="T712" s="132">
        <f t="shared" ca="1" si="396"/>
        <v>0</v>
      </c>
      <c r="U712" s="133">
        <f t="shared" ca="1" si="412"/>
        <v>1.9008342029825436E-4</v>
      </c>
      <c r="V712" s="31">
        <f t="shared" ca="1" si="406"/>
        <v>0</v>
      </c>
      <c r="W712" s="31">
        <f t="shared" ca="1" si="397"/>
        <v>0</v>
      </c>
      <c r="X712" s="163">
        <f t="shared" ca="1" si="413"/>
        <v>0</v>
      </c>
      <c r="Y712" s="163">
        <f t="shared" ca="1" si="414"/>
        <v>0</v>
      </c>
      <c r="Z712" s="163">
        <f t="shared" ca="1" si="407"/>
        <v>0</v>
      </c>
      <c r="AA712" s="163">
        <f t="shared" ca="1" si="415"/>
        <v>0</v>
      </c>
      <c r="AB712" s="84">
        <f t="shared" ca="1" si="398"/>
        <v>0</v>
      </c>
      <c r="AC712" s="160">
        <f t="shared" si="399"/>
        <v>0</v>
      </c>
      <c r="AD712" s="31">
        <f t="shared" ca="1" si="400"/>
        <v>0</v>
      </c>
      <c r="AF712" s="5"/>
      <c r="AG712" s="5"/>
      <c r="AS712" s="55">
        <f t="shared" si="408"/>
        <v>60</v>
      </c>
      <c r="AT712" s="56">
        <f t="shared" si="416"/>
        <v>709</v>
      </c>
      <c r="AU712" s="57">
        <f t="shared" si="390"/>
        <v>3.1444855319752503E-2</v>
      </c>
      <c r="AV712" s="58">
        <f t="shared" si="409"/>
        <v>4.8675505653430484E-3</v>
      </c>
      <c r="AW712" s="59">
        <f t="shared" si="410"/>
        <v>1.004867550565343</v>
      </c>
      <c r="AX712" s="60">
        <f>PRODUCT(AW$4:AW712)</f>
        <v>31.271943496787934</v>
      </c>
    </row>
    <row r="713" spans="5:50">
      <c r="E713">
        <f t="shared" si="388"/>
        <v>710</v>
      </c>
      <c r="F713" s="9">
        <f t="shared" si="411"/>
        <v>128.08333333332999</v>
      </c>
      <c r="G713" s="132">
        <f t="shared" si="391"/>
        <v>0</v>
      </c>
      <c r="H713" s="133">
        <f t="shared" si="417"/>
        <v>1</v>
      </c>
      <c r="I713" s="31">
        <f t="shared" si="401"/>
        <v>0</v>
      </c>
      <c r="J713" s="31">
        <f t="shared" si="392"/>
        <v>0</v>
      </c>
      <c r="K713" s="163">
        <f t="shared" si="393"/>
        <v>0</v>
      </c>
      <c r="L713" s="163">
        <f t="shared" si="402"/>
        <v>0</v>
      </c>
      <c r="M713" s="163">
        <f t="shared" si="389"/>
        <v>0</v>
      </c>
      <c r="N713" s="163">
        <f t="shared" si="403"/>
        <v>0</v>
      </c>
      <c r="O713" s="84">
        <f t="shared" si="394"/>
        <v>0</v>
      </c>
      <c r="P713" s="31">
        <f t="shared" si="395"/>
        <v>0</v>
      </c>
      <c r="R713">
        <f t="shared" ca="1" si="404"/>
        <v>830</v>
      </c>
      <c r="S713" s="133">
        <f t="shared" ca="1" si="405"/>
        <v>135.72</v>
      </c>
      <c r="T713" s="132">
        <f t="shared" ca="1" si="396"/>
        <v>0</v>
      </c>
      <c r="U713" s="133">
        <f t="shared" ca="1" si="412"/>
        <v>1.9008342029825436E-4</v>
      </c>
      <c r="V713" s="31">
        <f t="shared" ca="1" si="406"/>
        <v>0</v>
      </c>
      <c r="W713" s="31">
        <f t="shared" ca="1" si="397"/>
        <v>0</v>
      </c>
      <c r="X713" s="163">
        <f t="shared" ca="1" si="413"/>
        <v>0</v>
      </c>
      <c r="Y713" s="163">
        <f t="shared" ca="1" si="414"/>
        <v>0</v>
      </c>
      <c r="Z713" s="163">
        <f t="shared" ca="1" si="407"/>
        <v>0</v>
      </c>
      <c r="AA713" s="163">
        <f t="shared" ca="1" si="415"/>
        <v>0</v>
      </c>
      <c r="AB713" s="84">
        <f t="shared" ca="1" si="398"/>
        <v>0</v>
      </c>
      <c r="AC713" s="160">
        <f t="shared" si="399"/>
        <v>0</v>
      </c>
      <c r="AD713" s="31">
        <f t="shared" ca="1" si="400"/>
        <v>0</v>
      </c>
      <c r="AF713" s="5"/>
      <c r="AG713" s="5"/>
      <c r="AS713" s="55">
        <f t="shared" si="408"/>
        <v>60</v>
      </c>
      <c r="AT713" s="56">
        <f t="shared" si="416"/>
        <v>710</v>
      </c>
      <c r="AU713" s="57">
        <f t="shared" si="390"/>
        <v>3.1291795896463713E-2</v>
      </c>
      <c r="AV713" s="58">
        <f t="shared" si="409"/>
        <v>4.8675505653430484E-3</v>
      </c>
      <c r="AW713" s="59">
        <f t="shared" si="410"/>
        <v>1.004867550565343</v>
      </c>
      <c r="AX713" s="60">
        <f>PRODUCT(AW$4:AW713)</f>
        <v>31.424161263035099</v>
      </c>
    </row>
    <row r="714" spans="5:50">
      <c r="E714">
        <f t="shared" si="388"/>
        <v>711</v>
      </c>
      <c r="F714" s="9">
        <f t="shared" si="411"/>
        <v>128.16666666666333</v>
      </c>
      <c r="G714" s="132">
        <f t="shared" si="391"/>
        <v>0</v>
      </c>
      <c r="H714" s="133">
        <f t="shared" si="417"/>
        <v>1</v>
      </c>
      <c r="I714" s="31">
        <f t="shared" si="401"/>
        <v>0</v>
      </c>
      <c r="J714" s="31">
        <f t="shared" si="392"/>
        <v>0</v>
      </c>
      <c r="K714" s="163">
        <f t="shared" si="393"/>
        <v>0</v>
      </c>
      <c r="L714" s="163">
        <f t="shared" si="402"/>
        <v>0</v>
      </c>
      <c r="M714" s="163">
        <f t="shared" si="389"/>
        <v>0</v>
      </c>
      <c r="N714" s="163">
        <f t="shared" si="403"/>
        <v>0</v>
      </c>
      <c r="O714" s="84">
        <f t="shared" si="394"/>
        <v>0</v>
      </c>
      <c r="P714" s="31">
        <f t="shared" si="395"/>
        <v>0</v>
      </c>
      <c r="R714">
        <f t="shared" ca="1" si="404"/>
        <v>831</v>
      </c>
      <c r="S714" s="133">
        <f t="shared" ca="1" si="405"/>
        <v>135.80000000000001</v>
      </c>
      <c r="T714" s="132">
        <f t="shared" ca="1" si="396"/>
        <v>0</v>
      </c>
      <c r="U714" s="133">
        <f t="shared" ca="1" si="412"/>
        <v>1.9008342029825436E-4</v>
      </c>
      <c r="V714" s="31">
        <f t="shared" ca="1" si="406"/>
        <v>0</v>
      </c>
      <c r="W714" s="31">
        <f t="shared" ca="1" si="397"/>
        <v>0</v>
      </c>
      <c r="X714" s="163">
        <f t="shared" ca="1" si="413"/>
        <v>0</v>
      </c>
      <c r="Y714" s="163">
        <f t="shared" ca="1" si="414"/>
        <v>0</v>
      </c>
      <c r="Z714" s="163">
        <f t="shared" ca="1" si="407"/>
        <v>0</v>
      </c>
      <c r="AA714" s="163">
        <f t="shared" ca="1" si="415"/>
        <v>0</v>
      </c>
      <c r="AB714" s="84">
        <f t="shared" ca="1" si="398"/>
        <v>0</v>
      </c>
      <c r="AC714" s="160">
        <f t="shared" si="399"/>
        <v>0</v>
      </c>
      <c r="AD714" s="31">
        <f t="shared" ca="1" si="400"/>
        <v>0</v>
      </c>
      <c r="AF714" s="5"/>
      <c r="AG714" s="5"/>
      <c r="AS714" s="55">
        <f t="shared" si="408"/>
        <v>60</v>
      </c>
      <c r="AT714" s="56">
        <f t="shared" si="416"/>
        <v>711</v>
      </c>
      <c r="AU714" s="57">
        <f t="shared" si="390"/>
        <v>3.113948149765728E-2</v>
      </c>
      <c r="AV714" s="58">
        <f t="shared" si="409"/>
        <v>4.8675505653430484E-3</v>
      </c>
      <c r="AW714" s="59">
        <f t="shared" si="410"/>
        <v>1.004867550565343</v>
      </c>
      <c r="AX714" s="60">
        <f>PRODUCT(AW$4:AW714)</f>
        <v>31.577119956956416</v>
      </c>
    </row>
    <row r="715" spans="5:50">
      <c r="E715">
        <f t="shared" si="388"/>
        <v>712</v>
      </c>
      <c r="F715" s="9">
        <f t="shared" si="411"/>
        <v>128.24999999999667</v>
      </c>
      <c r="G715" s="132">
        <f t="shared" si="391"/>
        <v>0</v>
      </c>
      <c r="H715" s="133">
        <f t="shared" si="417"/>
        <v>1</v>
      </c>
      <c r="I715" s="31">
        <f t="shared" si="401"/>
        <v>0</v>
      </c>
      <c r="J715" s="31">
        <f t="shared" si="392"/>
        <v>0</v>
      </c>
      <c r="K715" s="163">
        <f t="shared" si="393"/>
        <v>0</v>
      </c>
      <c r="L715" s="163">
        <f t="shared" si="402"/>
        <v>0</v>
      </c>
      <c r="M715" s="163">
        <f t="shared" si="389"/>
        <v>0</v>
      </c>
      <c r="N715" s="163">
        <f t="shared" si="403"/>
        <v>0</v>
      </c>
      <c r="O715" s="84">
        <f t="shared" si="394"/>
        <v>0</v>
      </c>
      <c r="P715" s="31">
        <f t="shared" si="395"/>
        <v>0</v>
      </c>
      <c r="R715">
        <f t="shared" ca="1" si="404"/>
        <v>832</v>
      </c>
      <c r="S715" s="133">
        <f t="shared" ca="1" si="405"/>
        <v>135.88</v>
      </c>
      <c r="T715" s="132">
        <f t="shared" ca="1" si="396"/>
        <v>0</v>
      </c>
      <c r="U715" s="133">
        <f t="shared" ca="1" si="412"/>
        <v>1.9008342029825436E-4</v>
      </c>
      <c r="V715" s="31">
        <f t="shared" ca="1" si="406"/>
        <v>0</v>
      </c>
      <c r="W715" s="31">
        <f t="shared" ca="1" si="397"/>
        <v>0</v>
      </c>
      <c r="X715" s="163">
        <f t="shared" ca="1" si="413"/>
        <v>0</v>
      </c>
      <c r="Y715" s="163">
        <f t="shared" ca="1" si="414"/>
        <v>0</v>
      </c>
      <c r="Z715" s="163">
        <f t="shared" ca="1" si="407"/>
        <v>0</v>
      </c>
      <c r="AA715" s="163">
        <f t="shared" ca="1" si="415"/>
        <v>0</v>
      </c>
      <c r="AB715" s="84">
        <f t="shared" ca="1" si="398"/>
        <v>0</v>
      </c>
      <c r="AC715" s="160">
        <f t="shared" si="399"/>
        <v>0</v>
      </c>
      <c r="AD715" s="31">
        <f t="shared" ca="1" si="400"/>
        <v>0</v>
      </c>
      <c r="AF715" s="5"/>
      <c r="AG715" s="5"/>
      <c r="AS715" s="55">
        <f t="shared" si="408"/>
        <v>60</v>
      </c>
      <c r="AT715" s="56">
        <f t="shared" si="416"/>
        <v>712</v>
      </c>
      <c r="AU715" s="57">
        <f t="shared" si="390"/>
        <v>3.0987908496888868E-2</v>
      </c>
      <c r="AV715" s="58">
        <f t="shared" si="409"/>
        <v>4.8675505653430484E-3</v>
      </c>
      <c r="AW715" s="59">
        <f t="shared" si="410"/>
        <v>1.004867550565343</v>
      </c>
      <c r="AX715" s="60">
        <f>PRODUCT(AW$4:AW715)</f>
        <v>31.730823185054806</v>
      </c>
    </row>
    <row r="716" spans="5:50">
      <c r="E716">
        <f t="shared" si="388"/>
        <v>713</v>
      </c>
      <c r="F716" s="9">
        <f t="shared" si="411"/>
        <v>128.33333333333002</v>
      </c>
      <c r="G716" s="132">
        <f t="shared" si="391"/>
        <v>0</v>
      </c>
      <c r="H716" s="133">
        <f t="shared" si="417"/>
        <v>1</v>
      </c>
      <c r="I716" s="31">
        <f t="shared" si="401"/>
        <v>0</v>
      </c>
      <c r="J716" s="31">
        <f t="shared" si="392"/>
        <v>0</v>
      </c>
      <c r="K716" s="163">
        <f t="shared" si="393"/>
        <v>0</v>
      </c>
      <c r="L716" s="163">
        <f t="shared" si="402"/>
        <v>0</v>
      </c>
      <c r="M716" s="163">
        <f t="shared" si="389"/>
        <v>0</v>
      </c>
      <c r="N716" s="163">
        <f t="shared" si="403"/>
        <v>0</v>
      </c>
      <c r="O716" s="84">
        <f t="shared" si="394"/>
        <v>0</v>
      </c>
      <c r="P716" s="31">
        <f t="shared" si="395"/>
        <v>0</v>
      </c>
      <c r="R716">
        <f t="shared" ca="1" si="404"/>
        <v>833</v>
      </c>
      <c r="S716" s="133">
        <f t="shared" ca="1" si="405"/>
        <v>135.96</v>
      </c>
      <c r="T716" s="132">
        <f t="shared" ca="1" si="396"/>
        <v>0</v>
      </c>
      <c r="U716" s="133">
        <f t="shared" ca="1" si="412"/>
        <v>1.9008342029825436E-4</v>
      </c>
      <c r="V716" s="31">
        <f t="shared" ca="1" si="406"/>
        <v>0</v>
      </c>
      <c r="W716" s="31">
        <f t="shared" ca="1" si="397"/>
        <v>0</v>
      </c>
      <c r="X716" s="163">
        <f t="shared" ca="1" si="413"/>
        <v>0</v>
      </c>
      <c r="Y716" s="163">
        <f t="shared" ca="1" si="414"/>
        <v>0</v>
      </c>
      <c r="Z716" s="163">
        <f t="shared" ca="1" si="407"/>
        <v>0</v>
      </c>
      <c r="AA716" s="163">
        <f t="shared" ca="1" si="415"/>
        <v>0</v>
      </c>
      <c r="AB716" s="84">
        <f t="shared" ca="1" si="398"/>
        <v>0</v>
      </c>
      <c r="AC716" s="160">
        <f t="shared" si="399"/>
        <v>0</v>
      </c>
      <c r="AD716" s="31">
        <f t="shared" ca="1" si="400"/>
        <v>0</v>
      </c>
      <c r="AF716" s="5"/>
      <c r="AG716" s="5"/>
      <c r="AS716" s="55">
        <f t="shared" si="408"/>
        <v>60</v>
      </c>
      <c r="AT716" s="56">
        <f t="shared" si="416"/>
        <v>713</v>
      </c>
      <c r="AU716" s="57">
        <f t="shared" si="390"/>
        <v>3.0837073285366039E-2</v>
      </c>
      <c r="AV716" s="58">
        <f t="shared" si="409"/>
        <v>4.8675505653430484E-3</v>
      </c>
      <c r="AW716" s="59">
        <f t="shared" si="410"/>
        <v>1.004867550565343</v>
      </c>
      <c r="AX716" s="60">
        <f>PRODUCT(AW$4:AW716)</f>
        <v>31.88527457138802</v>
      </c>
    </row>
    <row r="717" spans="5:50">
      <c r="E717">
        <f t="shared" si="388"/>
        <v>714</v>
      </c>
      <c r="F717" s="9">
        <f t="shared" si="411"/>
        <v>128.41666666666336</v>
      </c>
      <c r="G717" s="132">
        <f t="shared" si="391"/>
        <v>0</v>
      </c>
      <c r="H717" s="133">
        <f t="shared" si="417"/>
        <v>1</v>
      </c>
      <c r="I717" s="31">
        <f t="shared" si="401"/>
        <v>0</v>
      </c>
      <c r="J717" s="31">
        <f t="shared" si="392"/>
        <v>0</v>
      </c>
      <c r="K717" s="163">
        <f t="shared" si="393"/>
        <v>0</v>
      </c>
      <c r="L717" s="163">
        <f t="shared" si="402"/>
        <v>0</v>
      </c>
      <c r="M717" s="163">
        <f t="shared" si="389"/>
        <v>0</v>
      </c>
      <c r="N717" s="163">
        <f t="shared" si="403"/>
        <v>0</v>
      </c>
      <c r="O717" s="84">
        <f t="shared" si="394"/>
        <v>0</v>
      </c>
      <c r="P717" s="31">
        <f t="shared" si="395"/>
        <v>0</v>
      </c>
      <c r="R717">
        <f t="shared" ca="1" si="404"/>
        <v>834</v>
      </c>
      <c r="S717" s="133">
        <f t="shared" ca="1" si="405"/>
        <v>136.04</v>
      </c>
      <c r="T717" s="132">
        <f t="shared" ca="1" si="396"/>
        <v>0</v>
      </c>
      <c r="U717" s="133">
        <f t="shared" ca="1" si="412"/>
        <v>1.9008342029825436E-4</v>
      </c>
      <c r="V717" s="31">
        <f t="shared" ca="1" si="406"/>
        <v>0</v>
      </c>
      <c r="W717" s="31">
        <f t="shared" ca="1" si="397"/>
        <v>0</v>
      </c>
      <c r="X717" s="163">
        <f t="shared" ca="1" si="413"/>
        <v>0</v>
      </c>
      <c r="Y717" s="163">
        <f t="shared" ca="1" si="414"/>
        <v>0</v>
      </c>
      <c r="Z717" s="163">
        <f t="shared" ca="1" si="407"/>
        <v>0</v>
      </c>
      <c r="AA717" s="163">
        <f t="shared" ca="1" si="415"/>
        <v>0</v>
      </c>
      <c r="AB717" s="84">
        <f t="shared" ca="1" si="398"/>
        <v>0</v>
      </c>
      <c r="AC717" s="160">
        <f t="shared" si="399"/>
        <v>0</v>
      </c>
      <c r="AD717" s="31">
        <f t="shared" ca="1" si="400"/>
        <v>0</v>
      </c>
      <c r="AF717" s="5"/>
      <c r="AG717" s="5"/>
      <c r="AS717" s="55">
        <f t="shared" si="408"/>
        <v>60</v>
      </c>
      <c r="AT717" s="56">
        <f t="shared" si="416"/>
        <v>714</v>
      </c>
      <c r="AU717" s="57">
        <f t="shared" si="390"/>
        <v>3.0686972271862331E-2</v>
      </c>
      <c r="AV717" s="58">
        <f t="shared" si="409"/>
        <v>4.8675505653430484E-3</v>
      </c>
      <c r="AW717" s="59">
        <f t="shared" si="410"/>
        <v>1.004867550565343</v>
      </c>
      <c r="AX717" s="60">
        <f>PRODUCT(AW$4:AW717)</f>
        <v>32.040477757654095</v>
      </c>
    </row>
    <row r="718" spans="5:50">
      <c r="E718">
        <f t="shared" si="388"/>
        <v>715</v>
      </c>
      <c r="F718" s="9">
        <f t="shared" si="411"/>
        <v>128.4999999999967</v>
      </c>
      <c r="G718" s="132">
        <f t="shared" si="391"/>
        <v>0</v>
      </c>
      <c r="H718" s="133">
        <f t="shared" si="417"/>
        <v>1</v>
      </c>
      <c r="I718" s="31">
        <f t="shared" si="401"/>
        <v>0</v>
      </c>
      <c r="J718" s="31">
        <f t="shared" si="392"/>
        <v>0</v>
      </c>
      <c r="K718" s="163">
        <f t="shared" si="393"/>
        <v>0</v>
      </c>
      <c r="L718" s="163">
        <f t="shared" si="402"/>
        <v>0</v>
      </c>
      <c r="M718" s="163">
        <f t="shared" si="389"/>
        <v>0</v>
      </c>
      <c r="N718" s="163">
        <f t="shared" si="403"/>
        <v>0</v>
      </c>
      <c r="O718" s="84">
        <f t="shared" si="394"/>
        <v>0</v>
      </c>
      <c r="P718" s="31">
        <f t="shared" si="395"/>
        <v>0</v>
      </c>
      <c r="R718">
        <f t="shared" ca="1" si="404"/>
        <v>835</v>
      </c>
      <c r="S718" s="133">
        <f t="shared" ca="1" si="405"/>
        <v>136.12</v>
      </c>
      <c r="T718" s="132">
        <f t="shared" ca="1" si="396"/>
        <v>0</v>
      </c>
      <c r="U718" s="133">
        <f t="shared" ca="1" si="412"/>
        <v>1.9008342029825436E-4</v>
      </c>
      <c r="V718" s="31">
        <f t="shared" ca="1" si="406"/>
        <v>0</v>
      </c>
      <c r="W718" s="31">
        <f t="shared" ca="1" si="397"/>
        <v>0</v>
      </c>
      <c r="X718" s="163">
        <f t="shared" ca="1" si="413"/>
        <v>0</v>
      </c>
      <c r="Y718" s="163">
        <f t="shared" ca="1" si="414"/>
        <v>0</v>
      </c>
      <c r="Z718" s="163">
        <f t="shared" ca="1" si="407"/>
        <v>0</v>
      </c>
      <c r="AA718" s="163">
        <f t="shared" ca="1" si="415"/>
        <v>0</v>
      </c>
      <c r="AB718" s="84">
        <f t="shared" ca="1" si="398"/>
        <v>0</v>
      </c>
      <c r="AC718" s="160">
        <f t="shared" si="399"/>
        <v>0</v>
      </c>
      <c r="AD718" s="31">
        <f t="shared" ca="1" si="400"/>
        <v>0</v>
      </c>
      <c r="AF718" s="5"/>
      <c r="AG718" s="5"/>
      <c r="AS718" s="55">
        <f t="shared" si="408"/>
        <v>60</v>
      </c>
      <c r="AT718" s="56">
        <f t="shared" si="416"/>
        <v>715</v>
      </c>
      <c r="AU718" s="57">
        <f t="shared" si="390"/>
        <v>3.053760188263176E-2</v>
      </c>
      <c r="AV718" s="58">
        <f t="shared" si="409"/>
        <v>4.8675505653430484E-3</v>
      </c>
      <c r="AW718" s="59">
        <f t="shared" si="410"/>
        <v>1.004867550565343</v>
      </c>
      <c r="AX718" s="60">
        <f>PRODUCT(AW$4:AW718)</f>
        <v>32.196436403277225</v>
      </c>
    </row>
    <row r="719" spans="5:50">
      <c r="E719">
        <f t="shared" si="388"/>
        <v>716</v>
      </c>
      <c r="F719" s="9">
        <f t="shared" si="411"/>
        <v>128.58333333333005</v>
      </c>
      <c r="G719" s="132">
        <f t="shared" si="391"/>
        <v>0</v>
      </c>
      <c r="H719" s="133">
        <f t="shared" si="417"/>
        <v>1</v>
      </c>
      <c r="I719" s="31">
        <f t="shared" si="401"/>
        <v>0</v>
      </c>
      <c r="J719" s="31">
        <f t="shared" si="392"/>
        <v>0</v>
      </c>
      <c r="K719" s="163">
        <f t="shared" si="393"/>
        <v>0</v>
      </c>
      <c r="L719" s="163">
        <f t="shared" si="402"/>
        <v>0</v>
      </c>
      <c r="M719" s="163">
        <f t="shared" si="389"/>
        <v>0</v>
      </c>
      <c r="N719" s="163">
        <f t="shared" si="403"/>
        <v>0</v>
      </c>
      <c r="O719" s="84">
        <f t="shared" si="394"/>
        <v>0</v>
      </c>
      <c r="P719" s="31">
        <f t="shared" si="395"/>
        <v>0</v>
      </c>
      <c r="R719">
        <f t="shared" ca="1" si="404"/>
        <v>836</v>
      </c>
      <c r="S719" s="133">
        <f t="shared" ca="1" si="405"/>
        <v>136.19999999999999</v>
      </c>
      <c r="T719" s="132">
        <f t="shared" ca="1" si="396"/>
        <v>0</v>
      </c>
      <c r="U719" s="133">
        <f t="shared" ca="1" si="412"/>
        <v>1.9008342029825436E-4</v>
      </c>
      <c r="V719" s="31">
        <f t="shared" ca="1" si="406"/>
        <v>0</v>
      </c>
      <c r="W719" s="31">
        <f t="shared" ca="1" si="397"/>
        <v>0</v>
      </c>
      <c r="X719" s="163">
        <f t="shared" ca="1" si="413"/>
        <v>0</v>
      </c>
      <c r="Y719" s="163">
        <f t="shared" ca="1" si="414"/>
        <v>0</v>
      </c>
      <c r="Z719" s="163">
        <f t="shared" ca="1" si="407"/>
        <v>0</v>
      </c>
      <c r="AA719" s="163">
        <f t="shared" ca="1" si="415"/>
        <v>0</v>
      </c>
      <c r="AB719" s="84">
        <f t="shared" ca="1" si="398"/>
        <v>0</v>
      </c>
      <c r="AC719" s="160">
        <f t="shared" si="399"/>
        <v>0</v>
      </c>
      <c r="AD719" s="31">
        <f t="shared" ca="1" si="400"/>
        <v>0</v>
      </c>
      <c r="AF719" s="5"/>
      <c r="AG719" s="5"/>
      <c r="AS719" s="55">
        <f t="shared" si="408"/>
        <v>60</v>
      </c>
      <c r="AT719" s="56">
        <f t="shared" si="416"/>
        <v>716</v>
      </c>
      <c r="AU719" s="57">
        <f t="shared" si="390"/>
        <v>3.0388958561323735E-2</v>
      </c>
      <c r="AV719" s="58">
        <f t="shared" si="409"/>
        <v>4.8675505653430484E-3</v>
      </c>
      <c r="AW719" s="59">
        <f t="shared" si="410"/>
        <v>1.004867550565343</v>
      </c>
      <c r="AX719" s="60">
        <f>PRODUCT(AW$4:AW719)</f>
        <v>32.353154185494027</v>
      </c>
    </row>
    <row r="720" spans="5:50">
      <c r="E720">
        <f t="shared" ref="E720:E783" si="418">E719+1</f>
        <v>717</v>
      </c>
      <c r="F720" s="9">
        <f t="shared" si="411"/>
        <v>128.66666666666339</v>
      </c>
      <c r="G720" s="132">
        <f t="shared" si="391"/>
        <v>0</v>
      </c>
      <c r="H720" s="133">
        <f t="shared" si="417"/>
        <v>1</v>
      </c>
      <c r="I720" s="31">
        <f t="shared" si="401"/>
        <v>0</v>
      </c>
      <c r="J720" s="31">
        <f t="shared" si="392"/>
        <v>0</v>
      </c>
      <c r="K720" s="163">
        <f t="shared" si="393"/>
        <v>0</v>
      </c>
      <c r="L720" s="163">
        <f t="shared" si="402"/>
        <v>0</v>
      </c>
      <c r="M720" s="163">
        <f t="shared" ref="M720:M783" si="419">IF(OR(I719+O719=0,K719=0),0,-IF(MOD(E720-1,12)=0,1,0)*I720*($C$17))</f>
        <v>0</v>
      </c>
      <c r="N720" s="163">
        <f t="shared" si="403"/>
        <v>0</v>
      </c>
      <c r="O720" s="84">
        <f t="shared" si="394"/>
        <v>0</v>
      </c>
      <c r="P720" s="31">
        <f t="shared" si="395"/>
        <v>0</v>
      </c>
      <c r="R720">
        <f t="shared" ca="1" si="404"/>
        <v>837</v>
      </c>
      <c r="S720" s="133">
        <f t="shared" ca="1" si="405"/>
        <v>136.28</v>
      </c>
      <c r="T720" s="132">
        <f t="shared" ca="1" si="396"/>
        <v>0</v>
      </c>
      <c r="U720" s="133">
        <f t="shared" ca="1" si="412"/>
        <v>1.9008342029825436E-4</v>
      </c>
      <c r="V720" s="31">
        <f t="shared" ca="1" si="406"/>
        <v>0</v>
      </c>
      <c r="W720" s="31">
        <f t="shared" ca="1" si="397"/>
        <v>0</v>
      </c>
      <c r="X720" s="163">
        <f t="shared" ca="1" si="413"/>
        <v>0</v>
      </c>
      <c r="Y720" s="163">
        <f t="shared" ca="1" si="414"/>
        <v>0</v>
      </c>
      <c r="Z720" s="163">
        <f t="shared" ca="1" si="407"/>
        <v>0</v>
      </c>
      <c r="AA720" s="163">
        <f t="shared" ca="1" si="415"/>
        <v>0</v>
      </c>
      <c r="AB720" s="84">
        <f t="shared" ca="1" si="398"/>
        <v>0</v>
      </c>
      <c r="AC720" s="160">
        <f t="shared" si="399"/>
        <v>0</v>
      </c>
      <c r="AD720" s="31">
        <f t="shared" ca="1" si="400"/>
        <v>0</v>
      </c>
      <c r="AF720" s="5"/>
      <c r="AG720" s="5"/>
      <c r="AS720" s="55">
        <f t="shared" si="408"/>
        <v>60</v>
      </c>
      <c r="AT720" s="56">
        <f t="shared" si="416"/>
        <v>717</v>
      </c>
      <c r="AU720" s="57">
        <f t="shared" si="390"/>
        <v>3.0241038768898377E-2</v>
      </c>
      <c r="AV720" s="58">
        <f t="shared" si="409"/>
        <v>4.8675505653430484E-3</v>
      </c>
      <c r="AW720" s="59">
        <f t="shared" si="410"/>
        <v>1.004867550565343</v>
      </c>
      <c r="AX720" s="60">
        <f>PRODUCT(AW$4:AW720)</f>
        <v>32.510634799440261</v>
      </c>
    </row>
    <row r="721" spans="5:50">
      <c r="E721">
        <f t="shared" si="418"/>
        <v>718</v>
      </c>
      <c r="F721" s="9">
        <f t="shared" si="411"/>
        <v>128.74999999999673</v>
      </c>
      <c r="G721" s="132">
        <f t="shared" si="391"/>
        <v>0</v>
      </c>
      <c r="H721" s="133">
        <f t="shared" si="417"/>
        <v>1</v>
      </c>
      <c r="I721" s="31">
        <f t="shared" si="401"/>
        <v>0</v>
      </c>
      <c r="J721" s="31">
        <f t="shared" si="392"/>
        <v>0</v>
      </c>
      <c r="K721" s="163">
        <f t="shared" si="393"/>
        <v>0</v>
      </c>
      <c r="L721" s="163">
        <f t="shared" si="402"/>
        <v>0</v>
      </c>
      <c r="M721" s="163">
        <f t="shared" si="419"/>
        <v>0</v>
      </c>
      <c r="N721" s="163">
        <f t="shared" si="403"/>
        <v>0</v>
      </c>
      <c r="O721" s="84">
        <f t="shared" si="394"/>
        <v>0</v>
      </c>
      <c r="P721" s="31">
        <f t="shared" si="395"/>
        <v>0</v>
      </c>
      <c r="R721">
        <f t="shared" ca="1" si="404"/>
        <v>838</v>
      </c>
      <c r="S721" s="133">
        <f t="shared" ca="1" si="405"/>
        <v>136.36000000000001</v>
      </c>
      <c r="T721" s="132">
        <f t="shared" ca="1" si="396"/>
        <v>0</v>
      </c>
      <c r="U721" s="133">
        <f t="shared" ca="1" si="412"/>
        <v>1.9008342029825436E-4</v>
      </c>
      <c r="V721" s="31">
        <f t="shared" ca="1" si="406"/>
        <v>0</v>
      </c>
      <c r="W721" s="31">
        <f t="shared" ca="1" si="397"/>
        <v>0</v>
      </c>
      <c r="X721" s="163">
        <f t="shared" ca="1" si="413"/>
        <v>0</v>
      </c>
      <c r="Y721" s="163">
        <f t="shared" ca="1" si="414"/>
        <v>0</v>
      </c>
      <c r="Z721" s="163">
        <f t="shared" ca="1" si="407"/>
        <v>0</v>
      </c>
      <c r="AA721" s="163">
        <f t="shared" ca="1" si="415"/>
        <v>0</v>
      </c>
      <c r="AB721" s="84">
        <f t="shared" ca="1" si="398"/>
        <v>0</v>
      </c>
      <c r="AC721" s="160">
        <f t="shared" si="399"/>
        <v>0</v>
      </c>
      <c r="AD721" s="31">
        <f t="shared" ca="1" si="400"/>
        <v>0</v>
      </c>
      <c r="AF721" s="5"/>
      <c r="AG721" s="5"/>
      <c r="AS721" s="55">
        <f t="shared" si="408"/>
        <v>60</v>
      </c>
      <c r="AT721" s="56">
        <f t="shared" si="416"/>
        <v>718</v>
      </c>
      <c r="AU721" s="57">
        <f t="shared" si="390"/>
        <v>3.0093838983542266E-2</v>
      </c>
      <c r="AV721" s="58">
        <f t="shared" si="409"/>
        <v>4.8675505653430484E-3</v>
      </c>
      <c r="AW721" s="59">
        <f t="shared" si="410"/>
        <v>1.004867550565343</v>
      </c>
      <c r="AX721" s="60">
        <f>PRODUCT(AW$4:AW721)</f>
        <v>32.66888195823794</v>
      </c>
    </row>
    <row r="722" spans="5:50">
      <c r="E722">
        <f t="shared" si="418"/>
        <v>719</v>
      </c>
      <c r="F722" s="9">
        <f t="shared" si="411"/>
        <v>128.83333333333007</v>
      </c>
      <c r="G722" s="132">
        <f t="shared" si="391"/>
        <v>0</v>
      </c>
      <c r="H722" s="133">
        <f t="shared" si="417"/>
        <v>1</v>
      </c>
      <c r="I722" s="31">
        <f t="shared" si="401"/>
        <v>0</v>
      </c>
      <c r="J722" s="31">
        <f t="shared" si="392"/>
        <v>0</v>
      </c>
      <c r="K722" s="163">
        <f t="shared" si="393"/>
        <v>0</v>
      </c>
      <c r="L722" s="163">
        <f t="shared" si="402"/>
        <v>0</v>
      </c>
      <c r="M722" s="163">
        <f t="shared" si="419"/>
        <v>0</v>
      </c>
      <c r="N722" s="163">
        <f t="shared" si="403"/>
        <v>0</v>
      </c>
      <c r="O722" s="84">
        <f t="shared" si="394"/>
        <v>0</v>
      </c>
      <c r="P722" s="31">
        <f t="shared" si="395"/>
        <v>0</v>
      </c>
      <c r="R722">
        <f t="shared" ca="1" si="404"/>
        <v>839</v>
      </c>
      <c r="S722" s="133">
        <f t="shared" ca="1" si="405"/>
        <v>136.44</v>
      </c>
      <c r="T722" s="132">
        <f t="shared" ca="1" si="396"/>
        <v>0</v>
      </c>
      <c r="U722" s="133">
        <f t="shared" ca="1" si="412"/>
        <v>1.9008342029825436E-4</v>
      </c>
      <c r="V722" s="31">
        <f t="shared" ca="1" si="406"/>
        <v>0</v>
      </c>
      <c r="W722" s="31">
        <f t="shared" ca="1" si="397"/>
        <v>0</v>
      </c>
      <c r="X722" s="163">
        <f t="shared" ca="1" si="413"/>
        <v>0</v>
      </c>
      <c r="Y722" s="163">
        <f t="shared" ca="1" si="414"/>
        <v>0</v>
      </c>
      <c r="Z722" s="163">
        <f t="shared" ca="1" si="407"/>
        <v>0</v>
      </c>
      <c r="AA722" s="163">
        <f t="shared" ca="1" si="415"/>
        <v>0</v>
      </c>
      <c r="AB722" s="84">
        <f t="shared" ca="1" si="398"/>
        <v>0</v>
      </c>
      <c r="AC722" s="160">
        <f t="shared" si="399"/>
        <v>0</v>
      </c>
      <c r="AD722" s="31">
        <f t="shared" ca="1" si="400"/>
        <v>0</v>
      </c>
      <c r="AF722" s="5"/>
      <c r="AG722" s="5"/>
      <c r="AS722" s="55">
        <f t="shared" si="408"/>
        <v>60</v>
      </c>
      <c r="AT722" s="56">
        <f t="shared" si="416"/>
        <v>719</v>
      </c>
      <c r="AU722" s="57">
        <f t="shared" si="390"/>
        <v>2.9947355700584582E-2</v>
      </c>
      <c r="AV722" s="58">
        <f t="shared" si="409"/>
        <v>4.8675505653430484E-3</v>
      </c>
      <c r="AW722" s="59">
        <f t="shared" si="410"/>
        <v>1.004867550565343</v>
      </c>
      <c r="AX722" s="60">
        <f>PRODUCT(AW$4:AW722)</f>
        <v>32.827899393082888</v>
      </c>
    </row>
    <row r="723" spans="5:50">
      <c r="E723">
        <f t="shared" si="418"/>
        <v>720</v>
      </c>
      <c r="F723" s="9">
        <f t="shared" si="411"/>
        <v>128.91666666666342</v>
      </c>
      <c r="G723" s="132">
        <f t="shared" si="391"/>
        <v>0</v>
      </c>
      <c r="H723" s="133">
        <f t="shared" si="417"/>
        <v>1</v>
      </c>
      <c r="I723" s="31">
        <f t="shared" si="401"/>
        <v>0</v>
      </c>
      <c r="J723" s="31">
        <f t="shared" si="392"/>
        <v>0</v>
      </c>
      <c r="K723" s="163">
        <f t="shared" si="393"/>
        <v>0</v>
      </c>
      <c r="L723" s="163">
        <f t="shared" si="402"/>
        <v>0</v>
      </c>
      <c r="M723" s="163">
        <f t="shared" si="419"/>
        <v>0</v>
      </c>
      <c r="N723" s="163">
        <f t="shared" si="403"/>
        <v>0</v>
      </c>
      <c r="O723" s="84">
        <f t="shared" si="394"/>
        <v>0</v>
      </c>
      <c r="P723" s="31">
        <f t="shared" si="395"/>
        <v>0</v>
      </c>
      <c r="R723">
        <f t="shared" ca="1" si="404"/>
        <v>840</v>
      </c>
      <c r="S723" s="133">
        <f t="shared" ca="1" si="405"/>
        <v>136.52000000000001</v>
      </c>
      <c r="T723" s="132">
        <f t="shared" ca="1" si="396"/>
        <v>0</v>
      </c>
      <c r="U723" s="133">
        <f t="shared" ca="1" si="412"/>
        <v>1.9008342029825436E-4</v>
      </c>
      <c r="V723" s="31">
        <f t="shared" ca="1" si="406"/>
        <v>0</v>
      </c>
      <c r="W723" s="31">
        <f t="shared" ca="1" si="397"/>
        <v>0</v>
      </c>
      <c r="X723" s="163">
        <f t="shared" ca="1" si="413"/>
        <v>0</v>
      </c>
      <c r="Y723" s="163">
        <f t="shared" ca="1" si="414"/>
        <v>0</v>
      </c>
      <c r="Z723" s="163">
        <f t="shared" ca="1" si="407"/>
        <v>0</v>
      </c>
      <c r="AA723" s="163">
        <f t="shared" ca="1" si="415"/>
        <v>0</v>
      </c>
      <c r="AB723" s="84">
        <f t="shared" ca="1" si="398"/>
        <v>0</v>
      </c>
      <c r="AC723" s="160">
        <f t="shared" si="399"/>
        <v>0</v>
      </c>
      <c r="AD723" s="31">
        <f t="shared" ca="1" si="400"/>
        <v>0</v>
      </c>
      <c r="AF723" s="5"/>
      <c r="AG723" s="5"/>
      <c r="AS723" s="55">
        <f t="shared" si="408"/>
        <v>60</v>
      </c>
      <c r="AT723" s="56">
        <f t="shared" si="416"/>
        <v>720</v>
      </c>
      <c r="AU723" s="57">
        <f t="shared" si="390"/>
        <v>2.9801585432413673E-2</v>
      </c>
      <c r="AV723" s="58">
        <f t="shared" si="409"/>
        <v>4.8675505653430484E-3</v>
      </c>
      <c r="AW723" s="59">
        <f t="shared" si="410"/>
        <v>1.004867550565343</v>
      </c>
      <c r="AX723" s="60">
        <f>PRODUCT(AW$4:AW723)</f>
        <v>32.987690853332715</v>
      </c>
    </row>
    <row r="724" spans="5:50">
      <c r="E724">
        <f t="shared" si="418"/>
        <v>721</v>
      </c>
      <c r="F724" s="9">
        <f t="shared" si="411"/>
        <v>128.99999999999676</v>
      </c>
      <c r="G724" s="132">
        <f t="shared" si="391"/>
        <v>0</v>
      </c>
      <c r="H724" s="133">
        <f t="shared" si="417"/>
        <v>1</v>
      </c>
      <c r="I724" s="31">
        <f t="shared" si="401"/>
        <v>0</v>
      </c>
      <c r="J724" s="31">
        <f t="shared" si="392"/>
        <v>0</v>
      </c>
      <c r="K724" s="163">
        <f t="shared" si="393"/>
        <v>0</v>
      </c>
      <c r="L724" s="163">
        <f t="shared" si="402"/>
        <v>0</v>
      </c>
      <c r="M724" s="163">
        <f t="shared" si="419"/>
        <v>0</v>
      </c>
      <c r="N724" s="163">
        <f t="shared" si="403"/>
        <v>0</v>
      </c>
      <c r="O724" s="84">
        <f t="shared" si="394"/>
        <v>0</v>
      </c>
      <c r="P724" s="31">
        <f t="shared" si="395"/>
        <v>0</v>
      </c>
      <c r="R724">
        <f t="shared" ca="1" si="404"/>
        <v>841</v>
      </c>
      <c r="S724" s="133">
        <f t="shared" ca="1" si="405"/>
        <v>136.6</v>
      </c>
      <c r="T724" s="132">
        <f t="shared" ca="1" si="396"/>
        <v>0</v>
      </c>
      <c r="U724" s="133">
        <f t="shared" ca="1" si="412"/>
        <v>1.9008342029825436E-4</v>
      </c>
      <c r="V724" s="31">
        <f t="shared" ca="1" si="406"/>
        <v>0</v>
      </c>
      <c r="W724" s="31">
        <f t="shared" ca="1" si="397"/>
        <v>0</v>
      </c>
      <c r="X724" s="163">
        <f t="shared" ca="1" si="413"/>
        <v>0</v>
      </c>
      <c r="Y724" s="163">
        <f t="shared" ca="1" si="414"/>
        <v>0</v>
      </c>
      <c r="Z724" s="163">
        <f t="shared" ca="1" si="407"/>
        <v>0</v>
      </c>
      <c r="AA724" s="163">
        <f t="shared" ca="1" si="415"/>
        <v>0</v>
      </c>
      <c r="AB724" s="84">
        <f t="shared" ca="1" si="398"/>
        <v>0</v>
      </c>
      <c r="AC724" s="160">
        <f t="shared" si="399"/>
        <v>0</v>
      </c>
      <c r="AD724" s="31">
        <f t="shared" ca="1" si="400"/>
        <v>0</v>
      </c>
      <c r="AF724" s="5"/>
      <c r="AG724" s="5"/>
      <c r="AS724" s="55">
        <f t="shared" si="408"/>
        <v>61</v>
      </c>
      <c r="AT724" s="56">
        <f t="shared" si="416"/>
        <v>721</v>
      </c>
      <c r="AU724" s="57">
        <f t="shared" si="390"/>
        <v>2.965652470839401E-2</v>
      </c>
      <c r="AV724" s="58">
        <f t="shared" si="409"/>
        <v>4.8675505653430484E-3</v>
      </c>
      <c r="AW724" s="59">
        <f t="shared" si="410"/>
        <v>1.004867550565343</v>
      </c>
      <c r="AX724" s="60">
        <f>PRODUCT(AW$4:AW724)</f>
        <v>33.148260106595217</v>
      </c>
    </row>
    <row r="725" spans="5:50">
      <c r="E725">
        <f t="shared" si="418"/>
        <v>722</v>
      </c>
      <c r="F725" s="9">
        <f t="shared" si="411"/>
        <v>129.0833333333301</v>
      </c>
      <c r="G725" s="132">
        <f t="shared" si="391"/>
        <v>0</v>
      </c>
      <c r="H725" s="133">
        <f t="shared" si="417"/>
        <v>1</v>
      </c>
      <c r="I725" s="31">
        <f t="shared" si="401"/>
        <v>0</v>
      </c>
      <c r="J725" s="31">
        <f t="shared" si="392"/>
        <v>0</v>
      </c>
      <c r="K725" s="163">
        <f t="shared" si="393"/>
        <v>0</v>
      </c>
      <c r="L725" s="163">
        <f t="shared" si="402"/>
        <v>0</v>
      </c>
      <c r="M725" s="163">
        <f t="shared" si="419"/>
        <v>0</v>
      </c>
      <c r="N725" s="163">
        <f t="shared" si="403"/>
        <v>0</v>
      </c>
      <c r="O725" s="84">
        <f t="shared" si="394"/>
        <v>0</v>
      </c>
      <c r="P725" s="31">
        <f t="shared" si="395"/>
        <v>0</v>
      </c>
      <c r="R725">
        <f t="shared" ca="1" si="404"/>
        <v>842</v>
      </c>
      <c r="S725" s="133">
        <f t="shared" ca="1" si="405"/>
        <v>136.68</v>
      </c>
      <c r="T725" s="132">
        <f t="shared" ca="1" si="396"/>
        <v>0</v>
      </c>
      <c r="U725" s="133">
        <f t="shared" ca="1" si="412"/>
        <v>1.9008342029825436E-4</v>
      </c>
      <c r="V725" s="31">
        <f t="shared" ca="1" si="406"/>
        <v>0</v>
      </c>
      <c r="W725" s="31">
        <f t="shared" ca="1" si="397"/>
        <v>0</v>
      </c>
      <c r="X725" s="163">
        <f t="shared" ca="1" si="413"/>
        <v>0</v>
      </c>
      <c r="Y725" s="163">
        <f t="shared" ca="1" si="414"/>
        <v>0</v>
      </c>
      <c r="Z725" s="163">
        <f t="shared" ca="1" si="407"/>
        <v>0</v>
      </c>
      <c r="AA725" s="163">
        <f t="shared" ca="1" si="415"/>
        <v>0</v>
      </c>
      <c r="AB725" s="84">
        <f t="shared" ca="1" si="398"/>
        <v>0</v>
      </c>
      <c r="AC725" s="160">
        <f t="shared" si="399"/>
        <v>0</v>
      </c>
      <c r="AD725" s="31">
        <f t="shared" ca="1" si="400"/>
        <v>0</v>
      </c>
      <c r="AF725" s="5"/>
      <c r="AG725" s="5"/>
      <c r="AS725" s="55">
        <f t="shared" si="408"/>
        <v>61</v>
      </c>
      <c r="AT725" s="56">
        <f t="shared" si="416"/>
        <v>722</v>
      </c>
      <c r="AU725" s="57">
        <f t="shared" si="390"/>
        <v>2.9512170074783559E-2</v>
      </c>
      <c r="AV725" s="58">
        <f t="shared" si="409"/>
        <v>4.8675505653430484E-3</v>
      </c>
      <c r="AW725" s="59">
        <f t="shared" si="410"/>
        <v>1.004867550565343</v>
      </c>
      <c r="AX725" s="60">
        <f>PRODUCT(AW$4:AW725)</f>
        <v>33.309610938817215</v>
      </c>
    </row>
    <row r="726" spans="5:50">
      <c r="E726">
        <f t="shared" si="418"/>
        <v>723</v>
      </c>
      <c r="F726" s="9">
        <f t="shared" si="411"/>
        <v>129.16666666666345</v>
      </c>
      <c r="G726" s="132">
        <f t="shared" si="391"/>
        <v>0</v>
      </c>
      <c r="H726" s="133">
        <f t="shared" si="417"/>
        <v>1</v>
      </c>
      <c r="I726" s="31">
        <f t="shared" si="401"/>
        <v>0</v>
      </c>
      <c r="J726" s="31">
        <f t="shared" si="392"/>
        <v>0</v>
      </c>
      <c r="K726" s="163">
        <f t="shared" si="393"/>
        <v>0</v>
      </c>
      <c r="L726" s="163">
        <f t="shared" si="402"/>
        <v>0</v>
      </c>
      <c r="M726" s="163">
        <f t="shared" si="419"/>
        <v>0</v>
      </c>
      <c r="N726" s="163">
        <f t="shared" si="403"/>
        <v>0</v>
      </c>
      <c r="O726" s="84">
        <f t="shared" si="394"/>
        <v>0</v>
      </c>
      <c r="P726" s="31">
        <f t="shared" si="395"/>
        <v>0</v>
      </c>
      <c r="R726">
        <f t="shared" ca="1" si="404"/>
        <v>843</v>
      </c>
      <c r="S726" s="133">
        <f t="shared" ca="1" si="405"/>
        <v>136.76</v>
      </c>
      <c r="T726" s="132">
        <f t="shared" ca="1" si="396"/>
        <v>0</v>
      </c>
      <c r="U726" s="133">
        <f t="shared" ca="1" si="412"/>
        <v>1.9008342029825436E-4</v>
      </c>
      <c r="V726" s="31">
        <f t="shared" ca="1" si="406"/>
        <v>0</v>
      </c>
      <c r="W726" s="31">
        <f t="shared" ca="1" si="397"/>
        <v>0</v>
      </c>
      <c r="X726" s="163">
        <f t="shared" ca="1" si="413"/>
        <v>0</v>
      </c>
      <c r="Y726" s="163">
        <f t="shared" ca="1" si="414"/>
        <v>0</v>
      </c>
      <c r="Z726" s="163">
        <f t="shared" ca="1" si="407"/>
        <v>0</v>
      </c>
      <c r="AA726" s="163">
        <f t="shared" ca="1" si="415"/>
        <v>0</v>
      </c>
      <c r="AB726" s="84">
        <f t="shared" ca="1" si="398"/>
        <v>0</v>
      </c>
      <c r="AC726" s="160">
        <f t="shared" si="399"/>
        <v>0</v>
      </c>
      <c r="AD726" s="31">
        <f t="shared" ca="1" si="400"/>
        <v>0</v>
      </c>
      <c r="AF726" s="5"/>
      <c r="AG726" s="5"/>
      <c r="AS726" s="55">
        <f t="shared" si="408"/>
        <v>61</v>
      </c>
      <c r="AT726" s="56">
        <f t="shared" si="416"/>
        <v>723</v>
      </c>
      <c r="AU726" s="57">
        <f t="shared" si="390"/>
        <v>2.9368518094651547E-2</v>
      </c>
      <c r="AV726" s="58">
        <f t="shared" si="409"/>
        <v>4.8675505653430484E-3</v>
      </c>
      <c r="AW726" s="59">
        <f t="shared" si="410"/>
        <v>1.004867550565343</v>
      </c>
      <c r="AX726" s="60">
        <f>PRODUCT(AW$4:AW726)</f>
        <v>33.471747154373809</v>
      </c>
    </row>
    <row r="727" spans="5:50">
      <c r="E727">
        <f t="shared" si="418"/>
        <v>724</v>
      </c>
      <c r="F727" s="9">
        <f t="shared" si="411"/>
        <v>129.24999999999679</v>
      </c>
      <c r="G727" s="132">
        <f t="shared" si="391"/>
        <v>0</v>
      </c>
      <c r="H727" s="133">
        <f t="shared" si="417"/>
        <v>1</v>
      </c>
      <c r="I727" s="31">
        <f t="shared" si="401"/>
        <v>0</v>
      </c>
      <c r="J727" s="31">
        <f t="shared" si="392"/>
        <v>0</v>
      </c>
      <c r="K727" s="163">
        <f t="shared" si="393"/>
        <v>0</v>
      </c>
      <c r="L727" s="163">
        <f t="shared" si="402"/>
        <v>0</v>
      </c>
      <c r="M727" s="163">
        <f t="shared" si="419"/>
        <v>0</v>
      </c>
      <c r="N727" s="163">
        <f t="shared" si="403"/>
        <v>0</v>
      </c>
      <c r="O727" s="84">
        <f t="shared" si="394"/>
        <v>0</v>
      </c>
      <c r="P727" s="31">
        <f t="shared" si="395"/>
        <v>0</v>
      </c>
      <c r="R727">
        <f t="shared" ca="1" si="404"/>
        <v>844</v>
      </c>
      <c r="S727" s="133">
        <f t="shared" ca="1" si="405"/>
        <v>136.84</v>
      </c>
      <c r="T727" s="132">
        <f t="shared" ca="1" si="396"/>
        <v>0</v>
      </c>
      <c r="U727" s="133">
        <f t="shared" ca="1" si="412"/>
        <v>1.9008342029825436E-4</v>
      </c>
      <c r="V727" s="31">
        <f t="shared" ca="1" si="406"/>
        <v>0</v>
      </c>
      <c r="W727" s="31">
        <f t="shared" ca="1" si="397"/>
        <v>0</v>
      </c>
      <c r="X727" s="163">
        <f t="shared" ca="1" si="413"/>
        <v>0</v>
      </c>
      <c r="Y727" s="163">
        <f t="shared" ca="1" si="414"/>
        <v>0</v>
      </c>
      <c r="Z727" s="163">
        <f t="shared" ca="1" si="407"/>
        <v>0</v>
      </c>
      <c r="AA727" s="163">
        <f t="shared" ca="1" si="415"/>
        <v>0</v>
      </c>
      <c r="AB727" s="84">
        <f t="shared" ca="1" si="398"/>
        <v>0</v>
      </c>
      <c r="AC727" s="160">
        <f t="shared" si="399"/>
        <v>0</v>
      </c>
      <c r="AD727" s="31">
        <f t="shared" ca="1" si="400"/>
        <v>0</v>
      </c>
      <c r="AF727" s="5"/>
      <c r="AG727" s="5"/>
      <c r="AS727" s="55">
        <f t="shared" si="408"/>
        <v>61</v>
      </c>
      <c r="AT727" s="56">
        <f t="shared" si="416"/>
        <v>724</v>
      </c>
      <c r="AU727" s="57">
        <f t="shared" ref="AU727:AU790" si="420">(1-AV727)*AU726</f>
        <v>2.9225565347796637E-2</v>
      </c>
      <c r="AV727" s="58">
        <f t="shared" si="409"/>
        <v>4.8675505653430484E-3</v>
      </c>
      <c r="AW727" s="59">
        <f t="shared" si="410"/>
        <v>1.004867550565343</v>
      </c>
      <c r="AX727" s="60">
        <f>PRODUCT(AW$4:AW727)</f>
        <v>33.634672576158103</v>
      </c>
    </row>
    <row r="728" spans="5:50">
      <c r="E728">
        <f t="shared" si="418"/>
        <v>725</v>
      </c>
      <c r="F728" s="9">
        <f t="shared" si="411"/>
        <v>129.33333333333013</v>
      </c>
      <c r="G728" s="132">
        <f t="shared" si="391"/>
        <v>0</v>
      </c>
      <c r="H728" s="133">
        <f t="shared" si="417"/>
        <v>1</v>
      </c>
      <c r="I728" s="31">
        <f t="shared" si="401"/>
        <v>0</v>
      </c>
      <c r="J728" s="31">
        <f t="shared" si="392"/>
        <v>0</v>
      </c>
      <c r="K728" s="163">
        <f t="shared" si="393"/>
        <v>0</v>
      </c>
      <c r="L728" s="163">
        <f t="shared" si="402"/>
        <v>0</v>
      </c>
      <c r="M728" s="163">
        <f t="shared" si="419"/>
        <v>0</v>
      </c>
      <c r="N728" s="163">
        <f t="shared" si="403"/>
        <v>0</v>
      </c>
      <c r="O728" s="84">
        <f t="shared" si="394"/>
        <v>0</v>
      </c>
      <c r="P728" s="31">
        <f t="shared" si="395"/>
        <v>0</v>
      </c>
      <c r="R728">
        <f t="shared" ca="1" si="404"/>
        <v>845</v>
      </c>
      <c r="S728" s="133">
        <f t="shared" ca="1" si="405"/>
        <v>136.91999999999999</v>
      </c>
      <c r="T728" s="132">
        <f t="shared" ca="1" si="396"/>
        <v>0</v>
      </c>
      <c r="U728" s="133">
        <f t="shared" ca="1" si="412"/>
        <v>1.9008342029825436E-4</v>
      </c>
      <c r="V728" s="31">
        <f t="shared" ca="1" si="406"/>
        <v>0</v>
      </c>
      <c r="W728" s="31">
        <f t="shared" ca="1" si="397"/>
        <v>0</v>
      </c>
      <c r="X728" s="163">
        <f t="shared" ca="1" si="413"/>
        <v>0</v>
      </c>
      <c r="Y728" s="163">
        <f t="shared" ca="1" si="414"/>
        <v>0</v>
      </c>
      <c r="Z728" s="163">
        <f t="shared" ca="1" si="407"/>
        <v>0</v>
      </c>
      <c r="AA728" s="163">
        <f t="shared" ca="1" si="415"/>
        <v>0</v>
      </c>
      <c r="AB728" s="84">
        <f t="shared" ca="1" si="398"/>
        <v>0</v>
      </c>
      <c r="AC728" s="160">
        <f t="shared" si="399"/>
        <v>0</v>
      </c>
      <c r="AD728" s="31">
        <f t="shared" ca="1" si="400"/>
        <v>0</v>
      </c>
      <c r="AF728" s="5"/>
      <c r="AG728" s="5"/>
      <c r="AS728" s="55">
        <f t="shared" si="408"/>
        <v>61</v>
      </c>
      <c r="AT728" s="56">
        <f t="shared" si="416"/>
        <v>725</v>
      </c>
      <c r="AU728" s="57">
        <f t="shared" si="420"/>
        <v>2.9083308430665498E-2</v>
      </c>
      <c r="AV728" s="58">
        <f t="shared" si="409"/>
        <v>4.8675505653430484E-3</v>
      </c>
      <c r="AW728" s="59">
        <f t="shared" si="410"/>
        <v>1.004867550565343</v>
      </c>
      <c r="AX728" s="60">
        <f>PRODUCT(AW$4:AW728)</f>
        <v>33.798391045671309</v>
      </c>
    </row>
    <row r="729" spans="5:50">
      <c r="E729">
        <f t="shared" si="418"/>
        <v>726</v>
      </c>
      <c r="F729" s="9">
        <f t="shared" si="411"/>
        <v>129.41666666666347</v>
      </c>
      <c r="G729" s="132">
        <f t="shared" si="391"/>
        <v>0</v>
      </c>
      <c r="H729" s="133">
        <f t="shared" si="417"/>
        <v>1</v>
      </c>
      <c r="I729" s="31">
        <f t="shared" si="401"/>
        <v>0</v>
      </c>
      <c r="J729" s="31">
        <f t="shared" si="392"/>
        <v>0</v>
      </c>
      <c r="K729" s="163">
        <f t="shared" si="393"/>
        <v>0</v>
      </c>
      <c r="L729" s="163">
        <f t="shared" si="402"/>
        <v>0</v>
      </c>
      <c r="M729" s="163">
        <f t="shared" si="419"/>
        <v>0</v>
      </c>
      <c r="N729" s="163">
        <f t="shared" si="403"/>
        <v>0</v>
      </c>
      <c r="O729" s="84">
        <f t="shared" si="394"/>
        <v>0</v>
      </c>
      <c r="P729" s="31">
        <f t="shared" si="395"/>
        <v>0</v>
      </c>
      <c r="R729">
        <f t="shared" ca="1" si="404"/>
        <v>846</v>
      </c>
      <c r="S729" s="133">
        <f t="shared" ca="1" si="405"/>
        <v>137</v>
      </c>
      <c r="T729" s="132">
        <f t="shared" ca="1" si="396"/>
        <v>0</v>
      </c>
      <c r="U729" s="133">
        <f t="shared" ca="1" si="412"/>
        <v>1.9008342029825436E-4</v>
      </c>
      <c r="V729" s="31">
        <f t="shared" ca="1" si="406"/>
        <v>0</v>
      </c>
      <c r="W729" s="31">
        <f t="shared" ca="1" si="397"/>
        <v>0</v>
      </c>
      <c r="X729" s="163">
        <f t="shared" ca="1" si="413"/>
        <v>0</v>
      </c>
      <c r="Y729" s="163">
        <f t="shared" ca="1" si="414"/>
        <v>0</v>
      </c>
      <c r="Z729" s="163">
        <f t="shared" ca="1" si="407"/>
        <v>0</v>
      </c>
      <c r="AA729" s="163">
        <f t="shared" ca="1" si="415"/>
        <v>0</v>
      </c>
      <c r="AB729" s="84">
        <f t="shared" ca="1" si="398"/>
        <v>0</v>
      </c>
      <c r="AC729" s="160">
        <f t="shared" si="399"/>
        <v>0</v>
      </c>
      <c r="AD729" s="31">
        <f t="shared" ca="1" si="400"/>
        <v>0</v>
      </c>
      <c r="AF729" s="5"/>
      <c r="AG729" s="5"/>
      <c r="AS729" s="55">
        <f t="shared" si="408"/>
        <v>61</v>
      </c>
      <c r="AT729" s="56">
        <f t="shared" si="416"/>
        <v>726</v>
      </c>
      <c r="AU729" s="57">
        <f t="shared" si="420"/>
        <v>2.8941743956271766E-2</v>
      </c>
      <c r="AV729" s="58">
        <f t="shared" si="409"/>
        <v>4.8675505653430484E-3</v>
      </c>
      <c r="AW729" s="59">
        <f t="shared" si="410"/>
        <v>1.004867550565343</v>
      </c>
      <c r="AX729" s="60">
        <f>PRODUCT(AW$4:AW729)</f>
        <v>33.962906423113353</v>
      </c>
    </row>
    <row r="730" spans="5:50">
      <c r="E730">
        <f t="shared" si="418"/>
        <v>727</v>
      </c>
      <c r="F730" s="9">
        <f t="shared" si="411"/>
        <v>129.49999999999682</v>
      </c>
      <c r="G730" s="132">
        <f t="shared" si="391"/>
        <v>0</v>
      </c>
      <c r="H730" s="133">
        <f t="shared" si="417"/>
        <v>1</v>
      </c>
      <c r="I730" s="31">
        <f t="shared" si="401"/>
        <v>0</v>
      </c>
      <c r="J730" s="31">
        <f t="shared" si="392"/>
        <v>0</v>
      </c>
      <c r="K730" s="163">
        <f t="shared" si="393"/>
        <v>0</v>
      </c>
      <c r="L730" s="163">
        <f t="shared" si="402"/>
        <v>0</v>
      </c>
      <c r="M730" s="163">
        <f t="shared" si="419"/>
        <v>0</v>
      </c>
      <c r="N730" s="163">
        <f t="shared" si="403"/>
        <v>0</v>
      </c>
      <c r="O730" s="84">
        <f t="shared" si="394"/>
        <v>0</v>
      </c>
      <c r="P730" s="31">
        <f t="shared" si="395"/>
        <v>0</v>
      </c>
      <c r="R730">
        <f t="shared" ca="1" si="404"/>
        <v>847</v>
      </c>
      <c r="S730" s="133">
        <f t="shared" ca="1" si="405"/>
        <v>137.08000000000001</v>
      </c>
      <c r="T730" s="132">
        <f t="shared" ca="1" si="396"/>
        <v>0</v>
      </c>
      <c r="U730" s="133">
        <f t="shared" ca="1" si="412"/>
        <v>1.9008342029825436E-4</v>
      </c>
      <c r="V730" s="31">
        <f t="shared" ca="1" si="406"/>
        <v>0</v>
      </c>
      <c r="W730" s="31">
        <f t="shared" ca="1" si="397"/>
        <v>0</v>
      </c>
      <c r="X730" s="163">
        <f t="shared" ca="1" si="413"/>
        <v>0</v>
      </c>
      <c r="Y730" s="163">
        <f t="shared" ca="1" si="414"/>
        <v>0</v>
      </c>
      <c r="Z730" s="163">
        <f t="shared" ca="1" si="407"/>
        <v>0</v>
      </c>
      <c r="AA730" s="163">
        <f t="shared" ca="1" si="415"/>
        <v>0</v>
      </c>
      <c r="AB730" s="84">
        <f t="shared" ca="1" si="398"/>
        <v>0</v>
      </c>
      <c r="AC730" s="160">
        <f t="shared" si="399"/>
        <v>0</v>
      </c>
      <c r="AD730" s="31">
        <f t="shared" ca="1" si="400"/>
        <v>0</v>
      </c>
      <c r="AF730" s="5"/>
      <c r="AG730" s="5"/>
      <c r="AS730" s="55">
        <f t="shared" si="408"/>
        <v>61</v>
      </c>
      <c r="AT730" s="56">
        <f t="shared" si="416"/>
        <v>727</v>
      </c>
      <c r="AU730" s="57">
        <f t="shared" si="420"/>
        <v>2.88008685541154E-2</v>
      </c>
      <c r="AV730" s="58">
        <f t="shared" si="409"/>
        <v>4.8675505653430484E-3</v>
      </c>
      <c r="AW730" s="59">
        <f t="shared" si="410"/>
        <v>1.004867550565343</v>
      </c>
      <c r="AX730" s="60">
        <f>PRODUCT(AW$4:AW730)</f>
        <v>34.128222587473871</v>
      </c>
    </row>
    <row r="731" spans="5:50">
      <c r="E731">
        <f t="shared" si="418"/>
        <v>728</v>
      </c>
      <c r="F731" s="9">
        <f t="shared" si="411"/>
        <v>129.58333333333016</v>
      </c>
      <c r="G731" s="132">
        <f t="shared" si="391"/>
        <v>0</v>
      </c>
      <c r="H731" s="133">
        <f t="shared" si="417"/>
        <v>1</v>
      </c>
      <c r="I731" s="31">
        <f t="shared" si="401"/>
        <v>0</v>
      </c>
      <c r="J731" s="31">
        <f t="shared" si="392"/>
        <v>0</v>
      </c>
      <c r="K731" s="163">
        <f t="shared" si="393"/>
        <v>0</v>
      </c>
      <c r="L731" s="163">
        <f t="shared" si="402"/>
        <v>0</v>
      </c>
      <c r="M731" s="163">
        <f t="shared" si="419"/>
        <v>0</v>
      </c>
      <c r="N731" s="163">
        <f t="shared" si="403"/>
        <v>0</v>
      </c>
      <c r="O731" s="84">
        <f t="shared" si="394"/>
        <v>0</v>
      </c>
      <c r="P731" s="31">
        <f t="shared" si="395"/>
        <v>0</v>
      </c>
      <c r="R731">
        <f t="shared" ca="1" si="404"/>
        <v>848</v>
      </c>
      <c r="S731" s="133">
        <f t="shared" ca="1" si="405"/>
        <v>137.16</v>
      </c>
      <c r="T731" s="132">
        <f t="shared" ca="1" si="396"/>
        <v>0</v>
      </c>
      <c r="U731" s="133">
        <f t="shared" ca="1" si="412"/>
        <v>1.9008342029825436E-4</v>
      </c>
      <c r="V731" s="31">
        <f t="shared" ca="1" si="406"/>
        <v>0</v>
      </c>
      <c r="W731" s="31">
        <f t="shared" ca="1" si="397"/>
        <v>0</v>
      </c>
      <c r="X731" s="163">
        <f t="shared" ca="1" si="413"/>
        <v>0</v>
      </c>
      <c r="Y731" s="163">
        <f t="shared" ca="1" si="414"/>
        <v>0</v>
      </c>
      <c r="Z731" s="163">
        <f t="shared" ca="1" si="407"/>
        <v>0</v>
      </c>
      <c r="AA731" s="163">
        <f t="shared" ca="1" si="415"/>
        <v>0</v>
      </c>
      <c r="AB731" s="84">
        <f t="shared" ca="1" si="398"/>
        <v>0</v>
      </c>
      <c r="AC731" s="160">
        <f t="shared" si="399"/>
        <v>0</v>
      </c>
      <c r="AD731" s="31">
        <f t="shared" ca="1" si="400"/>
        <v>0</v>
      </c>
      <c r="AF731" s="5"/>
      <c r="AG731" s="5"/>
      <c r="AS731" s="55">
        <f t="shared" si="408"/>
        <v>61</v>
      </c>
      <c r="AT731" s="56">
        <f t="shared" si="416"/>
        <v>728</v>
      </c>
      <c r="AU731" s="57">
        <f t="shared" si="420"/>
        <v>2.8660678870102443E-2</v>
      </c>
      <c r="AV731" s="58">
        <f t="shared" si="409"/>
        <v>4.8675505653430484E-3</v>
      </c>
      <c r="AW731" s="59">
        <f t="shared" si="410"/>
        <v>1.004867550565343</v>
      </c>
      <c r="AX731" s="60">
        <f>PRODUCT(AW$4:AW731)</f>
        <v>34.294343436623684</v>
      </c>
    </row>
    <row r="732" spans="5:50">
      <c r="E732">
        <f t="shared" si="418"/>
        <v>729</v>
      </c>
      <c r="F732" s="9">
        <f t="shared" si="411"/>
        <v>129.6666666666635</v>
      </c>
      <c r="G732" s="132">
        <f t="shared" si="391"/>
        <v>0</v>
      </c>
      <c r="H732" s="133">
        <f t="shared" si="417"/>
        <v>1</v>
      </c>
      <c r="I732" s="31">
        <f t="shared" si="401"/>
        <v>0</v>
      </c>
      <c r="J732" s="31">
        <f t="shared" si="392"/>
        <v>0</v>
      </c>
      <c r="K732" s="163">
        <f t="shared" si="393"/>
        <v>0</v>
      </c>
      <c r="L732" s="163">
        <f t="shared" si="402"/>
        <v>0</v>
      </c>
      <c r="M732" s="163">
        <f t="shared" si="419"/>
        <v>0</v>
      </c>
      <c r="N732" s="163">
        <f t="shared" si="403"/>
        <v>0</v>
      </c>
      <c r="O732" s="84">
        <f t="shared" si="394"/>
        <v>0</v>
      </c>
      <c r="P732" s="31">
        <f t="shared" si="395"/>
        <v>0</v>
      </c>
      <c r="R732">
        <f t="shared" ca="1" si="404"/>
        <v>849</v>
      </c>
      <c r="S732" s="133">
        <f t="shared" ca="1" si="405"/>
        <v>137.24</v>
      </c>
      <c r="T732" s="132">
        <f t="shared" ca="1" si="396"/>
        <v>0</v>
      </c>
      <c r="U732" s="133">
        <f t="shared" ca="1" si="412"/>
        <v>1.9008342029825436E-4</v>
      </c>
      <c r="V732" s="31">
        <f t="shared" ca="1" si="406"/>
        <v>0</v>
      </c>
      <c r="W732" s="31">
        <f t="shared" ca="1" si="397"/>
        <v>0</v>
      </c>
      <c r="X732" s="163">
        <f t="shared" ca="1" si="413"/>
        <v>0</v>
      </c>
      <c r="Y732" s="163">
        <f t="shared" ca="1" si="414"/>
        <v>0</v>
      </c>
      <c r="Z732" s="163">
        <f t="shared" ca="1" si="407"/>
        <v>0</v>
      </c>
      <c r="AA732" s="163">
        <f t="shared" ca="1" si="415"/>
        <v>0</v>
      </c>
      <c r="AB732" s="84">
        <f t="shared" ca="1" si="398"/>
        <v>0</v>
      </c>
      <c r="AC732" s="160">
        <f t="shared" si="399"/>
        <v>0</v>
      </c>
      <c r="AD732" s="31">
        <f t="shared" ca="1" si="400"/>
        <v>0</v>
      </c>
      <c r="AF732" s="5"/>
      <c r="AG732" s="5"/>
      <c r="AS732" s="55">
        <f t="shared" si="408"/>
        <v>61</v>
      </c>
      <c r="AT732" s="56">
        <f t="shared" si="416"/>
        <v>729</v>
      </c>
      <c r="AU732" s="57">
        <f t="shared" si="420"/>
        <v>2.8521171566465161E-2</v>
      </c>
      <c r="AV732" s="58">
        <f t="shared" si="409"/>
        <v>4.8675505653430484E-3</v>
      </c>
      <c r="AW732" s="59">
        <f t="shared" si="410"/>
        <v>1.004867550565343</v>
      </c>
      <c r="AX732" s="60">
        <f>PRODUCT(AW$4:AW732)</f>
        <v>34.461272887406693</v>
      </c>
    </row>
    <row r="733" spans="5:50">
      <c r="E733">
        <f t="shared" si="418"/>
        <v>730</v>
      </c>
      <c r="F733" s="9">
        <f t="shared" si="411"/>
        <v>129.74999999999685</v>
      </c>
      <c r="G733" s="132">
        <f t="shared" si="391"/>
        <v>0</v>
      </c>
      <c r="H733" s="133">
        <f t="shared" si="417"/>
        <v>1</v>
      </c>
      <c r="I733" s="31">
        <f t="shared" si="401"/>
        <v>0</v>
      </c>
      <c r="J733" s="31">
        <f t="shared" si="392"/>
        <v>0</v>
      </c>
      <c r="K733" s="163">
        <f t="shared" si="393"/>
        <v>0</v>
      </c>
      <c r="L733" s="163">
        <f t="shared" si="402"/>
        <v>0</v>
      </c>
      <c r="M733" s="163">
        <f t="shared" si="419"/>
        <v>0</v>
      </c>
      <c r="N733" s="163">
        <f t="shared" si="403"/>
        <v>0</v>
      </c>
      <c r="O733" s="84">
        <f t="shared" si="394"/>
        <v>0</v>
      </c>
      <c r="P733" s="31">
        <f t="shared" si="395"/>
        <v>0</v>
      </c>
      <c r="R733">
        <f t="shared" ca="1" si="404"/>
        <v>850</v>
      </c>
      <c r="S733" s="133">
        <f t="shared" ca="1" si="405"/>
        <v>137.32</v>
      </c>
      <c r="T733" s="132">
        <f t="shared" ca="1" si="396"/>
        <v>0</v>
      </c>
      <c r="U733" s="133">
        <f t="shared" ca="1" si="412"/>
        <v>1.9008342029825436E-4</v>
      </c>
      <c r="V733" s="31">
        <f t="shared" ca="1" si="406"/>
        <v>0</v>
      </c>
      <c r="W733" s="31">
        <f t="shared" ca="1" si="397"/>
        <v>0</v>
      </c>
      <c r="X733" s="163">
        <f t="shared" ca="1" si="413"/>
        <v>0</v>
      </c>
      <c r="Y733" s="163">
        <f t="shared" ca="1" si="414"/>
        <v>0</v>
      </c>
      <c r="Z733" s="163">
        <f t="shared" ca="1" si="407"/>
        <v>0</v>
      </c>
      <c r="AA733" s="163">
        <f t="shared" ca="1" si="415"/>
        <v>0</v>
      </c>
      <c r="AB733" s="84">
        <f t="shared" ca="1" si="398"/>
        <v>0</v>
      </c>
      <c r="AC733" s="160">
        <f t="shared" si="399"/>
        <v>0</v>
      </c>
      <c r="AD733" s="31">
        <f t="shared" ca="1" si="400"/>
        <v>0</v>
      </c>
      <c r="AF733" s="5"/>
      <c r="AG733" s="5"/>
      <c r="AS733" s="55">
        <f t="shared" si="408"/>
        <v>61</v>
      </c>
      <c r="AT733" s="56">
        <f t="shared" si="416"/>
        <v>730</v>
      </c>
      <c r="AU733" s="57">
        <f t="shared" si="420"/>
        <v>2.8382343321682567E-2</v>
      </c>
      <c r="AV733" s="58">
        <f t="shared" si="409"/>
        <v>4.8675505653430484E-3</v>
      </c>
      <c r="AW733" s="59">
        <f t="shared" si="410"/>
        <v>1.004867550565343</v>
      </c>
      <c r="AX733" s="60">
        <f>PRODUCT(AW$4:AW733)</f>
        <v>34.629014875732231</v>
      </c>
    </row>
    <row r="734" spans="5:50">
      <c r="E734">
        <f t="shared" si="418"/>
        <v>731</v>
      </c>
      <c r="F734" s="9">
        <f t="shared" si="411"/>
        <v>129.83333333333019</v>
      </c>
      <c r="G734" s="132">
        <f t="shared" si="391"/>
        <v>0</v>
      </c>
      <c r="H734" s="133">
        <f t="shared" si="417"/>
        <v>1</v>
      </c>
      <c r="I734" s="31">
        <f t="shared" si="401"/>
        <v>0</v>
      </c>
      <c r="J734" s="31">
        <f t="shared" si="392"/>
        <v>0</v>
      </c>
      <c r="K734" s="163">
        <f t="shared" si="393"/>
        <v>0</v>
      </c>
      <c r="L734" s="163">
        <f t="shared" si="402"/>
        <v>0</v>
      </c>
      <c r="M734" s="163">
        <f t="shared" si="419"/>
        <v>0</v>
      </c>
      <c r="N734" s="163">
        <f t="shared" si="403"/>
        <v>0</v>
      </c>
      <c r="O734" s="84">
        <f t="shared" si="394"/>
        <v>0</v>
      </c>
      <c r="P734" s="31">
        <f t="shared" si="395"/>
        <v>0</v>
      </c>
      <c r="R734">
        <f t="shared" ca="1" si="404"/>
        <v>851</v>
      </c>
      <c r="S734" s="133">
        <f t="shared" ca="1" si="405"/>
        <v>137.4</v>
      </c>
      <c r="T734" s="132">
        <f t="shared" ca="1" si="396"/>
        <v>0</v>
      </c>
      <c r="U734" s="133">
        <f t="shared" ca="1" si="412"/>
        <v>1.9008342029825436E-4</v>
      </c>
      <c r="V734" s="31">
        <f t="shared" ca="1" si="406"/>
        <v>0</v>
      </c>
      <c r="W734" s="31">
        <f t="shared" ca="1" si="397"/>
        <v>0</v>
      </c>
      <c r="X734" s="163">
        <f t="shared" ca="1" si="413"/>
        <v>0</v>
      </c>
      <c r="Y734" s="163">
        <f t="shared" ca="1" si="414"/>
        <v>0</v>
      </c>
      <c r="Z734" s="163">
        <f t="shared" ca="1" si="407"/>
        <v>0</v>
      </c>
      <c r="AA734" s="163">
        <f t="shared" ca="1" si="415"/>
        <v>0</v>
      </c>
      <c r="AB734" s="84">
        <f t="shared" ca="1" si="398"/>
        <v>0</v>
      </c>
      <c r="AC734" s="160">
        <f t="shared" si="399"/>
        <v>0</v>
      </c>
      <c r="AD734" s="31">
        <f t="shared" ca="1" si="400"/>
        <v>0</v>
      </c>
      <c r="AF734" s="5"/>
      <c r="AG734" s="5"/>
      <c r="AS734" s="55">
        <f t="shared" si="408"/>
        <v>61</v>
      </c>
      <c r="AT734" s="56">
        <f t="shared" si="416"/>
        <v>731</v>
      </c>
      <c r="AU734" s="57">
        <f t="shared" si="420"/>
        <v>2.8244190830401351E-2</v>
      </c>
      <c r="AV734" s="58">
        <f t="shared" si="409"/>
        <v>4.8675505653430484E-3</v>
      </c>
      <c r="AW734" s="59">
        <f t="shared" si="410"/>
        <v>1.004867550565343</v>
      </c>
      <c r="AX734" s="60">
        <f>PRODUCT(AW$4:AW734)</f>
        <v>34.797573356667876</v>
      </c>
    </row>
    <row r="735" spans="5:50">
      <c r="E735">
        <f t="shared" si="418"/>
        <v>732</v>
      </c>
      <c r="F735" s="9">
        <f t="shared" si="411"/>
        <v>129.91666666666353</v>
      </c>
      <c r="G735" s="132">
        <f t="shared" si="391"/>
        <v>0</v>
      </c>
      <c r="H735" s="133">
        <f t="shared" si="417"/>
        <v>1</v>
      </c>
      <c r="I735" s="31">
        <f t="shared" si="401"/>
        <v>0</v>
      </c>
      <c r="J735" s="31">
        <f t="shared" si="392"/>
        <v>0</v>
      </c>
      <c r="K735" s="163">
        <f t="shared" si="393"/>
        <v>0</v>
      </c>
      <c r="L735" s="163">
        <f t="shared" si="402"/>
        <v>0</v>
      </c>
      <c r="M735" s="163">
        <f t="shared" si="419"/>
        <v>0</v>
      </c>
      <c r="N735" s="163">
        <f t="shared" si="403"/>
        <v>0</v>
      </c>
      <c r="O735" s="84">
        <f t="shared" si="394"/>
        <v>0</v>
      </c>
      <c r="P735" s="31">
        <f t="shared" si="395"/>
        <v>0</v>
      </c>
      <c r="R735">
        <f t="shared" ca="1" si="404"/>
        <v>852</v>
      </c>
      <c r="S735" s="133">
        <f t="shared" ca="1" si="405"/>
        <v>137.47999999999999</v>
      </c>
      <c r="T735" s="132">
        <f t="shared" ca="1" si="396"/>
        <v>0</v>
      </c>
      <c r="U735" s="133">
        <f t="shared" ca="1" si="412"/>
        <v>1.9008342029825436E-4</v>
      </c>
      <c r="V735" s="31">
        <f t="shared" ca="1" si="406"/>
        <v>0</v>
      </c>
      <c r="W735" s="31">
        <f t="shared" ca="1" si="397"/>
        <v>0</v>
      </c>
      <c r="X735" s="163">
        <f t="shared" ca="1" si="413"/>
        <v>0</v>
      </c>
      <c r="Y735" s="163">
        <f t="shared" ca="1" si="414"/>
        <v>0</v>
      </c>
      <c r="Z735" s="163">
        <f t="shared" ca="1" si="407"/>
        <v>0</v>
      </c>
      <c r="AA735" s="163">
        <f t="shared" ca="1" si="415"/>
        <v>0</v>
      </c>
      <c r="AB735" s="84">
        <f t="shared" ca="1" si="398"/>
        <v>0</v>
      </c>
      <c r="AC735" s="160">
        <f t="shared" si="399"/>
        <v>0</v>
      </c>
      <c r="AD735" s="31">
        <f t="shared" ca="1" si="400"/>
        <v>0</v>
      </c>
      <c r="AF735" s="5"/>
      <c r="AG735" s="5"/>
      <c r="AS735" s="55">
        <f t="shared" si="408"/>
        <v>61</v>
      </c>
      <c r="AT735" s="56">
        <f t="shared" si="416"/>
        <v>732</v>
      </c>
      <c r="AU735" s="57">
        <f t="shared" si="420"/>
        <v>2.8106710803357172E-2</v>
      </c>
      <c r="AV735" s="58">
        <f t="shared" si="409"/>
        <v>4.8675505653430484E-3</v>
      </c>
      <c r="AW735" s="59">
        <f t="shared" si="410"/>
        <v>1.004867550565343</v>
      </c>
      <c r="AX735" s="60">
        <f>PRODUCT(AW$4:AW735)</f>
        <v>34.96695230453269</v>
      </c>
    </row>
    <row r="736" spans="5:50">
      <c r="E736">
        <f t="shared" si="418"/>
        <v>733</v>
      </c>
      <c r="F736" s="9">
        <f t="shared" si="411"/>
        <v>129.99999999999687</v>
      </c>
      <c r="G736" s="132">
        <f t="shared" si="391"/>
        <v>0</v>
      </c>
      <c r="H736" s="133">
        <f t="shared" si="417"/>
        <v>1</v>
      </c>
      <c r="I736" s="31">
        <f t="shared" si="401"/>
        <v>0</v>
      </c>
      <c r="J736" s="31">
        <f t="shared" si="392"/>
        <v>0</v>
      </c>
      <c r="K736" s="163">
        <f t="shared" si="393"/>
        <v>0</v>
      </c>
      <c r="L736" s="163">
        <f t="shared" si="402"/>
        <v>0</v>
      </c>
      <c r="M736" s="163">
        <f t="shared" si="419"/>
        <v>0</v>
      </c>
      <c r="N736" s="163">
        <f t="shared" si="403"/>
        <v>0</v>
      </c>
      <c r="O736" s="84">
        <f t="shared" si="394"/>
        <v>0</v>
      </c>
      <c r="P736" s="31">
        <f t="shared" si="395"/>
        <v>0</v>
      </c>
      <c r="R736">
        <f t="shared" ca="1" si="404"/>
        <v>853</v>
      </c>
      <c r="S736" s="133">
        <f t="shared" ca="1" si="405"/>
        <v>137.56</v>
      </c>
      <c r="T736" s="132">
        <f t="shared" ca="1" si="396"/>
        <v>0</v>
      </c>
      <c r="U736" s="133">
        <f t="shared" ca="1" si="412"/>
        <v>1.9008342029825436E-4</v>
      </c>
      <c r="V736" s="31">
        <f t="shared" ca="1" si="406"/>
        <v>0</v>
      </c>
      <c r="W736" s="31">
        <f t="shared" ca="1" si="397"/>
        <v>0</v>
      </c>
      <c r="X736" s="163">
        <f t="shared" ca="1" si="413"/>
        <v>0</v>
      </c>
      <c r="Y736" s="163">
        <f t="shared" ca="1" si="414"/>
        <v>0</v>
      </c>
      <c r="Z736" s="163">
        <f t="shared" ca="1" si="407"/>
        <v>0</v>
      </c>
      <c r="AA736" s="163">
        <f t="shared" ca="1" si="415"/>
        <v>0</v>
      </c>
      <c r="AB736" s="84">
        <f t="shared" ca="1" si="398"/>
        <v>0</v>
      </c>
      <c r="AC736" s="160">
        <f t="shared" si="399"/>
        <v>0</v>
      </c>
      <c r="AD736" s="31">
        <f t="shared" ca="1" si="400"/>
        <v>0</v>
      </c>
      <c r="AF736" s="5"/>
      <c r="AG736" s="5"/>
      <c r="AS736" s="55">
        <f t="shared" si="408"/>
        <v>62</v>
      </c>
      <c r="AT736" s="56">
        <f t="shared" si="416"/>
        <v>733</v>
      </c>
      <c r="AU736" s="57">
        <f t="shared" si="420"/>
        <v>2.7969899967296357E-2</v>
      </c>
      <c r="AV736" s="58">
        <f t="shared" si="409"/>
        <v>4.8675505653430484E-3</v>
      </c>
      <c r="AW736" s="59">
        <f t="shared" si="410"/>
        <v>1.004867550565343</v>
      </c>
      <c r="AX736" s="60">
        <f>PRODUCT(AW$4:AW736)</f>
        <v>35.137155712990939</v>
      </c>
    </row>
    <row r="737" spans="5:50">
      <c r="E737">
        <f t="shared" si="418"/>
        <v>734</v>
      </c>
      <c r="F737" s="9">
        <f t="shared" si="411"/>
        <v>130.08333333333022</v>
      </c>
      <c r="G737" s="132">
        <f t="shared" si="391"/>
        <v>0</v>
      </c>
      <c r="H737" s="133">
        <f t="shared" si="417"/>
        <v>1</v>
      </c>
      <c r="I737" s="31">
        <f t="shared" si="401"/>
        <v>0</v>
      </c>
      <c r="J737" s="31">
        <f t="shared" si="392"/>
        <v>0</v>
      </c>
      <c r="K737" s="163">
        <f t="shared" si="393"/>
        <v>0</v>
      </c>
      <c r="L737" s="163">
        <f t="shared" si="402"/>
        <v>0</v>
      </c>
      <c r="M737" s="163">
        <f t="shared" si="419"/>
        <v>0</v>
      </c>
      <c r="N737" s="163">
        <f t="shared" si="403"/>
        <v>0</v>
      </c>
      <c r="O737" s="84">
        <f t="shared" si="394"/>
        <v>0</v>
      </c>
      <c r="P737" s="31">
        <f t="shared" si="395"/>
        <v>0</v>
      </c>
      <c r="R737">
        <f t="shared" ca="1" si="404"/>
        <v>854</v>
      </c>
      <c r="S737" s="133">
        <f t="shared" ca="1" si="405"/>
        <v>137.63999999999999</v>
      </c>
      <c r="T737" s="132">
        <f t="shared" ca="1" si="396"/>
        <v>0</v>
      </c>
      <c r="U737" s="133">
        <f t="shared" ca="1" si="412"/>
        <v>1.9008342029825436E-4</v>
      </c>
      <c r="V737" s="31">
        <f t="shared" ca="1" si="406"/>
        <v>0</v>
      </c>
      <c r="W737" s="31">
        <f t="shared" ca="1" si="397"/>
        <v>0</v>
      </c>
      <c r="X737" s="163">
        <f t="shared" ca="1" si="413"/>
        <v>0</v>
      </c>
      <c r="Y737" s="163">
        <f t="shared" ca="1" si="414"/>
        <v>0</v>
      </c>
      <c r="Z737" s="163">
        <f t="shared" ca="1" si="407"/>
        <v>0</v>
      </c>
      <c r="AA737" s="163">
        <f t="shared" ca="1" si="415"/>
        <v>0</v>
      </c>
      <c r="AB737" s="84">
        <f t="shared" ca="1" si="398"/>
        <v>0</v>
      </c>
      <c r="AC737" s="160">
        <f t="shared" si="399"/>
        <v>0</v>
      </c>
      <c r="AD737" s="31">
        <f t="shared" ca="1" si="400"/>
        <v>0</v>
      </c>
      <c r="AF737" s="5"/>
      <c r="AG737" s="5"/>
      <c r="AS737" s="55">
        <f t="shared" si="408"/>
        <v>62</v>
      </c>
      <c r="AT737" s="56">
        <f t="shared" si="416"/>
        <v>734</v>
      </c>
      <c r="AU737" s="57">
        <f t="shared" si="420"/>
        <v>2.7833755064897957E-2</v>
      </c>
      <c r="AV737" s="58">
        <f t="shared" si="409"/>
        <v>4.8675505653430484E-3</v>
      </c>
      <c r="AW737" s="59">
        <f t="shared" si="410"/>
        <v>1.004867550565343</v>
      </c>
      <c r="AX737" s="60">
        <f>PRODUCT(AW$4:AW737)</f>
        <v>35.308187595146258</v>
      </c>
    </row>
    <row r="738" spans="5:50">
      <c r="E738">
        <f t="shared" si="418"/>
        <v>735</v>
      </c>
      <c r="F738" s="9">
        <f t="shared" si="411"/>
        <v>130.16666666666356</v>
      </c>
      <c r="G738" s="132">
        <f t="shared" si="391"/>
        <v>0</v>
      </c>
      <c r="H738" s="133">
        <f t="shared" si="417"/>
        <v>1</v>
      </c>
      <c r="I738" s="31">
        <f t="shared" si="401"/>
        <v>0</v>
      </c>
      <c r="J738" s="31">
        <f t="shared" si="392"/>
        <v>0</v>
      </c>
      <c r="K738" s="163">
        <f t="shared" si="393"/>
        <v>0</v>
      </c>
      <c r="L738" s="163">
        <f t="shared" si="402"/>
        <v>0</v>
      </c>
      <c r="M738" s="163">
        <f t="shared" si="419"/>
        <v>0</v>
      </c>
      <c r="N738" s="163">
        <f t="shared" si="403"/>
        <v>0</v>
      </c>
      <c r="O738" s="84">
        <f t="shared" si="394"/>
        <v>0</v>
      </c>
      <c r="P738" s="31">
        <f t="shared" si="395"/>
        <v>0</v>
      </c>
      <c r="R738">
        <f t="shared" ca="1" si="404"/>
        <v>855</v>
      </c>
      <c r="S738" s="133">
        <f t="shared" ca="1" si="405"/>
        <v>137.72</v>
      </c>
      <c r="T738" s="132">
        <f t="shared" ca="1" si="396"/>
        <v>0</v>
      </c>
      <c r="U738" s="133">
        <f t="shared" ca="1" si="412"/>
        <v>1.9008342029825436E-4</v>
      </c>
      <c r="V738" s="31">
        <f t="shared" ca="1" si="406"/>
        <v>0</v>
      </c>
      <c r="W738" s="31">
        <f t="shared" ca="1" si="397"/>
        <v>0</v>
      </c>
      <c r="X738" s="163">
        <f t="shared" ca="1" si="413"/>
        <v>0</v>
      </c>
      <c r="Y738" s="163">
        <f t="shared" ca="1" si="414"/>
        <v>0</v>
      </c>
      <c r="Z738" s="163">
        <f t="shared" ca="1" si="407"/>
        <v>0</v>
      </c>
      <c r="AA738" s="163">
        <f t="shared" ca="1" si="415"/>
        <v>0</v>
      </c>
      <c r="AB738" s="84">
        <f t="shared" ca="1" si="398"/>
        <v>0</v>
      </c>
      <c r="AC738" s="160">
        <f t="shared" si="399"/>
        <v>0</v>
      </c>
      <c r="AD738" s="31">
        <f t="shared" ca="1" si="400"/>
        <v>0</v>
      </c>
      <c r="AF738" s="5"/>
      <c r="AG738" s="5"/>
      <c r="AS738" s="55">
        <f t="shared" si="408"/>
        <v>62</v>
      </c>
      <c r="AT738" s="56">
        <f t="shared" si="416"/>
        <v>735</v>
      </c>
      <c r="AU738" s="57">
        <f t="shared" si="420"/>
        <v>2.7698272854696192E-2</v>
      </c>
      <c r="AV738" s="58">
        <f t="shared" si="409"/>
        <v>4.8675505653430484E-3</v>
      </c>
      <c r="AW738" s="59">
        <f t="shared" si="410"/>
        <v>1.004867550565343</v>
      </c>
      <c r="AX738" s="60">
        <f>PRODUCT(AW$4:AW738)</f>
        <v>35.480051983636251</v>
      </c>
    </row>
    <row r="739" spans="5:50">
      <c r="E739">
        <f t="shared" si="418"/>
        <v>736</v>
      </c>
      <c r="F739" s="9">
        <f t="shared" si="411"/>
        <v>130.2499999999969</v>
      </c>
      <c r="G739" s="132">
        <f t="shared" si="391"/>
        <v>0</v>
      </c>
      <c r="H739" s="133">
        <f t="shared" si="417"/>
        <v>1</v>
      </c>
      <c r="I739" s="31">
        <f t="shared" si="401"/>
        <v>0</v>
      </c>
      <c r="J739" s="31">
        <f t="shared" si="392"/>
        <v>0</v>
      </c>
      <c r="K739" s="163">
        <f t="shared" si="393"/>
        <v>0</v>
      </c>
      <c r="L739" s="163">
        <f t="shared" si="402"/>
        <v>0</v>
      </c>
      <c r="M739" s="163">
        <f t="shared" si="419"/>
        <v>0</v>
      </c>
      <c r="N739" s="163">
        <f t="shared" si="403"/>
        <v>0</v>
      </c>
      <c r="O739" s="84">
        <f t="shared" si="394"/>
        <v>0</v>
      </c>
      <c r="P739" s="31">
        <f t="shared" si="395"/>
        <v>0</v>
      </c>
      <c r="R739">
        <f t="shared" ca="1" si="404"/>
        <v>856</v>
      </c>
      <c r="S739" s="133">
        <f t="shared" ca="1" si="405"/>
        <v>137.80000000000001</v>
      </c>
      <c r="T739" s="132">
        <f t="shared" ca="1" si="396"/>
        <v>0</v>
      </c>
      <c r="U739" s="133">
        <f t="shared" ca="1" si="412"/>
        <v>1.9008342029825436E-4</v>
      </c>
      <c r="V739" s="31">
        <f t="shared" ca="1" si="406"/>
        <v>0</v>
      </c>
      <c r="W739" s="31">
        <f t="shared" ca="1" si="397"/>
        <v>0</v>
      </c>
      <c r="X739" s="163">
        <f t="shared" ca="1" si="413"/>
        <v>0</v>
      </c>
      <c r="Y739" s="163">
        <f t="shared" ca="1" si="414"/>
        <v>0</v>
      </c>
      <c r="Z739" s="163">
        <f t="shared" ca="1" si="407"/>
        <v>0</v>
      </c>
      <c r="AA739" s="163">
        <f t="shared" ca="1" si="415"/>
        <v>0</v>
      </c>
      <c r="AB739" s="84">
        <f t="shared" ca="1" si="398"/>
        <v>0</v>
      </c>
      <c r="AC739" s="160">
        <f t="shared" si="399"/>
        <v>0</v>
      </c>
      <c r="AD739" s="31">
        <f t="shared" ca="1" si="400"/>
        <v>0</v>
      </c>
      <c r="AF739" s="5"/>
      <c r="AG739" s="5"/>
      <c r="AS739" s="55">
        <f t="shared" si="408"/>
        <v>62</v>
      </c>
      <c r="AT739" s="56">
        <f t="shared" si="416"/>
        <v>736</v>
      </c>
      <c r="AU739" s="57">
        <f t="shared" si="420"/>
        <v>2.756345011100329E-2</v>
      </c>
      <c r="AV739" s="58">
        <f t="shared" si="409"/>
        <v>4.8675505653430484E-3</v>
      </c>
      <c r="AW739" s="59">
        <f t="shared" si="410"/>
        <v>1.004867550565343</v>
      </c>
      <c r="AX739" s="60">
        <f>PRODUCT(AW$4:AW739)</f>
        <v>35.652752930727601</v>
      </c>
    </row>
    <row r="740" spans="5:50">
      <c r="E740">
        <f t="shared" si="418"/>
        <v>737</v>
      </c>
      <c r="F740" s="9">
        <f t="shared" si="411"/>
        <v>130.33333333333024</v>
      </c>
      <c r="G740" s="132">
        <f t="shared" si="391"/>
        <v>0</v>
      </c>
      <c r="H740" s="133">
        <f t="shared" si="417"/>
        <v>1</v>
      </c>
      <c r="I740" s="31">
        <f t="shared" si="401"/>
        <v>0</v>
      </c>
      <c r="J740" s="31">
        <f t="shared" si="392"/>
        <v>0</v>
      </c>
      <c r="K740" s="163">
        <f t="shared" si="393"/>
        <v>0</v>
      </c>
      <c r="L740" s="163">
        <f t="shared" si="402"/>
        <v>0</v>
      </c>
      <c r="M740" s="163">
        <f t="shared" si="419"/>
        <v>0</v>
      </c>
      <c r="N740" s="163">
        <f t="shared" si="403"/>
        <v>0</v>
      </c>
      <c r="O740" s="84">
        <f t="shared" si="394"/>
        <v>0</v>
      </c>
      <c r="P740" s="31">
        <f t="shared" si="395"/>
        <v>0</v>
      </c>
      <c r="R740">
        <f t="shared" ca="1" si="404"/>
        <v>857</v>
      </c>
      <c r="S740" s="133">
        <f t="shared" ca="1" si="405"/>
        <v>137.88</v>
      </c>
      <c r="T740" s="132">
        <f t="shared" ca="1" si="396"/>
        <v>0</v>
      </c>
      <c r="U740" s="133">
        <f t="shared" ca="1" si="412"/>
        <v>1.9008342029825436E-4</v>
      </c>
      <c r="V740" s="31">
        <f t="shared" ca="1" si="406"/>
        <v>0</v>
      </c>
      <c r="W740" s="31">
        <f t="shared" ca="1" si="397"/>
        <v>0</v>
      </c>
      <c r="X740" s="163">
        <f t="shared" ca="1" si="413"/>
        <v>0</v>
      </c>
      <c r="Y740" s="163">
        <f t="shared" ca="1" si="414"/>
        <v>0</v>
      </c>
      <c r="Z740" s="163">
        <f t="shared" ca="1" si="407"/>
        <v>0</v>
      </c>
      <c r="AA740" s="163">
        <f t="shared" ca="1" si="415"/>
        <v>0</v>
      </c>
      <c r="AB740" s="84">
        <f t="shared" ca="1" si="398"/>
        <v>0</v>
      </c>
      <c r="AC740" s="160">
        <f t="shared" si="399"/>
        <v>0</v>
      </c>
      <c r="AD740" s="31">
        <f t="shared" ca="1" si="400"/>
        <v>0</v>
      </c>
      <c r="AF740" s="5"/>
      <c r="AG740" s="5"/>
      <c r="AS740" s="55">
        <f t="shared" si="408"/>
        <v>62</v>
      </c>
      <c r="AT740" s="56">
        <f t="shared" si="416"/>
        <v>737</v>
      </c>
      <c r="AU740" s="57">
        <f t="shared" si="420"/>
        <v>2.7429283623832672E-2</v>
      </c>
      <c r="AV740" s="58">
        <f t="shared" si="409"/>
        <v>4.8675505653430484E-3</v>
      </c>
      <c r="AW740" s="59">
        <f t="shared" si="410"/>
        <v>1.004867550565343</v>
      </c>
      <c r="AX740" s="60">
        <f>PRODUCT(AW$4:AW740)</f>
        <v>35.8262945084116</v>
      </c>
    </row>
    <row r="741" spans="5:50">
      <c r="E741">
        <f t="shared" si="418"/>
        <v>738</v>
      </c>
      <c r="F741" s="9">
        <f t="shared" si="411"/>
        <v>130.41666666666359</v>
      </c>
      <c r="G741" s="132">
        <f t="shared" si="391"/>
        <v>0</v>
      </c>
      <c r="H741" s="133">
        <f t="shared" si="417"/>
        <v>1</v>
      </c>
      <c r="I741" s="31">
        <f t="shared" si="401"/>
        <v>0</v>
      </c>
      <c r="J741" s="31">
        <f t="shared" si="392"/>
        <v>0</v>
      </c>
      <c r="K741" s="163">
        <f t="shared" si="393"/>
        <v>0</v>
      </c>
      <c r="L741" s="163">
        <f t="shared" si="402"/>
        <v>0</v>
      </c>
      <c r="M741" s="163">
        <f t="shared" si="419"/>
        <v>0</v>
      </c>
      <c r="N741" s="163">
        <f t="shared" si="403"/>
        <v>0</v>
      </c>
      <c r="O741" s="84">
        <f t="shared" si="394"/>
        <v>0</v>
      </c>
      <c r="P741" s="31">
        <f t="shared" si="395"/>
        <v>0</v>
      </c>
      <c r="R741">
        <f t="shared" ca="1" si="404"/>
        <v>858</v>
      </c>
      <c r="S741" s="133">
        <f t="shared" ca="1" si="405"/>
        <v>137.96</v>
      </c>
      <c r="T741" s="132">
        <f t="shared" ca="1" si="396"/>
        <v>0</v>
      </c>
      <c r="U741" s="133">
        <f t="shared" ca="1" si="412"/>
        <v>1.9008342029825436E-4</v>
      </c>
      <c r="V741" s="31">
        <f t="shared" ca="1" si="406"/>
        <v>0</v>
      </c>
      <c r="W741" s="31">
        <f t="shared" ca="1" si="397"/>
        <v>0</v>
      </c>
      <c r="X741" s="163">
        <f t="shared" ca="1" si="413"/>
        <v>0</v>
      </c>
      <c r="Y741" s="163">
        <f t="shared" ca="1" si="414"/>
        <v>0</v>
      </c>
      <c r="Z741" s="163">
        <f t="shared" ca="1" si="407"/>
        <v>0</v>
      </c>
      <c r="AA741" s="163">
        <f t="shared" ca="1" si="415"/>
        <v>0</v>
      </c>
      <c r="AB741" s="84">
        <f t="shared" ca="1" si="398"/>
        <v>0</v>
      </c>
      <c r="AC741" s="160">
        <f t="shared" si="399"/>
        <v>0</v>
      </c>
      <c r="AD741" s="31">
        <f t="shared" ca="1" si="400"/>
        <v>0</v>
      </c>
      <c r="AF741" s="5"/>
      <c r="AG741" s="5"/>
      <c r="AS741" s="55">
        <f t="shared" si="408"/>
        <v>62</v>
      </c>
      <c r="AT741" s="56">
        <f t="shared" si="416"/>
        <v>738</v>
      </c>
      <c r="AU741" s="57">
        <f t="shared" si="420"/>
        <v>2.7295770198822532E-2</v>
      </c>
      <c r="AV741" s="58">
        <f t="shared" si="409"/>
        <v>4.8675505653430484E-3</v>
      </c>
      <c r="AW741" s="59">
        <f t="shared" si="410"/>
        <v>1.004867550565343</v>
      </c>
      <c r="AX741" s="60">
        <f>PRODUCT(AW$4:AW741)</f>
        <v>36.000680808500164</v>
      </c>
    </row>
    <row r="742" spans="5:50">
      <c r="E742">
        <f t="shared" si="418"/>
        <v>739</v>
      </c>
      <c r="F742" s="9">
        <f t="shared" si="411"/>
        <v>130.49999999999693</v>
      </c>
      <c r="G742" s="132">
        <f t="shared" si="391"/>
        <v>0</v>
      </c>
      <c r="H742" s="133">
        <f t="shared" si="417"/>
        <v>1</v>
      </c>
      <c r="I742" s="31">
        <f t="shared" si="401"/>
        <v>0</v>
      </c>
      <c r="J742" s="31">
        <f t="shared" si="392"/>
        <v>0</v>
      </c>
      <c r="K742" s="163">
        <f t="shared" si="393"/>
        <v>0</v>
      </c>
      <c r="L742" s="163">
        <f t="shared" si="402"/>
        <v>0</v>
      </c>
      <c r="M742" s="163">
        <f t="shared" si="419"/>
        <v>0</v>
      </c>
      <c r="N742" s="163">
        <f t="shared" si="403"/>
        <v>0</v>
      </c>
      <c r="O742" s="84">
        <f t="shared" si="394"/>
        <v>0</v>
      </c>
      <c r="P742" s="31">
        <f t="shared" si="395"/>
        <v>0</v>
      </c>
      <c r="R742">
        <f t="shared" ca="1" si="404"/>
        <v>859</v>
      </c>
      <c r="S742" s="133">
        <f t="shared" ca="1" si="405"/>
        <v>138.04</v>
      </c>
      <c r="T742" s="132">
        <f t="shared" ca="1" si="396"/>
        <v>0</v>
      </c>
      <c r="U742" s="133">
        <f t="shared" ca="1" si="412"/>
        <v>1.9008342029825436E-4</v>
      </c>
      <c r="V742" s="31">
        <f t="shared" ca="1" si="406"/>
        <v>0</v>
      </c>
      <c r="W742" s="31">
        <f t="shared" ca="1" si="397"/>
        <v>0</v>
      </c>
      <c r="X742" s="163">
        <f t="shared" ca="1" si="413"/>
        <v>0</v>
      </c>
      <c r="Y742" s="163">
        <f t="shared" ca="1" si="414"/>
        <v>0</v>
      </c>
      <c r="Z742" s="163">
        <f t="shared" ca="1" si="407"/>
        <v>0</v>
      </c>
      <c r="AA742" s="163">
        <f t="shared" ca="1" si="415"/>
        <v>0</v>
      </c>
      <c r="AB742" s="84">
        <f t="shared" ca="1" si="398"/>
        <v>0</v>
      </c>
      <c r="AC742" s="160">
        <f t="shared" si="399"/>
        <v>0</v>
      </c>
      <c r="AD742" s="31">
        <f t="shared" ca="1" si="400"/>
        <v>0</v>
      </c>
      <c r="AF742" s="5"/>
      <c r="AG742" s="5"/>
      <c r="AS742" s="55">
        <f t="shared" si="408"/>
        <v>62</v>
      </c>
      <c r="AT742" s="56">
        <f t="shared" si="416"/>
        <v>739</v>
      </c>
      <c r="AU742" s="57">
        <f t="shared" si="420"/>
        <v>2.7162906657159779E-2</v>
      </c>
      <c r="AV742" s="58">
        <f t="shared" si="409"/>
        <v>4.8675505653430484E-3</v>
      </c>
      <c r="AW742" s="59">
        <f t="shared" si="410"/>
        <v>1.004867550565343</v>
      </c>
      <c r="AX742" s="60">
        <f>PRODUCT(AW$4:AW742)</f>
        <v>36.175915942722312</v>
      </c>
    </row>
    <row r="743" spans="5:50">
      <c r="E743">
        <f t="shared" si="418"/>
        <v>740</v>
      </c>
      <c r="F743" s="9">
        <f t="shared" si="411"/>
        <v>130.58333333333027</v>
      </c>
      <c r="G743" s="132">
        <f t="shared" si="391"/>
        <v>0</v>
      </c>
      <c r="H743" s="133">
        <f t="shared" si="417"/>
        <v>1</v>
      </c>
      <c r="I743" s="31">
        <f t="shared" si="401"/>
        <v>0</v>
      </c>
      <c r="J743" s="31">
        <f t="shared" si="392"/>
        <v>0</v>
      </c>
      <c r="K743" s="163">
        <f t="shared" si="393"/>
        <v>0</v>
      </c>
      <c r="L743" s="163">
        <f t="shared" si="402"/>
        <v>0</v>
      </c>
      <c r="M743" s="163">
        <f t="shared" si="419"/>
        <v>0</v>
      </c>
      <c r="N743" s="163">
        <f t="shared" si="403"/>
        <v>0</v>
      </c>
      <c r="O743" s="84">
        <f t="shared" si="394"/>
        <v>0</v>
      </c>
      <c r="P743" s="31">
        <f t="shared" si="395"/>
        <v>0</v>
      </c>
      <c r="R743">
        <f t="shared" ca="1" si="404"/>
        <v>860</v>
      </c>
      <c r="S743" s="133">
        <f t="shared" ca="1" si="405"/>
        <v>138.12</v>
      </c>
      <c r="T743" s="132">
        <f t="shared" ca="1" si="396"/>
        <v>0</v>
      </c>
      <c r="U743" s="133">
        <f t="shared" ca="1" si="412"/>
        <v>1.9008342029825436E-4</v>
      </c>
      <c r="V743" s="31">
        <f t="shared" ca="1" si="406"/>
        <v>0</v>
      </c>
      <c r="W743" s="31">
        <f t="shared" ca="1" si="397"/>
        <v>0</v>
      </c>
      <c r="X743" s="163">
        <f t="shared" ca="1" si="413"/>
        <v>0</v>
      </c>
      <c r="Y743" s="163">
        <f t="shared" ca="1" si="414"/>
        <v>0</v>
      </c>
      <c r="Z743" s="163">
        <f t="shared" ca="1" si="407"/>
        <v>0</v>
      </c>
      <c r="AA743" s="163">
        <f t="shared" ca="1" si="415"/>
        <v>0</v>
      </c>
      <c r="AB743" s="84">
        <f t="shared" ca="1" si="398"/>
        <v>0</v>
      </c>
      <c r="AC743" s="160">
        <f t="shared" si="399"/>
        <v>0</v>
      </c>
      <c r="AD743" s="31">
        <f t="shared" ca="1" si="400"/>
        <v>0</v>
      </c>
      <c r="AF743" s="5"/>
      <c r="AG743" s="5"/>
      <c r="AS743" s="55">
        <f t="shared" si="408"/>
        <v>62</v>
      </c>
      <c r="AT743" s="56">
        <f t="shared" si="416"/>
        <v>740</v>
      </c>
      <c r="AU743" s="57">
        <f t="shared" si="420"/>
        <v>2.703068983550436E-2</v>
      </c>
      <c r="AV743" s="58">
        <f t="shared" si="409"/>
        <v>4.8675505653430484E-3</v>
      </c>
      <c r="AW743" s="59">
        <f t="shared" si="410"/>
        <v>1.004867550565343</v>
      </c>
      <c r="AX743" s="60">
        <f>PRODUCT(AW$4:AW743)</f>
        <v>36.352004042821115</v>
      </c>
    </row>
    <row r="744" spans="5:50">
      <c r="E744">
        <f t="shared" si="418"/>
        <v>741</v>
      </c>
      <c r="F744" s="9">
        <f t="shared" si="411"/>
        <v>130.66666666666362</v>
      </c>
      <c r="G744" s="132">
        <f t="shared" si="391"/>
        <v>0</v>
      </c>
      <c r="H744" s="133">
        <f t="shared" si="417"/>
        <v>1</v>
      </c>
      <c r="I744" s="31">
        <f t="shared" si="401"/>
        <v>0</v>
      </c>
      <c r="J744" s="31">
        <f t="shared" si="392"/>
        <v>0</v>
      </c>
      <c r="K744" s="163">
        <f t="shared" si="393"/>
        <v>0</v>
      </c>
      <c r="L744" s="163">
        <f t="shared" si="402"/>
        <v>0</v>
      </c>
      <c r="M744" s="163">
        <f t="shared" si="419"/>
        <v>0</v>
      </c>
      <c r="N744" s="163">
        <f t="shared" si="403"/>
        <v>0</v>
      </c>
      <c r="O744" s="84">
        <f t="shared" si="394"/>
        <v>0</v>
      </c>
      <c r="P744" s="31">
        <f t="shared" si="395"/>
        <v>0</v>
      </c>
      <c r="R744">
        <f t="shared" ca="1" si="404"/>
        <v>861</v>
      </c>
      <c r="S744" s="133">
        <f t="shared" ca="1" si="405"/>
        <v>138.19999999999999</v>
      </c>
      <c r="T744" s="132">
        <f t="shared" ca="1" si="396"/>
        <v>0</v>
      </c>
      <c r="U744" s="133">
        <f t="shared" ca="1" si="412"/>
        <v>1.9008342029825436E-4</v>
      </c>
      <c r="V744" s="31">
        <f t="shared" ca="1" si="406"/>
        <v>0</v>
      </c>
      <c r="W744" s="31">
        <f t="shared" ca="1" si="397"/>
        <v>0</v>
      </c>
      <c r="X744" s="163">
        <f t="shared" ca="1" si="413"/>
        <v>0</v>
      </c>
      <c r="Y744" s="163">
        <f t="shared" ca="1" si="414"/>
        <v>0</v>
      </c>
      <c r="Z744" s="163">
        <f t="shared" ca="1" si="407"/>
        <v>0</v>
      </c>
      <c r="AA744" s="163">
        <f t="shared" ca="1" si="415"/>
        <v>0</v>
      </c>
      <c r="AB744" s="84">
        <f t="shared" ca="1" si="398"/>
        <v>0</v>
      </c>
      <c r="AC744" s="160">
        <f t="shared" si="399"/>
        <v>0</v>
      </c>
      <c r="AD744" s="31">
        <f t="shared" ca="1" si="400"/>
        <v>0</v>
      </c>
      <c r="AF744" s="5"/>
      <c r="AG744" s="5"/>
      <c r="AS744" s="55">
        <f t="shared" si="408"/>
        <v>62</v>
      </c>
      <c r="AT744" s="56">
        <f t="shared" si="416"/>
        <v>741</v>
      </c>
      <c r="AU744" s="57">
        <f t="shared" si="420"/>
        <v>2.689911658591394E-2</v>
      </c>
      <c r="AV744" s="58">
        <f t="shared" si="409"/>
        <v>4.8675505653430484E-3</v>
      </c>
      <c r="AW744" s="59">
        <f t="shared" si="410"/>
        <v>1.004867550565343</v>
      </c>
      <c r="AX744" s="60">
        <f>PRODUCT(AW$4:AW744)</f>
        <v>36.528949260651103</v>
      </c>
    </row>
    <row r="745" spans="5:50">
      <c r="E745">
        <f t="shared" si="418"/>
        <v>742</v>
      </c>
      <c r="F745" s="9">
        <f t="shared" si="411"/>
        <v>130.74999999999696</v>
      </c>
      <c r="G745" s="132">
        <f t="shared" si="391"/>
        <v>0</v>
      </c>
      <c r="H745" s="133">
        <f t="shared" si="417"/>
        <v>1</v>
      </c>
      <c r="I745" s="31">
        <f t="shared" si="401"/>
        <v>0</v>
      </c>
      <c r="J745" s="31">
        <f t="shared" si="392"/>
        <v>0</v>
      </c>
      <c r="K745" s="163">
        <f t="shared" si="393"/>
        <v>0</v>
      </c>
      <c r="L745" s="163">
        <f t="shared" si="402"/>
        <v>0</v>
      </c>
      <c r="M745" s="163">
        <f t="shared" si="419"/>
        <v>0</v>
      </c>
      <c r="N745" s="163">
        <f t="shared" si="403"/>
        <v>0</v>
      </c>
      <c r="O745" s="84">
        <f t="shared" si="394"/>
        <v>0</v>
      </c>
      <c r="P745" s="31">
        <f t="shared" si="395"/>
        <v>0</v>
      </c>
      <c r="R745">
        <f t="shared" ca="1" si="404"/>
        <v>862</v>
      </c>
      <c r="S745" s="133">
        <f t="shared" ca="1" si="405"/>
        <v>138.28</v>
      </c>
      <c r="T745" s="132">
        <f t="shared" ca="1" si="396"/>
        <v>0</v>
      </c>
      <c r="U745" s="133">
        <f t="shared" ca="1" si="412"/>
        <v>1.9008342029825436E-4</v>
      </c>
      <c r="V745" s="31">
        <f t="shared" ca="1" si="406"/>
        <v>0</v>
      </c>
      <c r="W745" s="31">
        <f t="shared" ca="1" si="397"/>
        <v>0</v>
      </c>
      <c r="X745" s="163">
        <f t="shared" ca="1" si="413"/>
        <v>0</v>
      </c>
      <c r="Y745" s="163">
        <f t="shared" ca="1" si="414"/>
        <v>0</v>
      </c>
      <c r="Z745" s="163">
        <f t="shared" ca="1" si="407"/>
        <v>0</v>
      </c>
      <c r="AA745" s="163">
        <f t="shared" ca="1" si="415"/>
        <v>0</v>
      </c>
      <c r="AB745" s="84">
        <f t="shared" ca="1" si="398"/>
        <v>0</v>
      </c>
      <c r="AC745" s="160">
        <f t="shared" si="399"/>
        <v>0</v>
      </c>
      <c r="AD745" s="31">
        <f t="shared" ca="1" si="400"/>
        <v>0</v>
      </c>
      <c r="AF745" s="5"/>
      <c r="AG745" s="5"/>
      <c r="AS745" s="55">
        <f t="shared" si="408"/>
        <v>62</v>
      </c>
      <c r="AT745" s="56">
        <f t="shared" si="416"/>
        <v>742</v>
      </c>
      <c r="AU745" s="57">
        <f t="shared" si="420"/>
        <v>2.6768183775768947E-2</v>
      </c>
      <c r="AV745" s="58">
        <f t="shared" si="409"/>
        <v>4.8675505653430484E-3</v>
      </c>
      <c r="AW745" s="59">
        <f t="shared" si="410"/>
        <v>1.004867550565343</v>
      </c>
      <c r="AX745" s="60">
        <f>PRODUCT(AW$4:AW745)</f>
        <v>36.706755768276174</v>
      </c>
    </row>
    <row r="746" spans="5:50">
      <c r="E746">
        <f t="shared" si="418"/>
        <v>743</v>
      </c>
      <c r="F746" s="9">
        <f t="shared" si="411"/>
        <v>130.8333333333303</v>
      </c>
      <c r="G746" s="132">
        <f t="shared" si="391"/>
        <v>0</v>
      </c>
      <c r="H746" s="133">
        <f t="shared" si="417"/>
        <v>1</v>
      </c>
      <c r="I746" s="31">
        <f t="shared" si="401"/>
        <v>0</v>
      </c>
      <c r="J746" s="31">
        <f t="shared" si="392"/>
        <v>0</v>
      </c>
      <c r="K746" s="163">
        <f t="shared" si="393"/>
        <v>0</v>
      </c>
      <c r="L746" s="163">
        <f t="shared" si="402"/>
        <v>0</v>
      </c>
      <c r="M746" s="163">
        <f t="shared" si="419"/>
        <v>0</v>
      </c>
      <c r="N746" s="163">
        <f t="shared" si="403"/>
        <v>0</v>
      </c>
      <c r="O746" s="84">
        <f t="shared" si="394"/>
        <v>0</v>
      </c>
      <c r="P746" s="31">
        <f t="shared" si="395"/>
        <v>0</v>
      </c>
      <c r="R746">
        <f t="shared" ca="1" si="404"/>
        <v>863</v>
      </c>
      <c r="S746" s="133">
        <f t="shared" ca="1" si="405"/>
        <v>138.36000000000001</v>
      </c>
      <c r="T746" s="132">
        <f t="shared" ca="1" si="396"/>
        <v>0</v>
      </c>
      <c r="U746" s="133">
        <f t="shared" ca="1" si="412"/>
        <v>1.9008342029825436E-4</v>
      </c>
      <c r="V746" s="31">
        <f t="shared" ca="1" si="406"/>
        <v>0</v>
      </c>
      <c r="W746" s="31">
        <f t="shared" ca="1" si="397"/>
        <v>0</v>
      </c>
      <c r="X746" s="163">
        <f t="shared" ca="1" si="413"/>
        <v>0</v>
      </c>
      <c r="Y746" s="163">
        <f t="shared" ca="1" si="414"/>
        <v>0</v>
      </c>
      <c r="Z746" s="163">
        <f t="shared" ca="1" si="407"/>
        <v>0</v>
      </c>
      <c r="AA746" s="163">
        <f t="shared" ca="1" si="415"/>
        <v>0</v>
      </c>
      <c r="AB746" s="84">
        <f t="shared" ca="1" si="398"/>
        <v>0</v>
      </c>
      <c r="AC746" s="160">
        <f t="shared" si="399"/>
        <v>0</v>
      </c>
      <c r="AD746" s="31">
        <f t="shared" ca="1" si="400"/>
        <v>0</v>
      </c>
      <c r="AF746" s="5"/>
      <c r="AG746" s="5"/>
      <c r="AS746" s="55">
        <f t="shared" si="408"/>
        <v>62</v>
      </c>
      <c r="AT746" s="56">
        <f t="shared" si="416"/>
        <v>743</v>
      </c>
      <c r="AU746" s="57">
        <f t="shared" si="420"/>
        <v>2.6637888287697996E-2</v>
      </c>
      <c r="AV746" s="58">
        <f t="shared" si="409"/>
        <v>4.8675505653430484E-3</v>
      </c>
      <c r="AW746" s="59">
        <f t="shared" si="410"/>
        <v>1.004867550565343</v>
      </c>
      <c r="AX746" s="60">
        <f>PRODUCT(AW$4:AW746)</f>
        <v>36.885427758067955</v>
      </c>
    </row>
    <row r="747" spans="5:50">
      <c r="E747">
        <f t="shared" si="418"/>
        <v>744</v>
      </c>
      <c r="F747" s="9">
        <f t="shared" si="411"/>
        <v>130.91666666666364</v>
      </c>
      <c r="G747" s="132">
        <f t="shared" si="391"/>
        <v>0</v>
      </c>
      <c r="H747" s="133">
        <f t="shared" si="417"/>
        <v>1</v>
      </c>
      <c r="I747" s="31">
        <f t="shared" si="401"/>
        <v>0</v>
      </c>
      <c r="J747" s="31">
        <f t="shared" si="392"/>
        <v>0</v>
      </c>
      <c r="K747" s="163">
        <f t="shared" si="393"/>
        <v>0</v>
      </c>
      <c r="L747" s="163">
        <f t="shared" si="402"/>
        <v>0</v>
      </c>
      <c r="M747" s="163">
        <f t="shared" si="419"/>
        <v>0</v>
      </c>
      <c r="N747" s="163">
        <f t="shared" si="403"/>
        <v>0</v>
      </c>
      <c r="O747" s="84">
        <f t="shared" si="394"/>
        <v>0</v>
      </c>
      <c r="P747" s="31">
        <f t="shared" si="395"/>
        <v>0</v>
      </c>
      <c r="R747">
        <f t="shared" ca="1" si="404"/>
        <v>864</v>
      </c>
      <c r="S747" s="133">
        <f t="shared" ca="1" si="405"/>
        <v>138.44</v>
      </c>
      <c r="T747" s="132">
        <f t="shared" ca="1" si="396"/>
        <v>0</v>
      </c>
      <c r="U747" s="133">
        <f t="shared" ca="1" si="412"/>
        <v>1.9008342029825436E-4</v>
      </c>
      <c r="V747" s="31">
        <f t="shared" ca="1" si="406"/>
        <v>0</v>
      </c>
      <c r="W747" s="31">
        <f t="shared" ca="1" si="397"/>
        <v>0</v>
      </c>
      <c r="X747" s="163">
        <f t="shared" ca="1" si="413"/>
        <v>0</v>
      </c>
      <c r="Y747" s="163">
        <f t="shared" ca="1" si="414"/>
        <v>0</v>
      </c>
      <c r="Z747" s="163">
        <f t="shared" ca="1" si="407"/>
        <v>0</v>
      </c>
      <c r="AA747" s="163">
        <f t="shared" ca="1" si="415"/>
        <v>0</v>
      </c>
      <c r="AB747" s="84">
        <f t="shared" ca="1" si="398"/>
        <v>0</v>
      </c>
      <c r="AC747" s="160">
        <f t="shared" si="399"/>
        <v>0</v>
      </c>
      <c r="AD747" s="31">
        <f t="shared" ca="1" si="400"/>
        <v>0</v>
      </c>
      <c r="AF747" s="5"/>
      <c r="AG747" s="5"/>
      <c r="AS747" s="55">
        <f t="shared" si="408"/>
        <v>62</v>
      </c>
      <c r="AT747" s="56">
        <f t="shared" si="416"/>
        <v>744</v>
      </c>
      <c r="AU747" s="57">
        <f t="shared" si="420"/>
        <v>2.6508227019503665E-2</v>
      </c>
      <c r="AV747" s="58">
        <f t="shared" si="409"/>
        <v>4.8675505653430484E-3</v>
      </c>
      <c r="AW747" s="59">
        <f t="shared" si="410"/>
        <v>1.004867550565343</v>
      </c>
      <c r="AX747" s="60">
        <f>PRODUCT(AW$4:AW747)</f>
        <v>37.06496944280466</v>
      </c>
    </row>
    <row r="748" spans="5:50">
      <c r="E748">
        <f t="shared" si="418"/>
        <v>745</v>
      </c>
      <c r="F748" s="9">
        <f t="shared" si="411"/>
        <v>130.99999999999699</v>
      </c>
      <c r="G748" s="132">
        <f t="shared" si="391"/>
        <v>0</v>
      </c>
      <c r="H748" s="133">
        <f t="shared" si="417"/>
        <v>1</v>
      </c>
      <c r="I748" s="31">
        <f t="shared" si="401"/>
        <v>0</v>
      </c>
      <c r="J748" s="31">
        <f t="shared" si="392"/>
        <v>0</v>
      </c>
      <c r="K748" s="163">
        <f t="shared" si="393"/>
        <v>0</v>
      </c>
      <c r="L748" s="163">
        <f t="shared" si="402"/>
        <v>0</v>
      </c>
      <c r="M748" s="163">
        <f t="shared" si="419"/>
        <v>0</v>
      </c>
      <c r="N748" s="163">
        <f t="shared" si="403"/>
        <v>0</v>
      </c>
      <c r="O748" s="84">
        <f t="shared" si="394"/>
        <v>0</v>
      </c>
      <c r="P748" s="31">
        <f t="shared" si="395"/>
        <v>0</v>
      </c>
      <c r="R748">
        <f t="shared" ca="1" si="404"/>
        <v>865</v>
      </c>
      <c r="S748" s="133">
        <f t="shared" ca="1" si="405"/>
        <v>138.52000000000001</v>
      </c>
      <c r="T748" s="132">
        <f t="shared" ca="1" si="396"/>
        <v>0</v>
      </c>
      <c r="U748" s="133">
        <f t="shared" ca="1" si="412"/>
        <v>1.9008342029825436E-4</v>
      </c>
      <c r="V748" s="31">
        <f t="shared" ca="1" si="406"/>
        <v>0</v>
      </c>
      <c r="W748" s="31">
        <f t="shared" ca="1" si="397"/>
        <v>0</v>
      </c>
      <c r="X748" s="163">
        <f t="shared" ca="1" si="413"/>
        <v>0</v>
      </c>
      <c r="Y748" s="163">
        <f t="shared" ca="1" si="414"/>
        <v>0</v>
      </c>
      <c r="Z748" s="163">
        <f t="shared" ca="1" si="407"/>
        <v>0</v>
      </c>
      <c r="AA748" s="163">
        <f t="shared" ca="1" si="415"/>
        <v>0</v>
      </c>
      <c r="AB748" s="84">
        <f t="shared" ca="1" si="398"/>
        <v>0</v>
      </c>
      <c r="AC748" s="160">
        <f t="shared" si="399"/>
        <v>0</v>
      </c>
      <c r="AD748" s="31">
        <f t="shared" ca="1" si="400"/>
        <v>0</v>
      </c>
      <c r="AF748" s="5"/>
      <c r="AG748" s="5"/>
      <c r="AS748" s="55">
        <f t="shared" si="408"/>
        <v>63</v>
      </c>
      <c r="AT748" s="56">
        <f t="shared" si="416"/>
        <v>745</v>
      </c>
      <c r="AU748" s="57">
        <f t="shared" si="420"/>
        <v>2.6379196884088636E-2</v>
      </c>
      <c r="AV748" s="58">
        <f t="shared" si="409"/>
        <v>4.8675505653430484E-3</v>
      </c>
      <c r="AW748" s="59">
        <f t="shared" si="410"/>
        <v>1.004867550565343</v>
      </c>
      <c r="AX748" s="60">
        <f>PRODUCT(AW$4:AW748)</f>
        <v>37.245385055770406</v>
      </c>
    </row>
    <row r="749" spans="5:50">
      <c r="E749">
        <f t="shared" si="418"/>
        <v>746</v>
      </c>
      <c r="F749" s="9">
        <f t="shared" si="411"/>
        <v>131.08333333333033</v>
      </c>
      <c r="G749" s="132">
        <f t="shared" si="391"/>
        <v>0</v>
      </c>
      <c r="H749" s="133">
        <f t="shared" si="417"/>
        <v>1</v>
      </c>
      <c r="I749" s="31">
        <f t="shared" si="401"/>
        <v>0</v>
      </c>
      <c r="J749" s="31">
        <f t="shared" si="392"/>
        <v>0</v>
      </c>
      <c r="K749" s="163">
        <f t="shared" si="393"/>
        <v>0</v>
      </c>
      <c r="L749" s="163">
        <f t="shared" si="402"/>
        <v>0</v>
      </c>
      <c r="M749" s="163">
        <f t="shared" si="419"/>
        <v>0</v>
      </c>
      <c r="N749" s="163">
        <f t="shared" si="403"/>
        <v>0</v>
      </c>
      <c r="O749" s="84">
        <f t="shared" si="394"/>
        <v>0</v>
      </c>
      <c r="P749" s="31">
        <f t="shared" si="395"/>
        <v>0</v>
      </c>
      <c r="R749">
        <f t="shared" ca="1" si="404"/>
        <v>866</v>
      </c>
      <c r="S749" s="133">
        <f t="shared" ca="1" si="405"/>
        <v>138.6</v>
      </c>
      <c r="T749" s="132">
        <f t="shared" ca="1" si="396"/>
        <v>0</v>
      </c>
      <c r="U749" s="133">
        <f t="shared" ca="1" si="412"/>
        <v>1.9008342029825436E-4</v>
      </c>
      <c r="V749" s="31">
        <f t="shared" ca="1" si="406"/>
        <v>0</v>
      </c>
      <c r="W749" s="31">
        <f t="shared" ca="1" si="397"/>
        <v>0</v>
      </c>
      <c r="X749" s="163">
        <f t="shared" ca="1" si="413"/>
        <v>0</v>
      </c>
      <c r="Y749" s="163">
        <f t="shared" ca="1" si="414"/>
        <v>0</v>
      </c>
      <c r="Z749" s="163">
        <f t="shared" ca="1" si="407"/>
        <v>0</v>
      </c>
      <c r="AA749" s="163">
        <f t="shared" ca="1" si="415"/>
        <v>0</v>
      </c>
      <c r="AB749" s="84">
        <f t="shared" ca="1" si="398"/>
        <v>0</v>
      </c>
      <c r="AC749" s="160">
        <f t="shared" si="399"/>
        <v>0</v>
      </c>
      <c r="AD749" s="31">
        <f t="shared" ca="1" si="400"/>
        <v>0</v>
      </c>
      <c r="AF749" s="5"/>
      <c r="AG749" s="5"/>
      <c r="AS749" s="55">
        <f t="shared" si="408"/>
        <v>63</v>
      </c>
      <c r="AT749" s="56">
        <f t="shared" si="416"/>
        <v>746</v>
      </c>
      <c r="AU749" s="57">
        <f t="shared" si="420"/>
        <v>2.6250794809382194E-2</v>
      </c>
      <c r="AV749" s="58">
        <f t="shared" si="409"/>
        <v>4.8675505653430484E-3</v>
      </c>
      <c r="AW749" s="59">
        <f t="shared" si="410"/>
        <v>1.004867550565343</v>
      </c>
      <c r="AX749" s="60">
        <f>PRODUCT(AW$4:AW749)</f>
        <v>37.426678850855041</v>
      </c>
    </row>
    <row r="750" spans="5:50">
      <c r="E750">
        <f t="shared" si="418"/>
        <v>747</v>
      </c>
      <c r="F750" s="9">
        <f t="shared" si="411"/>
        <v>131.16666666666367</v>
      </c>
      <c r="G750" s="132">
        <f t="shared" si="391"/>
        <v>0</v>
      </c>
      <c r="H750" s="133">
        <f t="shared" si="417"/>
        <v>1</v>
      </c>
      <c r="I750" s="31">
        <f t="shared" si="401"/>
        <v>0</v>
      </c>
      <c r="J750" s="31">
        <f t="shared" si="392"/>
        <v>0</v>
      </c>
      <c r="K750" s="163">
        <f t="shared" si="393"/>
        <v>0</v>
      </c>
      <c r="L750" s="163">
        <f t="shared" si="402"/>
        <v>0</v>
      </c>
      <c r="M750" s="163">
        <f t="shared" si="419"/>
        <v>0</v>
      </c>
      <c r="N750" s="163">
        <f t="shared" si="403"/>
        <v>0</v>
      </c>
      <c r="O750" s="84">
        <f t="shared" si="394"/>
        <v>0</v>
      </c>
      <c r="P750" s="31">
        <f t="shared" si="395"/>
        <v>0</v>
      </c>
      <c r="R750">
        <f t="shared" ca="1" si="404"/>
        <v>867</v>
      </c>
      <c r="S750" s="133">
        <f t="shared" ca="1" si="405"/>
        <v>138.68</v>
      </c>
      <c r="T750" s="132">
        <f t="shared" ca="1" si="396"/>
        <v>0</v>
      </c>
      <c r="U750" s="133">
        <f t="shared" ca="1" si="412"/>
        <v>1.9008342029825436E-4</v>
      </c>
      <c r="V750" s="31">
        <f t="shared" ca="1" si="406"/>
        <v>0</v>
      </c>
      <c r="W750" s="31">
        <f t="shared" ca="1" si="397"/>
        <v>0</v>
      </c>
      <c r="X750" s="163">
        <f t="shared" ca="1" si="413"/>
        <v>0</v>
      </c>
      <c r="Y750" s="163">
        <f t="shared" ca="1" si="414"/>
        <v>0</v>
      </c>
      <c r="Z750" s="163">
        <f t="shared" ca="1" si="407"/>
        <v>0</v>
      </c>
      <c r="AA750" s="163">
        <f t="shared" ca="1" si="415"/>
        <v>0</v>
      </c>
      <c r="AB750" s="84">
        <f t="shared" ca="1" si="398"/>
        <v>0</v>
      </c>
      <c r="AC750" s="160">
        <f t="shared" si="399"/>
        <v>0</v>
      </c>
      <c r="AD750" s="31">
        <f t="shared" ca="1" si="400"/>
        <v>0</v>
      </c>
      <c r="AF750" s="5"/>
      <c r="AG750" s="5"/>
      <c r="AS750" s="55">
        <f t="shared" si="408"/>
        <v>63</v>
      </c>
      <c r="AT750" s="56">
        <f t="shared" si="416"/>
        <v>747</v>
      </c>
      <c r="AU750" s="57">
        <f t="shared" si="420"/>
        <v>2.6123017738267081E-2</v>
      </c>
      <c r="AV750" s="58">
        <f t="shared" si="409"/>
        <v>4.8675505653430484E-3</v>
      </c>
      <c r="AW750" s="59">
        <f t="shared" si="410"/>
        <v>1.004867550565343</v>
      </c>
      <c r="AX750" s="60">
        <f>PRODUCT(AW$4:AW750)</f>
        <v>37.608855102654431</v>
      </c>
    </row>
    <row r="751" spans="5:50">
      <c r="E751">
        <f t="shared" si="418"/>
        <v>748</v>
      </c>
      <c r="F751" s="9">
        <f t="shared" si="411"/>
        <v>131.24999999999702</v>
      </c>
      <c r="G751" s="132">
        <f t="shared" si="391"/>
        <v>0</v>
      </c>
      <c r="H751" s="133">
        <f t="shared" si="417"/>
        <v>1</v>
      </c>
      <c r="I751" s="31">
        <f t="shared" si="401"/>
        <v>0</v>
      </c>
      <c r="J751" s="31">
        <f t="shared" si="392"/>
        <v>0</v>
      </c>
      <c r="K751" s="163">
        <f t="shared" si="393"/>
        <v>0</v>
      </c>
      <c r="L751" s="163">
        <f t="shared" si="402"/>
        <v>0</v>
      </c>
      <c r="M751" s="163">
        <f t="shared" si="419"/>
        <v>0</v>
      </c>
      <c r="N751" s="163">
        <f t="shared" si="403"/>
        <v>0</v>
      </c>
      <c r="O751" s="84">
        <f t="shared" si="394"/>
        <v>0</v>
      </c>
      <c r="P751" s="31">
        <f t="shared" si="395"/>
        <v>0</v>
      </c>
      <c r="R751">
        <f t="shared" ca="1" si="404"/>
        <v>868</v>
      </c>
      <c r="S751" s="133">
        <f t="shared" ca="1" si="405"/>
        <v>138.76</v>
      </c>
      <c r="T751" s="132">
        <f t="shared" ca="1" si="396"/>
        <v>0</v>
      </c>
      <c r="U751" s="133">
        <f t="shared" ca="1" si="412"/>
        <v>1.9008342029825436E-4</v>
      </c>
      <c r="V751" s="31">
        <f t="shared" ca="1" si="406"/>
        <v>0</v>
      </c>
      <c r="W751" s="31">
        <f t="shared" ca="1" si="397"/>
        <v>0</v>
      </c>
      <c r="X751" s="163">
        <f t="shared" ca="1" si="413"/>
        <v>0</v>
      </c>
      <c r="Y751" s="163">
        <f t="shared" ca="1" si="414"/>
        <v>0</v>
      </c>
      <c r="Z751" s="163">
        <f t="shared" ca="1" si="407"/>
        <v>0</v>
      </c>
      <c r="AA751" s="163">
        <f t="shared" ca="1" si="415"/>
        <v>0</v>
      </c>
      <c r="AB751" s="84">
        <f t="shared" ca="1" si="398"/>
        <v>0</v>
      </c>
      <c r="AC751" s="160">
        <f t="shared" si="399"/>
        <v>0</v>
      </c>
      <c r="AD751" s="31">
        <f t="shared" ca="1" si="400"/>
        <v>0</v>
      </c>
      <c r="AF751" s="5"/>
      <c r="AG751" s="5"/>
      <c r="AS751" s="55">
        <f t="shared" si="408"/>
        <v>63</v>
      </c>
      <c r="AT751" s="56">
        <f t="shared" si="416"/>
        <v>748</v>
      </c>
      <c r="AU751" s="57">
        <f t="shared" si="420"/>
        <v>2.5995862628506713E-2</v>
      </c>
      <c r="AV751" s="58">
        <f t="shared" si="409"/>
        <v>4.8675505653430484E-3</v>
      </c>
      <c r="AW751" s="59">
        <f t="shared" si="410"/>
        <v>1.004867550565343</v>
      </c>
      <c r="AX751" s="60">
        <f>PRODUCT(AW$4:AW751)</f>
        <v>37.791918106571259</v>
      </c>
    </row>
    <row r="752" spans="5:50">
      <c r="E752">
        <f t="shared" si="418"/>
        <v>749</v>
      </c>
      <c r="F752" s="9">
        <f t="shared" si="411"/>
        <v>131.33333333333036</v>
      </c>
      <c r="G752" s="132">
        <f t="shared" si="391"/>
        <v>0</v>
      </c>
      <c r="H752" s="133">
        <f t="shared" si="417"/>
        <v>1</v>
      </c>
      <c r="I752" s="31">
        <f t="shared" si="401"/>
        <v>0</v>
      </c>
      <c r="J752" s="31">
        <f t="shared" si="392"/>
        <v>0</v>
      </c>
      <c r="K752" s="163">
        <f t="shared" si="393"/>
        <v>0</v>
      </c>
      <c r="L752" s="163">
        <f t="shared" si="402"/>
        <v>0</v>
      </c>
      <c r="M752" s="163">
        <f t="shared" si="419"/>
        <v>0</v>
      </c>
      <c r="N752" s="163">
        <f t="shared" si="403"/>
        <v>0</v>
      </c>
      <c r="O752" s="84">
        <f t="shared" si="394"/>
        <v>0</v>
      </c>
      <c r="P752" s="31">
        <f t="shared" si="395"/>
        <v>0</v>
      </c>
      <c r="R752">
        <f t="shared" ca="1" si="404"/>
        <v>869</v>
      </c>
      <c r="S752" s="133">
        <f t="shared" ca="1" si="405"/>
        <v>138.84</v>
      </c>
      <c r="T752" s="132">
        <f t="shared" ca="1" si="396"/>
        <v>0</v>
      </c>
      <c r="U752" s="133">
        <f t="shared" ca="1" si="412"/>
        <v>1.9008342029825436E-4</v>
      </c>
      <c r="V752" s="31">
        <f t="shared" ca="1" si="406"/>
        <v>0</v>
      </c>
      <c r="W752" s="31">
        <f t="shared" ca="1" si="397"/>
        <v>0</v>
      </c>
      <c r="X752" s="163">
        <f t="shared" ca="1" si="413"/>
        <v>0</v>
      </c>
      <c r="Y752" s="163">
        <f t="shared" ca="1" si="414"/>
        <v>0</v>
      </c>
      <c r="Z752" s="163">
        <f t="shared" ca="1" si="407"/>
        <v>0</v>
      </c>
      <c r="AA752" s="163">
        <f t="shared" ca="1" si="415"/>
        <v>0</v>
      </c>
      <c r="AB752" s="84">
        <f t="shared" ca="1" si="398"/>
        <v>0</v>
      </c>
      <c r="AC752" s="160">
        <f t="shared" si="399"/>
        <v>0</v>
      </c>
      <c r="AD752" s="31">
        <f t="shared" ca="1" si="400"/>
        <v>0</v>
      </c>
      <c r="AF752" s="5"/>
      <c r="AG752" s="5"/>
      <c r="AS752" s="55">
        <f t="shared" si="408"/>
        <v>63</v>
      </c>
      <c r="AT752" s="56">
        <f t="shared" si="416"/>
        <v>749</v>
      </c>
      <c r="AU752" s="57">
        <f t="shared" si="420"/>
        <v>2.5869326452672745E-2</v>
      </c>
      <c r="AV752" s="58">
        <f t="shared" si="409"/>
        <v>4.8675505653430484E-3</v>
      </c>
      <c r="AW752" s="59">
        <f t="shared" si="410"/>
        <v>1.004867550565343</v>
      </c>
      <c r="AX752" s="60">
        <f>PRODUCT(AW$4:AW752)</f>
        <v>37.975872178916298</v>
      </c>
    </row>
    <row r="753" spans="5:50">
      <c r="E753">
        <f t="shared" si="418"/>
        <v>750</v>
      </c>
      <c r="F753" s="9">
        <f t="shared" si="411"/>
        <v>131.4166666666637</v>
      </c>
      <c r="G753" s="132">
        <f t="shared" si="391"/>
        <v>0</v>
      </c>
      <c r="H753" s="133">
        <f t="shared" si="417"/>
        <v>1</v>
      </c>
      <c r="I753" s="31">
        <f t="shared" si="401"/>
        <v>0</v>
      </c>
      <c r="J753" s="31">
        <f t="shared" si="392"/>
        <v>0</v>
      </c>
      <c r="K753" s="163">
        <f t="shared" si="393"/>
        <v>0</v>
      </c>
      <c r="L753" s="163">
        <f t="shared" si="402"/>
        <v>0</v>
      </c>
      <c r="M753" s="163">
        <f t="shared" si="419"/>
        <v>0</v>
      </c>
      <c r="N753" s="163">
        <f t="shared" si="403"/>
        <v>0</v>
      </c>
      <c r="O753" s="84">
        <f t="shared" si="394"/>
        <v>0</v>
      </c>
      <c r="P753" s="31">
        <f t="shared" si="395"/>
        <v>0</v>
      </c>
      <c r="R753">
        <f t="shared" ca="1" si="404"/>
        <v>870</v>
      </c>
      <c r="S753" s="133">
        <f t="shared" ca="1" si="405"/>
        <v>138.91999999999999</v>
      </c>
      <c r="T753" s="132">
        <f t="shared" ca="1" si="396"/>
        <v>0</v>
      </c>
      <c r="U753" s="133">
        <f t="shared" ca="1" si="412"/>
        <v>1.9008342029825436E-4</v>
      </c>
      <c r="V753" s="31">
        <f t="shared" ca="1" si="406"/>
        <v>0</v>
      </c>
      <c r="W753" s="31">
        <f t="shared" ca="1" si="397"/>
        <v>0</v>
      </c>
      <c r="X753" s="163">
        <f t="shared" ca="1" si="413"/>
        <v>0</v>
      </c>
      <c r="Y753" s="163">
        <f t="shared" ca="1" si="414"/>
        <v>0</v>
      </c>
      <c r="Z753" s="163">
        <f t="shared" ca="1" si="407"/>
        <v>0</v>
      </c>
      <c r="AA753" s="163">
        <f t="shared" ca="1" si="415"/>
        <v>0</v>
      </c>
      <c r="AB753" s="84">
        <f t="shared" ca="1" si="398"/>
        <v>0</v>
      </c>
      <c r="AC753" s="160">
        <f t="shared" si="399"/>
        <v>0</v>
      </c>
      <c r="AD753" s="31">
        <f t="shared" ca="1" si="400"/>
        <v>0</v>
      </c>
      <c r="AF753" s="5"/>
      <c r="AG753" s="5"/>
      <c r="AS753" s="55">
        <f t="shared" si="408"/>
        <v>63</v>
      </c>
      <c r="AT753" s="56">
        <f t="shared" si="416"/>
        <v>750</v>
      </c>
      <c r="AU753" s="57">
        <f t="shared" si="420"/>
        <v>2.5743406198072992E-2</v>
      </c>
      <c r="AV753" s="58">
        <f t="shared" si="409"/>
        <v>4.8675505653430484E-3</v>
      </c>
      <c r="AW753" s="59">
        <f t="shared" si="410"/>
        <v>1.004867550565343</v>
      </c>
      <c r="AX753" s="60">
        <f>PRODUCT(AW$4:AW753)</f>
        <v>38.160721657010178</v>
      </c>
    </row>
    <row r="754" spans="5:50">
      <c r="E754">
        <f t="shared" si="418"/>
        <v>751</v>
      </c>
      <c r="F754" s="9">
        <f t="shared" si="411"/>
        <v>131.49999999999704</v>
      </c>
      <c r="G754" s="132">
        <f t="shared" si="391"/>
        <v>0</v>
      </c>
      <c r="H754" s="133">
        <f t="shared" si="417"/>
        <v>1</v>
      </c>
      <c r="I754" s="31">
        <f t="shared" si="401"/>
        <v>0</v>
      </c>
      <c r="J754" s="31">
        <f t="shared" si="392"/>
        <v>0</v>
      </c>
      <c r="K754" s="163">
        <f t="shared" si="393"/>
        <v>0</v>
      </c>
      <c r="L754" s="163">
        <f t="shared" si="402"/>
        <v>0</v>
      </c>
      <c r="M754" s="163">
        <f t="shared" si="419"/>
        <v>0</v>
      </c>
      <c r="N754" s="163">
        <f t="shared" si="403"/>
        <v>0</v>
      </c>
      <c r="O754" s="84">
        <f t="shared" si="394"/>
        <v>0</v>
      </c>
      <c r="P754" s="31">
        <f t="shared" si="395"/>
        <v>0</v>
      </c>
      <c r="R754">
        <f t="shared" ca="1" si="404"/>
        <v>871</v>
      </c>
      <c r="S754" s="133">
        <f t="shared" ca="1" si="405"/>
        <v>139</v>
      </c>
      <c r="T754" s="132">
        <f t="shared" ca="1" si="396"/>
        <v>0</v>
      </c>
      <c r="U754" s="133">
        <f t="shared" ca="1" si="412"/>
        <v>1.9008342029825436E-4</v>
      </c>
      <c r="V754" s="31">
        <f t="shared" ca="1" si="406"/>
        <v>0</v>
      </c>
      <c r="W754" s="31">
        <f t="shared" ca="1" si="397"/>
        <v>0</v>
      </c>
      <c r="X754" s="163">
        <f t="shared" ca="1" si="413"/>
        <v>0</v>
      </c>
      <c r="Y754" s="163">
        <f t="shared" ca="1" si="414"/>
        <v>0</v>
      </c>
      <c r="Z754" s="163">
        <f t="shared" ca="1" si="407"/>
        <v>0</v>
      </c>
      <c r="AA754" s="163">
        <f t="shared" ca="1" si="415"/>
        <v>0</v>
      </c>
      <c r="AB754" s="84">
        <f t="shared" ca="1" si="398"/>
        <v>0</v>
      </c>
      <c r="AC754" s="160">
        <f t="shared" si="399"/>
        <v>0</v>
      </c>
      <c r="AD754" s="31">
        <f t="shared" ca="1" si="400"/>
        <v>0</v>
      </c>
      <c r="AF754" s="5"/>
      <c r="AG754" s="5"/>
      <c r="AS754" s="55">
        <f t="shared" si="408"/>
        <v>63</v>
      </c>
      <c r="AT754" s="56">
        <f t="shared" si="416"/>
        <v>751</v>
      </c>
      <c r="AU754" s="57">
        <f t="shared" si="420"/>
        <v>2.5618098866679706E-2</v>
      </c>
      <c r="AV754" s="58">
        <f t="shared" si="409"/>
        <v>4.8675505653430484E-3</v>
      </c>
      <c r="AW754" s="59">
        <f t="shared" si="410"/>
        <v>1.004867550565343</v>
      </c>
      <c r="AX754" s="60">
        <f>PRODUCT(AW$4:AW754)</f>
        <v>38.346470899285656</v>
      </c>
    </row>
    <row r="755" spans="5:50">
      <c r="E755">
        <f t="shared" si="418"/>
        <v>752</v>
      </c>
      <c r="F755" s="9">
        <f t="shared" si="411"/>
        <v>131.58333333333039</v>
      </c>
      <c r="G755" s="132">
        <f t="shared" si="391"/>
        <v>0</v>
      </c>
      <c r="H755" s="133">
        <f t="shared" si="417"/>
        <v>1</v>
      </c>
      <c r="I755" s="31">
        <f t="shared" si="401"/>
        <v>0</v>
      </c>
      <c r="J755" s="31">
        <f t="shared" si="392"/>
        <v>0</v>
      </c>
      <c r="K755" s="163">
        <f t="shared" si="393"/>
        <v>0</v>
      </c>
      <c r="L755" s="163">
        <f t="shared" si="402"/>
        <v>0</v>
      </c>
      <c r="M755" s="163">
        <f t="shared" si="419"/>
        <v>0</v>
      </c>
      <c r="N755" s="163">
        <f t="shared" si="403"/>
        <v>0</v>
      </c>
      <c r="O755" s="84">
        <f t="shared" si="394"/>
        <v>0</v>
      </c>
      <c r="P755" s="31">
        <f t="shared" si="395"/>
        <v>0</v>
      </c>
      <c r="R755">
        <f t="shared" ca="1" si="404"/>
        <v>872</v>
      </c>
      <c r="S755" s="133">
        <f t="shared" ca="1" si="405"/>
        <v>139.08000000000001</v>
      </c>
      <c r="T755" s="132">
        <f t="shared" ca="1" si="396"/>
        <v>0</v>
      </c>
      <c r="U755" s="133">
        <f t="shared" ca="1" si="412"/>
        <v>1.9008342029825436E-4</v>
      </c>
      <c r="V755" s="31">
        <f t="shared" ca="1" si="406"/>
        <v>0</v>
      </c>
      <c r="W755" s="31">
        <f t="shared" ca="1" si="397"/>
        <v>0</v>
      </c>
      <c r="X755" s="163">
        <f t="shared" ca="1" si="413"/>
        <v>0</v>
      </c>
      <c r="Y755" s="163">
        <f t="shared" ca="1" si="414"/>
        <v>0</v>
      </c>
      <c r="Z755" s="163">
        <f t="shared" ca="1" si="407"/>
        <v>0</v>
      </c>
      <c r="AA755" s="163">
        <f t="shared" ca="1" si="415"/>
        <v>0</v>
      </c>
      <c r="AB755" s="84">
        <f t="shared" ca="1" si="398"/>
        <v>0</v>
      </c>
      <c r="AC755" s="160">
        <f t="shared" si="399"/>
        <v>0</v>
      </c>
      <c r="AD755" s="31">
        <f t="shared" ca="1" si="400"/>
        <v>0</v>
      </c>
      <c r="AF755" s="5"/>
      <c r="AG755" s="5"/>
      <c r="AS755" s="55">
        <f t="shared" si="408"/>
        <v>63</v>
      </c>
      <c r="AT755" s="56">
        <f t="shared" si="416"/>
        <v>752</v>
      </c>
      <c r="AU755" s="57">
        <f t="shared" si="420"/>
        <v>2.5493401475058186E-2</v>
      </c>
      <c r="AV755" s="58">
        <f t="shared" si="409"/>
        <v>4.8675505653430484E-3</v>
      </c>
      <c r="AW755" s="59">
        <f t="shared" si="410"/>
        <v>1.004867550565343</v>
      </c>
      <c r="AX755" s="60">
        <f>PRODUCT(AW$4:AW755)</f>
        <v>38.533124285390386</v>
      </c>
    </row>
    <row r="756" spans="5:50">
      <c r="E756">
        <f t="shared" si="418"/>
        <v>753</v>
      </c>
      <c r="F756" s="9">
        <f t="shared" si="411"/>
        <v>131.66666666666373</v>
      </c>
      <c r="G756" s="132">
        <f t="shared" si="391"/>
        <v>0</v>
      </c>
      <c r="H756" s="133">
        <f t="shared" si="417"/>
        <v>1</v>
      </c>
      <c r="I756" s="31">
        <f t="shared" si="401"/>
        <v>0</v>
      </c>
      <c r="J756" s="31">
        <f t="shared" si="392"/>
        <v>0</v>
      </c>
      <c r="K756" s="163">
        <f t="shared" si="393"/>
        <v>0</v>
      </c>
      <c r="L756" s="163">
        <f t="shared" si="402"/>
        <v>0</v>
      </c>
      <c r="M756" s="163">
        <f t="shared" si="419"/>
        <v>0</v>
      </c>
      <c r="N756" s="163">
        <f t="shared" si="403"/>
        <v>0</v>
      </c>
      <c r="O756" s="84">
        <f t="shared" si="394"/>
        <v>0</v>
      </c>
      <c r="P756" s="31">
        <f t="shared" si="395"/>
        <v>0</v>
      </c>
      <c r="R756">
        <f t="shared" ca="1" si="404"/>
        <v>873</v>
      </c>
      <c r="S756" s="133">
        <f t="shared" ca="1" si="405"/>
        <v>139.16</v>
      </c>
      <c r="T756" s="132">
        <f t="shared" ca="1" si="396"/>
        <v>0</v>
      </c>
      <c r="U756" s="133">
        <f t="shared" ca="1" si="412"/>
        <v>1.9008342029825436E-4</v>
      </c>
      <c r="V756" s="31">
        <f t="shared" ca="1" si="406"/>
        <v>0</v>
      </c>
      <c r="W756" s="31">
        <f t="shared" ca="1" si="397"/>
        <v>0</v>
      </c>
      <c r="X756" s="163">
        <f t="shared" ca="1" si="413"/>
        <v>0</v>
      </c>
      <c r="Y756" s="163">
        <f t="shared" ca="1" si="414"/>
        <v>0</v>
      </c>
      <c r="Z756" s="163">
        <f t="shared" ca="1" si="407"/>
        <v>0</v>
      </c>
      <c r="AA756" s="163">
        <f t="shared" ca="1" si="415"/>
        <v>0</v>
      </c>
      <c r="AB756" s="84">
        <f t="shared" ca="1" si="398"/>
        <v>0</v>
      </c>
      <c r="AC756" s="160">
        <f t="shared" si="399"/>
        <v>0</v>
      </c>
      <c r="AD756" s="31">
        <f t="shared" ca="1" si="400"/>
        <v>0</v>
      </c>
      <c r="AF756" s="5"/>
      <c r="AG756" s="5"/>
      <c r="AS756" s="55">
        <f t="shared" si="408"/>
        <v>63</v>
      </c>
      <c r="AT756" s="56">
        <f t="shared" si="416"/>
        <v>753</v>
      </c>
      <c r="AU756" s="57">
        <f t="shared" si="420"/>
        <v>2.536931105429575E-2</v>
      </c>
      <c r="AV756" s="58">
        <f t="shared" si="409"/>
        <v>4.8675505653430484E-3</v>
      </c>
      <c r="AW756" s="59">
        <f t="shared" si="410"/>
        <v>1.004867550565343</v>
      </c>
      <c r="AX756" s="60">
        <f>PRODUCT(AW$4:AW756)</f>
        <v>38.720686216290169</v>
      </c>
    </row>
    <row r="757" spans="5:50">
      <c r="E757">
        <f t="shared" si="418"/>
        <v>754</v>
      </c>
      <c r="F757" s="9">
        <f t="shared" si="411"/>
        <v>131.74999999999707</v>
      </c>
      <c r="G757" s="132">
        <f t="shared" si="391"/>
        <v>0</v>
      </c>
      <c r="H757" s="133">
        <f t="shared" si="417"/>
        <v>1</v>
      </c>
      <c r="I757" s="31">
        <f t="shared" si="401"/>
        <v>0</v>
      </c>
      <c r="J757" s="31">
        <f t="shared" si="392"/>
        <v>0</v>
      </c>
      <c r="K757" s="163">
        <f t="shared" si="393"/>
        <v>0</v>
      </c>
      <c r="L757" s="163">
        <f t="shared" si="402"/>
        <v>0</v>
      </c>
      <c r="M757" s="163">
        <f t="shared" si="419"/>
        <v>0</v>
      </c>
      <c r="N757" s="163">
        <f t="shared" si="403"/>
        <v>0</v>
      </c>
      <c r="O757" s="84">
        <f t="shared" si="394"/>
        <v>0</v>
      </c>
      <c r="P757" s="31">
        <f t="shared" si="395"/>
        <v>0</v>
      </c>
      <c r="R757">
        <f t="shared" ca="1" si="404"/>
        <v>874</v>
      </c>
      <c r="S757" s="133">
        <f t="shared" ca="1" si="405"/>
        <v>139.24</v>
      </c>
      <c r="T757" s="132">
        <f t="shared" ca="1" si="396"/>
        <v>0</v>
      </c>
      <c r="U757" s="133">
        <f t="shared" ca="1" si="412"/>
        <v>1.9008342029825436E-4</v>
      </c>
      <c r="V757" s="31">
        <f t="shared" ca="1" si="406"/>
        <v>0</v>
      </c>
      <c r="W757" s="31">
        <f t="shared" ca="1" si="397"/>
        <v>0</v>
      </c>
      <c r="X757" s="163">
        <f t="shared" ca="1" si="413"/>
        <v>0</v>
      </c>
      <c r="Y757" s="163">
        <f t="shared" ca="1" si="414"/>
        <v>0</v>
      </c>
      <c r="Z757" s="163">
        <f t="shared" ca="1" si="407"/>
        <v>0</v>
      </c>
      <c r="AA757" s="163">
        <f t="shared" ca="1" si="415"/>
        <v>0</v>
      </c>
      <c r="AB757" s="84">
        <f t="shared" ca="1" si="398"/>
        <v>0</v>
      </c>
      <c r="AC757" s="160">
        <f t="shared" si="399"/>
        <v>0</v>
      </c>
      <c r="AD757" s="31">
        <f t="shared" ca="1" si="400"/>
        <v>0</v>
      </c>
      <c r="AF757" s="5"/>
      <c r="AG757" s="5"/>
      <c r="AS757" s="55">
        <f t="shared" si="408"/>
        <v>63</v>
      </c>
      <c r="AT757" s="56">
        <f t="shared" si="416"/>
        <v>754</v>
      </c>
      <c r="AU757" s="57">
        <f t="shared" si="420"/>
        <v>2.524582464993105E-2</v>
      </c>
      <c r="AV757" s="58">
        <f t="shared" si="409"/>
        <v>4.8675505653430484E-3</v>
      </c>
      <c r="AW757" s="59">
        <f t="shared" si="410"/>
        <v>1.004867550565343</v>
      </c>
      <c r="AX757" s="60">
        <f>PRODUCT(AW$4:AW757)</f>
        <v>38.909161114372743</v>
      </c>
    </row>
    <row r="758" spans="5:50">
      <c r="E758">
        <f t="shared" si="418"/>
        <v>755</v>
      </c>
      <c r="F758" s="9">
        <f t="shared" si="411"/>
        <v>131.83333333333042</v>
      </c>
      <c r="G758" s="132">
        <f t="shared" si="391"/>
        <v>0</v>
      </c>
      <c r="H758" s="133">
        <f t="shared" si="417"/>
        <v>1</v>
      </c>
      <c r="I758" s="31">
        <f t="shared" si="401"/>
        <v>0</v>
      </c>
      <c r="J758" s="31">
        <f t="shared" si="392"/>
        <v>0</v>
      </c>
      <c r="K758" s="163">
        <f t="shared" si="393"/>
        <v>0</v>
      </c>
      <c r="L758" s="163">
        <f t="shared" si="402"/>
        <v>0</v>
      </c>
      <c r="M758" s="163">
        <f t="shared" si="419"/>
        <v>0</v>
      </c>
      <c r="N758" s="163">
        <f t="shared" si="403"/>
        <v>0</v>
      </c>
      <c r="O758" s="84">
        <f t="shared" si="394"/>
        <v>0</v>
      </c>
      <c r="P758" s="31">
        <f t="shared" si="395"/>
        <v>0</v>
      </c>
      <c r="R758">
        <f t="shared" ca="1" si="404"/>
        <v>875</v>
      </c>
      <c r="S758" s="133">
        <f t="shared" ca="1" si="405"/>
        <v>139.32</v>
      </c>
      <c r="T758" s="132">
        <f t="shared" ca="1" si="396"/>
        <v>0</v>
      </c>
      <c r="U758" s="133">
        <f t="shared" ca="1" si="412"/>
        <v>1.9008342029825436E-4</v>
      </c>
      <c r="V758" s="31">
        <f t="shared" ca="1" si="406"/>
        <v>0</v>
      </c>
      <c r="W758" s="31">
        <f t="shared" ca="1" si="397"/>
        <v>0</v>
      </c>
      <c r="X758" s="163">
        <f t="shared" ca="1" si="413"/>
        <v>0</v>
      </c>
      <c r="Y758" s="163">
        <f t="shared" ca="1" si="414"/>
        <v>0</v>
      </c>
      <c r="Z758" s="163">
        <f t="shared" ca="1" si="407"/>
        <v>0</v>
      </c>
      <c r="AA758" s="163">
        <f t="shared" ca="1" si="415"/>
        <v>0</v>
      </c>
      <c r="AB758" s="84">
        <f t="shared" ca="1" si="398"/>
        <v>0</v>
      </c>
      <c r="AC758" s="160">
        <f t="shared" si="399"/>
        <v>0</v>
      </c>
      <c r="AD758" s="31">
        <f t="shared" ca="1" si="400"/>
        <v>0</v>
      </c>
      <c r="AF758" s="5"/>
      <c r="AG758" s="5"/>
      <c r="AS758" s="55">
        <f t="shared" si="408"/>
        <v>63</v>
      </c>
      <c r="AT758" s="56">
        <f t="shared" si="416"/>
        <v>755</v>
      </c>
      <c r="AU758" s="57">
        <f t="shared" si="420"/>
        <v>2.5122939321883725E-2</v>
      </c>
      <c r="AV758" s="58">
        <f t="shared" si="409"/>
        <v>4.8675505653430484E-3</v>
      </c>
      <c r="AW758" s="59">
        <f t="shared" si="410"/>
        <v>1.004867550565343</v>
      </c>
      <c r="AX758" s="60">
        <f>PRODUCT(AW$4:AW758)</f>
        <v>39.098553423552033</v>
      </c>
    </row>
    <row r="759" spans="5:50">
      <c r="E759">
        <f t="shared" si="418"/>
        <v>756</v>
      </c>
      <c r="F759" s="9">
        <f t="shared" si="411"/>
        <v>131.91666666666376</v>
      </c>
      <c r="G759" s="132">
        <f t="shared" si="391"/>
        <v>0</v>
      </c>
      <c r="H759" s="133">
        <f t="shared" si="417"/>
        <v>1</v>
      </c>
      <c r="I759" s="31">
        <f t="shared" si="401"/>
        <v>0</v>
      </c>
      <c r="J759" s="31">
        <f t="shared" si="392"/>
        <v>0</v>
      </c>
      <c r="K759" s="163">
        <f t="shared" si="393"/>
        <v>0</v>
      </c>
      <c r="L759" s="163">
        <f t="shared" si="402"/>
        <v>0</v>
      </c>
      <c r="M759" s="163">
        <f t="shared" si="419"/>
        <v>0</v>
      </c>
      <c r="N759" s="163">
        <f t="shared" si="403"/>
        <v>0</v>
      </c>
      <c r="O759" s="84">
        <f t="shared" si="394"/>
        <v>0</v>
      </c>
      <c r="P759" s="31">
        <f t="shared" si="395"/>
        <v>0</v>
      </c>
      <c r="R759">
        <f t="shared" ca="1" si="404"/>
        <v>876</v>
      </c>
      <c r="S759" s="133">
        <f t="shared" ca="1" si="405"/>
        <v>139.4</v>
      </c>
      <c r="T759" s="132">
        <f t="shared" ca="1" si="396"/>
        <v>0</v>
      </c>
      <c r="U759" s="133">
        <f t="shared" ca="1" si="412"/>
        <v>1.9008342029825436E-4</v>
      </c>
      <c r="V759" s="31">
        <f t="shared" ca="1" si="406"/>
        <v>0</v>
      </c>
      <c r="W759" s="31">
        <f t="shared" ca="1" si="397"/>
        <v>0</v>
      </c>
      <c r="X759" s="163">
        <f t="shared" ca="1" si="413"/>
        <v>0</v>
      </c>
      <c r="Y759" s="163">
        <f t="shared" ca="1" si="414"/>
        <v>0</v>
      </c>
      <c r="Z759" s="163">
        <f t="shared" ca="1" si="407"/>
        <v>0</v>
      </c>
      <c r="AA759" s="163">
        <f t="shared" ca="1" si="415"/>
        <v>0</v>
      </c>
      <c r="AB759" s="84">
        <f t="shared" ca="1" si="398"/>
        <v>0</v>
      </c>
      <c r="AC759" s="160">
        <f t="shared" si="399"/>
        <v>0</v>
      </c>
      <c r="AD759" s="31">
        <f t="shared" ca="1" si="400"/>
        <v>0</v>
      </c>
      <c r="AF759" s="5"/>
      <c r="AG759" s="5"/>
      <c r="AS759" s="55">
        <f t="shared" si="408"/>
        <v>63</v>
      </c>
      <c r="AT759" s="56">
        <f t="shared" si="416"/>
        <v>756</v>
      </c>
      <c r="AU759" s="57">
        <f t="shared" si="420"/>
        <v>2.5000652144384412E-2</v>
      </c>
      <c r="AV759" s="58">
        <f t="shared" si="409"/>
        <v>4.8675505653430484E-3</v>
      </c>
      <c r="AW759" s="59">
        <f t="shared" si="410"/>
        <v>1.004867550565343</v>
      </c>
      <c r="AX759" s="60">
        <f>PRODUCT(AW$4:AW759)</f>
        <v>39.288867609372936</v>
      </c>
    </row>
    <row r="760" spans="5:50">
      <c r="E760">
        <f t="shared" si="418"/>
        <v>757</v>
      </c>
      <c r="F760" s="9">
        <f t="shared" si="411"/>
        <v>131.9999999999971</v>
      </c>
      <c r="G760" s="132">
        <f t="shared" si="391"/>
        <v>0</v>
      </c>
      <c r="H760" s="133">
        <f t="shared" si="417"/>
        <v>1</v>
      </c>
      <c r="I760" s="31">
        <f t="shared" si="401"/>
        <v>0</v>
      </c>
      <c r="J760" s="31">
        <f t="shared" si="392"/>
        <v>0</v>
      </c>
      <c r="K760" s="163">
        <f t="shared" si="393"/>
        <v>0</v>
      </c>
      <c r="L760" s="163">
        <f t="shared" si="402"/>
        <v>0</v>
      </c>
      <c r="M760" s="163">
        <f t="shared" si="419"/>
        <v>0</v>
      </c>
      <c r="N760" s="163">
        <f t="shared" si="403"/>
        <v>0</v>
      </c>
      <c r="O760" s="84">
        <f t="shared" si="394"/>
        <v>0</v>
      </c>
      <c r="P760" s="31">
        <f t="shared" si="395"/>
        <v>0</v>
      </c>
      <c r="R760">
        <f t="shared" ca="1" si="404"/>
        <v>877</v>
      </c>
      <c r="S760" s="133">
        <f t="shared" ca="1" si="405"/>
        <v>139.47999999999999</v>
      </c>
      <c r="T760" s="132">
        <f t="shared" ca="1" si="396"/>
        <v>0</v>
      </c>
      <c r="U760" s="133">
        <f t="shared" ca="1" si="412"/>
        <v>1.9008342029825436E-4</v>
      </c>
      <c r="V760" s="31">
        <f t="shared" ca="1" si="406"/>
        <v>0</v>
      </c>
      <c r="W760" s="31">
        <f t="shared" ca="1" si="397"/>
        <v>0</v>
      </c>
      <c r="X760" s="163">
        <f t="shared" ca="1" si="413"/>
        <v>0</v>
      </c>
      <c r="Y760" s="163">
        <f t="shared" ca="1" si="414"/>
        <v>0</v>
      </c>
      <c r="Z760" s="163">
        <f t="shared" ca="1" si="407"/>
        <v>0</v>
      </c>
      <c r="AA760" s="163">
        <f t="shared" ca="1" si="415"/>
        <v>0</v>
      </c>
      <c r="AB760" s="84">
        <f t="shared" ca="1" si="398"/>
        <v>0</v>
      </c>
      <c r="AC760" s="160">
        <f t="shared" si="399"/>
        <v>0</v>
      </c>
      <c r="AD760" s="31">
        <f t="shared" ca="1" si="400"/>
        <v>0</v>
      </c>
      <c r="AF760" s="5"/>
      <c r="AG760" s="5"/>
      <c r="AS760" s="55">
        <f t="shared" si="408"/>
        <v>64</v>
      </c>
      <c r="AT760" s="56">
        <f t="shared" si="416"/>
        <v>757</v>
      </c>
      <c r="AU760" s="57">
        <f t="shared" si="420"/>
        <v>2.4878960205905069E-2</v>
      </c>
      <c r="AV760" s="58">
        <f t="shared" si="409"/>
        <v>4.8675505653430484E-3</v>
      </c>
      <c r="AW760" s="59">
        <f t="shared" si="410"/>
        <v>1.004867550565343</v>
      </c>
      <c r="AX760" s="60">
        <f>PRODUCT(AW$4:AW760)</f>
        <v>39.480108159116625</v>
      </c>
    </row>
    <row r="761" spans="5:50">
      <c r="E761">
        <f t="shared" si="418"/>
        <v>758</v>
      </c>
      <c r="F761" s="9">
        <f t="shared" si="411"/>
        <v>132.08333333333044</v>
      </c>
      <c r="G761" s="132">
        <f t="shared" si="391"/>
        <v>0</v>
      </c>
      <c r="H761" s="133">
        <f t="shared" si="417"/>
        <v>1</v>
      </c>
      <c r="I761" s="31">
        <f t="shared" si="401"/>
        <v>0</v>
      </c>
      <c r="J761" s="31">
        <f t="shared" si="392"/>
        <v>0</v>
      </c>
      <c r="K761" s="163">
        <f t="shared" si="393"/>
        <v>0</v>
      </c>
      <c r="L761" s="163">
        <f t="shared" si="402"/>
        <v>0</v>
      </c>
      <c r="M761" s="163">
        <f t="shared" si="419"/>
        <v>0</v>
      </c>
      <c r="N761" s="163">
        <f t="shared" si="403"/>
        <v>0</v>
      </c>
      <c r="O761" s="84">
        <f t="shared" si="394"/>
        <v>0</v>
      </c>
      <c r="P761" s="31">
        <f t="shared" si="395"/>
        <v>0</v>
      </c>
      <c r="R761">
        <f t="shared" ca="1" si="404"/>
        <v>878</v>
      </c>
      <c r="S761" s="133">
        <f t="shared" ca="1" si="405"/>
        <v>139.56</v>
      </c>
      <c r="T761" s="132">
        <f t="shared" ca="1" si="396"/>
        <v>0</v>
      </c>
      <c r="U761" s="133">
        <f t="shared" ca="1" si="412"/>
        <v>1.9008342029825436E-4</v>
      </c>
      <c r="V761" s="31">
        <f t="shared" ca="1" si="406"/>
        <v>0</v>
      </c>
      <c r="W761" s="31">
        <f t="shared" ca="1" si="397"/>
        <v>0</v>
      </c>
      <c r="X761" s="163">
        <f t="shared" ca="1" si="413"/>
        <v>0</v>
      </c>
      <c r="Y761" s="163">
        <f t="shared" ca="1" si="414"/>
        <v>0</v>
      </c>
      <c r="Z761" s="163">
        <f t="shared" ca="1" si="407"/>
        <v>0</v>
      </c>
      <c r="AA761" s="163">
        <f t="shared" ca="1" si="415"/>
        <v>0</v>
      </c>
      <c r="AB761" s="84">
        <f t="shared" ca="1" si="398"/>
        <v>0</v>
      </c>
      <c r="AC761" s="160">
        <f t="shared" si="399"/>
        <v>0</v>
      </c>
      <c r="AD761" s="31">
        <f t="shared" ca="1" si="400"/>
        <v>0</v>
      </c>
      <c r="AF761" s="5"/>
      <c r="AG761" s="5"/>
      <c r="AS761" s="55">
        <f t="shared" si="408"/>
        <v>64</v>
      </c>
      <c r="AT761" s="56">
        <f t="shared" si="416"/>
        <v>758</v>
      </c>
      <c r="AU761" s="57">
        <f t="shared" si="420"/>
        <v>2.4757860609089671E-2</v>
      </c>
      <c r="AV761" s="58">
        <f t="shared" si="409"/>
        <v>4.8675505653430484E-3</v>
      </c>
      <c r="AW761" s="59">
        <f t="shared" si="410"/>
        <v>1.004867550565343</v>
      </c>
      <c r="AX761" s="60">
        <f>PRODUCT(AW$4:AW761)</f>
        <v>39.672279581906338</v>
      </c>
    </row>
    <row r="762" spans="5:50">
      <c r="E762">
        <f t="shared" si="418"/>
        <v>759</v>
      </c>
      <c r="F762" s="9">
        <f t="shared" si="411"/>
        <v>132.16666666666379</v>
      </c>
      <c r="G762" s="132">
        <f t="shared" si="391"/>
        <v>0</v>
      </c>
      <c r="H762" s="133">
        <f t="shared" si="417"/>
        <v>1</v>
      </c>
      <c r="I762" s="31">
        <f t="shared" si="401"/>
        <v>0</v>
      </c>
      <c r="J762" s="31">
        <f t="shared" si="392"/>
        <v>0</v>
      </c>
      <c r="K762" s="163">
        <f t="shared" si="393"/>
        <v>0</v>
      </c>
      <c r="L762" s="163">
        <f t="shared" si="402"/>
        <v>0</v>
      </c>
      <c r="M762" s="163">
        <f t="shared" si="419"/>
        <v>0</v>
      </c>
      <c r="N762" s="163">
        <f t="shared" si="403"/>
        <v>0</v>
      </c>
      <c r="O762" s="84">
        <f t="shared" si="394"/>
        <v>0</v>
      </c>
      <c r="P762" s="31">
        <f t="shared" si="395"/>
        <v>0</v>
      </c>
      <c r="R762">
        <f t="shared" ca="1" si="404"/>
        <v>879</v>
      </c>
      <c r="S762" s="133">
        <f t="shared" ca="1" si="405"/>
        <v>139.63999999999999</v>
      </c>
      <c r="T762" s="132">
        <f t="shared" ca="1" si="396"/>
        <v>0</v>
      </c>
      <c r="U762" s="133">
        <f t="shared" ca="1" si="412"/>
        <v>1.9008342029825436E-4</v>
      </c>
      <c r="V762" s="31">
        <f t="shared" ca="1" si="406"/>
        <v>0</v>
      </c>
      <c r="W762" s="31">
        <f t="shared" ca="1" si="397"/>
        <v>0</v>
      </c>
      <c r="X762" s="163">
        <f t="shared" ca="1" si="413"/>
        <v>0</v>
      </c>
      <c r="Y762" s="163">
        <f t="shared" ca="1" si="414"/>
        <v>0</v>
      </c>
      <c r="Z762" s="163">
        <f t="shared" ca="1" si="407"/>
        <v>0</v>
      </c>
      <c r="AA762" s="163">
        <f t="shared" ca="1" si="415"/>
        <v>0</v>
      </c>
      <c r="AB762" s="84">
        <f t="shared" ca="1" si="398"/>
        <v>0</v>
      </c>
      <c r="AC762" s="160">
        <f t="shared" si="399"/>
        <v>0</v>
      </c>
      <c r="AD762" s="31">
        <f t="shared" ca="1" si="400"/>
        <v>0</v>
      </c>
      <c r="AF762" s="5"/>
      <c r="AG762" s="5"/>
      <c r="AS762" s="55">
        <f t="shared" si="408"/>
        <v>64</v>
      </c>
      <c r="AT762" s="56">
        <f t="shared" si="416"/>
        <v>759</v>
      </c>
      <c r="AU762" s="57">
        <f t="shared" si="420"/>
        <v>2.4637350470685212E-2</v>
      </c>
      <c r="AV762" s="58">
        <f t="shared" si="409"/>
        <v>4.8675505653430484E-3</v>
      </c>
      <c r="AW762" s="59">
        <f t="shared" si="410"/>
        <v>1.004867550565343</v>
      </c>
      <c r="AX762" s="60">
        <f>PRODUCT(AW$4:AW762)</f>
        <v>39.865386408813691</v>
      </c>
    </row>
    <row r="763" spans="5:50">
      <c r="E763">
        <f t="shared" si="418"/>
        <v>760</v>
      </c>
      <c r="F763" s="9">
        <f t="shared" si="411"/>
        <v>132.24999999999713</v>
      </c>
      <c r="G763" s="132">
        <f t="shared" si="391"/>
        <v>0</v>
      </c>
      <c r="H763" s="133">
        <f t="shared" si="417"/>
        <v>1</v>
      </c>
      <c r="I763" s="31">
        <f t="shared" si="401"/>
        <v>0</v>
      </c>
      <c r="J763" s="31">
        <f t="shared" si="392"/>
        <v>0</v>
      </c>
      <c r="K763" s="163">
        <f t="shared" si="393"/>
        <v>0</v>
      </c>
      <c r="L763" s="163">
        <f t="shared" si="402"/>
        <v>0</v>
      </c>
      <c r="M763" s="163">
        <f t="shared" si="419"/>
        <v>0</v>
      </c>
      <c r="N763" s="163">
        <f t="shared" si="403"/>
        <v>0</v>
      </c>
      <c r="O763" s="84">
        <f t="shared" si="394"/>
        <v>0</v>
      </c>
      <c r="P763" s="31">
        <f t="shared" si="395"/>
        <v>0</v>
      </c>
      <c r="R763">
        <f t="shared" ca="1" si="404"/>
        <v>880</v>
      </c>
      <c r="S763" s="133">
        <f t="shared" ca="1" si="405"/>
        <v>139.72</v>
      </c>
      <c r="T763" s="132">
        <f t="shared" ca="1" si="396"/>
        <v>0</v>
      </c>
      <c r="U763" s="133">
        <f t="shared" ca="1" si="412"/>
        <v>1.9008342029825436E-4</v>
      </c>
      <c r="V763" s="31">
        <f t="shared" ca="1" si="406"/>
        <v>0</v>
      </c>
      <c r="W763" s="31">
        <f t="shared" ca="1" si="397"/>
        <v>0</v>
      </c>
      <c r="X763" s="163">
        <f t="shared" ca="1" si="413"/>
        <v>0</v>
      </c>
      <c r="Y763" s="163">
        <f t="shared" ca="1" si="414"/>
        <v>0</v>
      </c>
      <c r="Z763" s="163">
        <f t="shared" ca="1" si="407"/>
        <v>0</v>
      </c>
      <c r="AA763" s="163">
        <f t="shared" ca="1" si="415"/>
        <v>0</v>
      </c>
      <c r="AB763" s="84">
        <f t="shared" ca="1" si="398"/>
        <v>0</v>
      </c>
      <c r="AC763" s="160">
        <f t="shared" si="399"/>
        <v>0</v>
      </c>
      <c r="AD763" s="31">
        <f t="shared" ca="1" si="400"/>
        <v>0</v>
      </c>
      <c r="AF763" s="5"/>
      <c r="AG763" s="5"/>
      <c r="AS763" s="55">
        <f t="shared" si="408"/>
        <v>64</v>
      </c>
      <c r="AT763" s="56">
        <f t="shared" si="416"/>
        <v>760</v>
      </c>
      <c r="AU763" s="57">
        <f t="shared" si="420"/>
        <v>2.4517426921473073E-2</v>
      </c>
      <c r="AV763" s="58">
        <f t="shared" si="409"/>
        <v>4.8675505653430484E-3</v>
      </c>
      <c r="AW763" s="59">
        <f t="shared" si="410"/>
        <v>1.004867550565343</v>
      </c>
      <c r="AX763" s="60">
        <f>PRODUCT(AW$4:AW763)</f>
        <v>40.059433192965528</v>
      </c>
    </row>
    <row r="764" spans="5:50">
      <c r="E764">
        <f t="shared" si="418"/>
        <v>761</v>
      </c>
      <c r="F764" s="9">
        <f t="shared" si="411"/>
        <v>132.33333333333047</v>
      </c>
      <c r="G764" s="132">
        <f t="shared" si="391"/>
        <v>0</v>
      </c>
      <c r="H764" s="133">
        <f t="shared" si="417"/>
        <v>1</v>
      </c>
      <c r="I764" s="31">
        <f t="shared" si="401"/>
        <v>0</v>
      </c>
      <c r="J764" s="31">
        <f t="shared" si="392"/>
        <v>0</v>
      </c>
      <c r="K764" s="163">
        <f t="shared" si="393"/>
        <v>0</v>
      </c>
      <c r="L764" s="163">
        <f t="shared" si="402"/>
        <v>0</v>
      </c>
      <c r="M764" s="163">
        <f t="shared" si="419"/>
        <v>0</v>
      </c>
      <c r="N764" s="163">
        <f t="shared" si="403"/>
        <v>0</v>
      </c>
      <c r="O764" s="84">
        <f t="shared" si="394"/>
        <v>0</v>
      </c>
      <c r="P764" s="31">
        <f t="shared" si="395"/>
        <v>0</v>
      </c>
      <c r="R764">
        <f t="shared" ca="1" si="404"/>
        <v>881</v>
      </c>
      <c r="S764" s="133">
        <f t="shared" ca="1" si="405"/>
        <v>139.80000000000001</v>
      </c>
      <c r="T764" s="132">
        <f t="shared" ca="1" si="396"/>
        <v>0</v>
      </c>
      <c r="U764" s="133">
        <f t="shared" ca="1" si="412"/>
        <v>1.9008342029825436E-4</v>
      </c>
      <c r="V764" s="31">
        <f t="shared" ca="1" si="406"/>
        <v>0</v>
      </c>
      <c r="W764" s="31">
        <f t="shared" ca="1" si="397"/>
        <v>0</v>
      </c>
      <c r="X764" s="163">
        <f t="shared" ca="1" si="413"/>
        <v>0</v>
      </c>
      <c r="Y764" s="163">
        <f t="shared" ca="1" si="414"/>
        <v>0</v>
      </c>
      <c r="Z764" s="163">
        <f t="shared" ca="1" si="407"/>
        <v>0</v>
      </c>
      <c r="AA764" s="163">
        <f t="shared" ca="1" si="415"/>
        <v>0</v>
      </c>
      <c r="AB764" s="84">
        <f t="shared" ca="1" si="398"/>
        <v>0</v>
      </c>
      <c r="AC764" s="160">
        <f t="shared" si="399"/>
        <v>0</v>
      </c>
      <c r="AD764" s="31">
        <f t="shared" ca="1" si="400"/>
        <v>0</v>
      </c>
      <c r="AF764" s="5"/>
      <c r="AG764" s="5"/>
      <c r="AS764" s="55">
        <f t="shared" si="408"/>
        <v>64</v>
      </c>
      <c r="AT764" s="56">
        <f t="shared" si="416"/>
        <v>761</v>
      </c>
      <c r="AU764" s="57">
        <f t="shared" si="420"/>
        <v>2.43980871062007E-2</v>
      </c>
      <c r="AV764" s="58">
        <f t="shared" si="409"/>
        <v>4.8675505653430484E-3</v>
      </c>
      <c r="AW764" s="59">
        <f t="shared" si="410"/>
        <v>1.004867550565343</v>
      </c>
      <c r="AX764" s="60">
        <f>PRODUCT(AW$4:AW764)</f>
        <v>40.254424509651273</v>
      </c>
    </row>
    <row r="765" spans="5:50">
      <c r="E765">
        <f t="shared" si="418"/>
        <v>762</v>
      </c>
      <c r="F765" s="9">
        <f t="shared" si="411"/>
        <v>132.41666666666382</v>
      </c>
      <c r="G765" s="132">
        <f t="shared" si="391"/>
        <v>0</v>
      </c>
      <c r="H765" s="133">
        <f t="shared" si="417"/>
        <v>1</v>
      </c>
      <c r="I765" s="31">
        <f t="shared" si="401"/>
        <v>0</v>
      </c>
      <c r="J765" s="31">
        <f t="shared" si="392"/>
        <v>0</v>
      </c>
      <c r="K765" s="163">
        <f t="shared" si="393"/>
        <v>0</v>
      </c>
      <c r="L765" s="163">
        <f t="shared" si="402"/>
        <v>0</v>
      </c>
      <c r="M765" s="163">
        <f t="shared" si="419"/>
        <v>0</v>
      </c>
      <c r="N765" s="163">
        <f t="shared" si="403"/>
        <v>0</v>
      </c>
      <c r="O765" s="84">
        <f t="shared" si="394"/>
        <v>0</v>
      </c>
      <c r="P765" s="31">
        <f t="shared" si="395"/>
        <v>0</v>
      </c>
      <c r="R765">
        <f t="shared" ca="1" si="404"/>
        <v>882</v>
      </c>
      <c r="S765" s="133">
        <f t="shared" ca="1" si="405"/>
        <v>139.88</v>
      </c>
      <c r="T765" s="132">
        <f t="shared" ca="1" si="396"/>
        <v>0</v>
      </c>
      <c r="U765" s="133">
        <f t="shared" ca="1" si="412"/>
        <v>1.9008342029825436E-4</v>
      </c>
      <c r="V765" s="31">
        <f t="shared" ca="1" si="406"/>
        <v>0</v>
      </c>
      <c r="W765" s="31">
        <f t="shared" ca="1" si="397"/>
        <v>0</v>
      </c>
      <c r="X765" s="163">
        <f t="shared" ca="1" si="413"/>
        <v>0</v>
      </c>
      <c r="Y765" s="163">
        <f t="shared" ca="1" si="414"/>
        <v>0</v>
      </c>
      <c r="Z765" s="163">
        <f t="shared" ca="1" si="407"/>
        <v>0</v>
      </c>
      <c r="AA765" s="163">
        <f t="shared" ca="1" si="415"/>
        <v>0</v>
      </c>
      <c r="AB765" s="84">
        <f t="shared" ca="1" si="398"/>
        <v>0</v>
      </c>
      <c r="AC765" s="160">
        <f t="shared" si="399"/>
        <v>0</v>
      </c>
      <c r="AD765" s="31">
        <f t="shared" ca="1" si="400"/>
        <v>0</v>
      </c>
      <c r="AF765" s="5"/>
      <c r="AG765" s="5"/>
      <c r="AS765" s="55">
        <f t="shared" si="408"/>
        <v>64</v>
      </c>
      <c r="AT765" s="56">
        <f t="shared" si="416"/>
        <v>762</v>
      </c>
      <c r="AU765" s="57">
        <f t="shared" si="420"/>
        <v>2.4279328183513624E-2</v>
      </c>
      <c r="AV765" s="58">
        <f t="shared" si="409"/>
        <v>4.8675505653430484E-3</v>
      </c>
      <c r="AW765" s="59">
        <f t="shared" si="410"/>
        <v>1.004867550565343</v>
      </c>
      <c r="AX765" s="60">
        <f>PRODUCT(AW$4:AW765)</f>
        <v>40.450364956430782</v>
      </c>
    </row>
    <row r="766" spans="5:50">
      <c r="E766">
        <f t="shared" si="418"/>
        <v>763</v>
      </c>
      <c r="F766" s="9">
        <f t="shared" si="411"/>
        <v>132.49999999999716</v>
      </c>
      <c r="G766" s="132">
        <f t="shared" si="391"/>
        <v>0</v>
      </c>
      <c r="H766" s="133">
        <f t="shared" si="417"/>
        <v>1</v>
      </c>
      <c r="I766" s="31">
        <f t="shared" si="401"/>
        <v>0</v>
      </c>
      <c r="J766" s="31">
        <f t="shared" si="392"/>
        <v>0</v>
      </c>
      <c r="K766" s="163">
        <f t="shared" si="393"/>
        <v>0</v>
      </c>
      <c r="L766" s="163">
        <f t="shared" si="402"/>
        <v>0</v>
      </c>
      <c r="M766" s="163">
        <f t="shared" si="419"/>
        <v>0</v>
      </c>
      <c r="N766" s="163">
        <f t="shared" si="403"/>
        <v>0</v>
      </c>
      <c r="O766" s="84">
        <f t="shared" si="394"/>
        <v>0</v>
      </c>
      <c r="P766" s="31">
        <f t="shared" si="395"/>
        <v>0</v>
      </c>
      <c r="R766">
        <f t="shared" ca="1" si="404"/>
        <v>883</v>
      </c>
      <c r="S766" s="133">
        <f t="shared" ca="1" si="405"/>
        <v>139.96</v>
      </c>
      <c r="T766" s="132">
        <f t="shared" ca="1" si="396"/>
        <v>0</v>
      </c>
      <c r="U766" s="133">
        <f t="shared" ca="1" si="412"/>
        <v>1.9008342029825436E-4</v>
      </c>
      <c r="V766" s="31">
        <f t="shared" ca="1" si="406"/>
        <v>0</v>
      </c>
      <c r="W766" s="31">
        <f t="shared" ca="1" si="397"/>
        <v>0</v>
      </c>
      <c r="X766" s="163">
        <f t="shared" ca="1" si="413"/>
        <v>0</v>
      </c>
      <c r="Y766" s="163">
        <f t="shared" ca="1" si="414"/>
        <v>0</v>
      </c>
      <c r="Z766" s="163">
        <f t="shared" ca="1" si="407"/>
        <v>0</v>
      </c>
      <c r="AA766" s="163">
        <f t="shared" ca="1" si="415"/>
        <v>0</v>
      </c>
      <c r="AB766" s="84">
        <f t="shared" ca="1" si="398"/>
        <v>0</v>
      </c>
      <c r="AC766" s="160">
        <f t="shared" si="399"/>
        <v>0</v>
      </c>
      <c r="AD766" s="31">
        <f t="shared" ca="1" si="400"/>
        <v>0</v>
      </c>
      <c r="AF766" s="5"/>
      <c r="AG766" s="5"/>
      <c r="AS766" s="55">
        <f t="shared" si="408"/>
        <v>64</v>
      </c>
      <c r="AT766" s="56">
        <f t="shared" si="416"/>
        <v>763</v>
      </c>
      <c r="AU766" s="57">
        <f t="shared" si="420"/>
        <v>2.4161147325887814E-2</v>
      </c>
      <c r="AV766" s="58">
        <f t="shared" si="409"/>
        <v>4.8675505653430484E-3</v>
      </c>
      <c r="AW766" s="59">
        <f t="shared" si="410"/>
        <v>1.004867550565343</v>
      </c>
      <c r="AX766" s="60">
        <f>PRODUCT(AW$4:AW766)</f>
        <v>40.647259153242793</v>
      </c>
    </row>
    <row r="767" spans="5:50">
      <c r="E767">
        <f t="shared" si="418"/>
        <v>764</v>
      </c>
      <c r="F767" s="9">
        <f t="shared" si="411"/>
        <v>132.5833333333305</v>
      </c>
      <c r="G767" s="132">
        <f t="shared" si="391"/>
        <v>0</v>
      </c>
      <c r="H767" s="133">
        <f t="shared" si="417"/>
        <v>1</v>
      </c>
      <c r="I767" s="31">
        <f t="shared" si="401"/>
        <v>0</v>
      </c>
      <c r="J767" s="31">
        <f t="shared" si="392"/>
        <v>0</v>
      </c>
      <c r="K767" s="163">
        <f t="shared" si="393"/>
        <v>0</v>
      </c>
      <c r="L767" s="163">
        <f t="shared" si="402"/>
        <v>0</v>
      </c>
      <c r="M767" s="163">
        <f t="shared" si="419"/>
        <v>0</v>
      </c>
      <c r="N767" s="163">
        <f t="shared" si="403"/>
        <v>0</v>
      </c>
      <c r="O767" s="84">
        <f t="shared" si="394"/>
        <v>0</v>
      </c>
      <c r="P767" s="31">
        <f t="shared" si="395"/>
        <v>0</v>
      </c>
      <c r="R767">
        <f t="shared" ca="1" si="404"/>
        <v>884</v>
      </c>
      <c r="S767" s="133">
        <f t="shared" ca="1" si="405"/>
        <v>140.04</v>
      </c>
      <c r="T767" s="132">
        <f t="shared" ca="1" si="396"/>
        <v>0</v>
      </c>
      <c r="U767" s="133">
        <f t="shared" ca="1" si="412"/>
        <v>1.9008342029825436E-4</v>
      </c>
      <c r="V767" s="31">
        <f t="shared" ca="1" si="406"/>
        <v>0</v>
      </c>
      <c r="W767" s="31">
        <f t="shared" ca="1" si="397"/>
        <v>0</v>
      </c>
      <c r="X767" s="163">
        <f t="shared" ca="1" si="413"/>
        <v>0</v>
      </c>
      <c r="Y767" s="163">
        <f t="shared" ca="1" si="414"/>
        <v>0</v>
      </c>
      <c r="Z767" s="163">
        <f t="shared" ca="1" si="407"/>
        <v>0</v>
      </c>
      <c r="AA767" s="163">
        <f t="shared" ca="1" si="415"/>
        <v>0</v>
      </c>
      <c r="AB767" s="84">
        <f t="shared" ca="1" si="398"/>
        <v>0</v>
      </c>
      <c r="AC767" s="160">
        <f t="shared" si="399"/>
        <v>0</v>
      </c>
      <c r="AD767" s="31">
        <f t="shared" ca="1" si="400"/>
        <v>0</v>
      </c>
      <c r="AF767" s="5"/>
      <c r="AG767" s="5"/>
      <c r="AS767" s="55">
        <f t="shared" si="408"/>
        <v>64</v>
      </c>
      <c r="AT767" s="56">
        <f t="shared" si="416"/>
        <v>764</v>
      </c>
      <c r="AU767" s="57">
        <f t="shared" si="420"/>
        <v>2.4043541719562352E-2</v>
      </c>
      <c r="AV767" s="58">
        <f t="shared" si="409"/>
        <v>4.8675505653430484E-3</v>
      </c>
      <c r="AW767" s="59">
        <f t="shared" si="410"/>
        <v>1.004867550565343</v>
      </c>
      <c r="AX767" s="60">
        <f>PRODUCT(AW$4:AW767)</f>
        <v>40.845111742513808</v>
      </c>
    </row>
    <row r="768" spans="5:50">
      <c r="E768">
        <f t="shared" si="418"/>
        <v>765</v>
      </c>
      <c r="F768" s="9">
        <f t="shared" si="411"/>
        <v>132.66666666666384</v>
      </c>
      <c r="G768" s="132">
        <f t="shared" si="391"/>
        <v>0</v>
      </c>
      <c r="H768" s="133">
        <f t="shared" si="417"/>
        <v>1</v>
      </c>
      <c r="I768" s="31">
        <f t="shared" si="401"/>
        <v>0</v>
      </c>
      <c r="J768" s="31">
        <f t="shared" si="392"/>
        <v>0</v>
      </c>
      <c r="K768" s="163">
        <f t="shared" si="393"/>
        <v>0</v>
      </c>
      <c r="L768" s="163">
        <f t="shared" si="402"/>
        <v>0</v>
      </c>
      <c r="M768" s="163">
        <f t="shared" si="419"/>
        <v>0</v>
      </c>
      <c r="N768" s="163">
        <f t="shared" si="403"/>
        <v>0</v>
      </c>
      <c r="O768" s="84">
        <f t="shared" si="394"/>
        <v>0</v>
      </c>
      <c r="P768" s="31">
        <f t="shared" si="395"/>
        <v>0</v>
      </c>
      <c r="R768">
        <f t="shared" ca="1" si="404"/>
        <v>885</v>
      </c>
      <c r="S768" s="133">
        <f t="shared" ca="1" si="405"/>
        <v>140.12</v>
      </c>
      <c r="T768" s="132">
        <f t="shared" ca="1" si="396"/>
        <v>0</v>
      </c>
      <c r="U768" s="133">
        <f t="shared" ca="1" si="412"/>
        <v>1.9008342029825436E-4</v>
      </c>
      <c r="V768" s="31">
        <f t="shared" ca="1" si="406"/>
        <v>0</v>
      </c>
      <c r="W768" s="31">
        <f t="shared" ca="1" si="397"/>
        <v>0</v>
      </c>
      <c r="X768" s="163">
        <f t="shared" ca="1" si="413"/>
        <v>0</v>
      </c>
      <c r="Y768" s="163">
        <f t="shared" ca="1" si="414"/>
        <v>0</v>
      </c>
      <c r="Z768" s="163">
        <f t="shared" ca="1" si="407"/>
        <v>0</v>
      </c>
      <c r="AA768" s="163">
        <f t="shared" ca="1" si="415"/>
        <v>0</v>
      </c>
      <c r="AB768" s="84">
        <f t="shared" ca="1" si="398"/>
        <v>0</v>
      </c>
      <c r="AC768" s="160">
        <f t="shared" si="399"/>
        <v>0</v>
      </c>
      <c r="AD768" s="31">
        <f t="shared" ca="1" si="400"/>
        <v>0</v>
      </c>
      <c r="AF768" s="5"/>
      <c r="AG768" s="5"/>
      <c r="AS768" s="55">
        <f t="shared" si="408"/>
        <v>64</v>
      </c>
      <c r="AT768" s="56">
        <f t="shared" si="416"/>
        <v>765</v>
      </c>
      <c r="AU768" s="57">
        <f t="shared" si="420"/>
        <v>2.3926508564472447E-2</v>
      </c>
      <c r="AV768" s="58">
        <f t="shared" si="409"/>
        <v>4.8675505653430484E-3</v>
      </c>
      <c r="AW768" s="59">
        <f t="shared" si="410"/>
        <v>1.004867550565343</v>
      </c>
      <c r="AX768" s="60">
        <f>PRODUCT(AW$4:AW768)</f>
        <v>41.04392738926758</v>
      </c>
    </row>
    <row r="769" spans="5:50">
      <c r="E769">
        <f t="shared" si="418"/>
        <v>766</v>
      </c>
      <c r="F769" s="9">
        <f t="shared" si="411"/>
        <v>132.74999999999719</v>
      </c>
      <c r="G769" s="132">
        <f t="shared" si="391"/>
        <v>0</v>
      </c>
      <c r="H769" s="133">
        <f t="shared" si="417"/>
        <v>1</v>
      </c>
      <c r="I769" s="31">
        <f t="shared" si="401"/>
        <v>0</v>
      </c>
      <c r="J769" s="31">
        <f t="shared" si="392"/>
        <v>0</v>
      </c>
      <c r="K769" s="163">
        <f t="shared" si="393"/>
        <v>0</v>
      </c>
      <c r="L769" s="163">
        <f t="shared" si="402"/>
        <v>0</v>
      </c>
      <c r="M769" s="163">
        <f t="shared" si="419"/>
        <v>0</v>
      </c>
      <c r="N769" s="163">
        <f t="shared" si="403"/>
        <v>0</v>
      </c>
      <c r="O769" s="84">
        <f t="shared" si="394"/>
        <v>0</v>
      </c>
      <c r="P769" s="31">
        <f t="shared" si="395"/>
        <v>0</v>
      </c>
      <c r="R769">
        <f t="shared" ca="1" si="404"/>
        <v>886</v>
      </c>
      <c r="S769" s="133">
        <f t="shared" ca="1" si="405"/>
        <v>140.19999999999999</v>
      </c>
      <c r="T769" s="132">
        <f t="shared" ca="1" si="396"/>
        <v>0</v>
      </c>
      <c r="U769" s="133">
        <f t="shared" ca="1" si="412"/>
        <v>1.9008342029825436E-4</v>
      </c>
      <c r="V769" s="31">
        <f t="shared" ca="1" si="406"/>
        <v>0</v>
      </c>
      <c r="W769" s="31">
        <f t="shared" ca="1" si="397"/>
        <v>0</v>
      </c>
      <c r="X769" s="163">
        <f t="shared" ca="1" si="413"/>
        <v>0</v>
      </c>
      <c r="Y769" s="163">
        <f t="shared" ca="1" si="414"/>
        <v>0</v>
      </c>
      <c r="Z769" s="163">
        <f t="shared" ca="1" si="407"/>
        <v>0</v>
      </c>
      <c r="AA769" s="163">
        <f t="shared" ca="1" si="415"/>
        <v>0</v>
      </c>
      <c r="AB769" s="84">
        <f t="shared" ca="1" si="398"/>
        <v>0</v>
      </c>
      <c r="AC769" s="160">
        <f t="shared" si="399"/>
        <v>0</v>
      </c>
      <c r="AD769" s="31">
        <f t="shared" ca="1" si="400"/>
        <v>0</v>
      </c>
      <c r="AF769" s="5"/>
      <c r="AG769" s="5"/>
      <c r="AS769" s="55">
        <f t="shared" si="408"/>
        <v>64</v>
      </c>
      <c r="AT769" s="56">
        <f t="shared" si="416"/>
        <v>766</v>
      </c>
      <c r="AU769" s="57">
        <f t="shared" si="420"/>
        <v>2.3810045074182763E-2</v>
      </c>
      <c r="AV769" s="58">
        <f t="shared" si="409"/>
        <v>4.8675505653430484E-3</v>
      </c>
      <c r="AW769" s="59">
        <f t="shared" si="410"/>
        <v>1.004867550565343</v>
      </c>
      <c r="AX769" s="60">
        <f>PRODUCT(AW$4:AW769)</f>
        <v>41.243710781235109</v>
      </c>
    </row>
    <row r="770" spans="5:50">
      <c r="E770">
        <f t="shared" si="418"/>
        <v>767</v>
      </c>
      <c r="F770" s="9">
        <f t="shared" si="411"/>
        <v>132.83333333333053</v>
      </c>
      <c r="G770" s="132">
        <f t="shared" si="391"/>
        <v>0</v>
      </c>
      <c r="H770" s="133">
        <f t="shared" si="417"/>
        <v>1</v>
      </c>
      <c r="I770" s="31">
        <f t="shared" si="401"/>
        <v>0</v>
      </c>
      <c r="J770" s="31">
        <f t="shared" si="392"/>
        <v>0</v>
      </c>
      <c r="K770" s="163">
        <f t="shared" si="393"/>
        <v>0</v>
      </c>
      <c r="L770" s="163">
        <f t="shared" si="402"/>
        <v>0</v>
      </c>
      <c r="M770" s="163">
        <f t="shared" si="419"/>
        <v>0</v>
      </c>
      <c r="N770" s="163">
        <f t="shared" si="403"/>
        <v>0</v>
      </c>
      <c r="O770" s="84">
        <f t="shared" si="394"/>
        <v>0</v>
      </c>
      <c r="P770" s="31">
        <f t="shared" si="395"/>
        <v>0</v>
      </c>
      <c r="R770">
        <f t="shared" ca="1" si="404"/>
        <v>887</v>
      </c>
      <c r="S770" s="133">
        <f t="shared" ca="1" si="405"/>
        <v>140.28</v>
      </c>
      <c r="T770" s="132">
        <f t="shared" ca="1" si="396"/>
        <v>0</v>
      </c>
      <c r="U770" s="133">
        <f t="shared" ca="1" si="412"/>
        <v>1.9008342029825436E-4</v>
      </c>
      <c r="V770" s="31">
        <f t="shared" ca="1" si="406"/>
        <v>0</v>
      </c>
      <c r="W770" s="31">
        <f t="shared" ca="1" si="397"/>
        <v>0</v>
      </c>
      <c r="X770" s="163">
        <f t="shared" ca="1" si="413"/>
        <v>0</v>
      </c>
      <c r="Y770" s="163">
        <f t="shared" ca="1" si="414"/>
        <v>0</v>
      </c>
      <c r="Z770" s="163">
        <f t="shared" ca="1" si="407"/>
        <v>0</v>
      </c>
      <c r="AA770" s="163">
        <f t="shared" ca="1" si="415"/>
        <v>0</v>
      </c>
      <c r="AB770" s="84">
        <f t="shared" ca="1" si="398"/>
        <v>0</v>
      </c>
      <c r="AC770" s="160">
        <f t="shared" si="399"/>
        <v>0</v>
      </c>
      <c r="AD770" s="31">
        <f t="shared" ca="1" si="400"/>
        <v>0</v>
      </c>
      <c r="AF770" s="5"/>
      <c r="AG770" s="5"/>
      <c r="AS770" s="55">
        <f t="shared" si="408"/>
        <v>64</v>
      </c>
      <c r="AT770" s="56">
        <f t="shared" si="416"/>
        <v>767</v>
      </c>
      <c r="AU770" s="57">
        <f t="shared" si="420"/>
        <v>2.3694148475821082E-2</v>
      </c>
      <c r="AV770" s="58">
        <f t="shared" si="409"/>
        <v>4.8675505653430484E-3</v>
      </c>
      <c r="AW770" s="59">
        <f t="shared" si="410"/>
        <v>1.004867550565343</v>
      </c>
      <c r="AX770" s="60">
        <f>PRODUCT(AW$4:AW770)</f>
        <v>41.444466628965152</v>
      </c>
    </row>
    <row r="771" spans="5:50">
      <c r="E771">
        <f t="shared" si="418"/>
        <v>768</v>
      </c>
      <c r="F771" s="9">
        <f t="shared" si="411"/>
        <v>132.91666666666387</v>
      </c>
      <c r="G771" s="132">
        <f t="shared" si="391"/>
        <v>0</v>
      </c>
      <c r="H771" s="133">
        <f t="shared" si="417"/>
        <v>1</v>
      </c>
      <c r="I771" s="31">
        <f t="shared" si="401"/>
        <v>0</v>
      </c>
      <c r="J771" s="31">
        <f t="shared" si="392"/>
        <v>0</v>
      </c>
      <c r="K771" s="163">
        <f t="shared" si="393"/>
        <v>0</v>
      </c>
      <c r="L771" s="163">
        <f t="shared" si="402"/>
        <v>0</v>
      </c>
      <c r="M771" s="163">
        <f t="shared" si="419"/>
        <v>0</v>
      </c>
      <c r="N771" s="163">
        <f t="shared" si="403"/>
        <v>0</v>
      </c>
      <c r="O771" s="84">
        <f t="shared" si="394"/>
        <v>0</v>
      </c>
      <c r="P771" s="31">
        <f t="shared" si="395"/>
        <v>0</v>
      </c>
      <c r="R771">
        <f t="shared" ca="1" si="404"/>
        <v>888</v>
      </c>
      <c r="S771" s="133">
        <f t="shared" ca="1" si="405"/>
        <v>140.36000000000001</v>
      </c>
      <c r="T771" s="132">
        <f t="shared" ca="1" si="396"/>
        <v>0</v>
      </c>
      <c r="U771" s="133">
        <f t="shared" ca="1" si="412"/>
        <v>1.9008342029825436E-4</v>
      </c>
      <c r="V771" s="31">
        <f t="shared" ca="1" si="406"/>
        <v>0</v>
      </c>
      <c r="W771" s="31">
        <f t="shared" ca="1" si="397"/>
        <v>0</v>
      </c>
      <c r="X771" s="163">
        <f t="shared" ca="1" si="413"/>
        <v>0</v>
      </c>
      <c r="Y771" s="163">
        <f t="shared" ca="1" si="414"/>
        <v>0</v>
      </c>
      <c r="Z771" s="163">
        <f t="shared" ca="1" si="407"/>
        <v>0</v>
      </c>
      <c r="AA771" s="163">
        <f t="shared" ca="1" si="415"/>
        <v>0</v>
      </c>
      <c r="AB771" s="84">
        <f t="shared" ca="1" si="398"/>
        <v>0</v>
      </c>
      <c r="AC771" s="160">
        <f t="shared" si="399"/>
        <v>0</v>
      </c>
      <c r="AD771" s="31">
        <f t="shared" ca="1" si="400"/>
        <v>0</v>
      </c>
      <c r="AF771" s="5"/>
      <c r="AG771" s="5"/>
      <c r="AS771" s="55">
        <f t="shared" si="408"/>
        <v>64</v>
      </c>
      <c r="AT771" s="56">
        <f t="shared" si="416"/>
        <v>768</v>
      </c>
      <c r="AU771" s="57">
        <f t="shared" si="420"/>
        <v>2.3578816010012278E-2</v>
      </c>
      <c r="AV771" s="58">
        <f t="shared" si="409"/>
        <v>4.8675505653430484E-3</v>
      </c>
      <c r="AW771" s="59">
        <f t="shared" si="410"/>
        <v>1.004867550565343</v>
      </c>
      <c r="AX771" s="60">
        <f>PRODUCT(AW$4:AW771)</f>
        <v>41.646199665935313</v>
      </c>
    </row>
    <row r="772" spans="5:50">
      <c r="E772">
        <f t="shared" si="418"/>
        <v>769</v>
      </c>
      <c r="F772" s="9">
        <f t="shared" si="411"/>
        <v>132.99999999999721</v>
      </c>
      <c r="G772" s="132">
        <f t="shared" ref="G772:G784" si="421">(1-(1-IF(F772&gt;$AK$90,0,VLOOKUP(ROUND(F772,0),$AK$4:$AL$90,2,FALSE)))^(1/12))*0</f>
        <v>0</v>
      </c>
      <c r="H772" s="133">
        <f t="shared" si="417"/>
        <v>1</v>
      </c>
      <c r="I772" s="31">
        <f t="shared" si="401"/>
        <v>0</v>
      </c>
      <c r="J772" s="31">
        <f t="shared" ref="J772:J784" si="422">(I772)*$AV772</f>
        <v>0</v>
      </c>
      <c r="K772" s="163">
        <f t="shared" ref="K772:K784" si="423">IF(I772=0,0,-$C$19)*H772</f>
        <v>0</v>
      </c>
      <c r="L772" s="163">
        <f t="shared" si="402"/>
        <v>0</v>
      </c>
      <c r="M772" s="163">
        <f t="shared" si="419"/>
        <v>0</v>
      </c>
      <c r="N772" s="163">
        <f t="shared" si="403"/>
        <v>0</v>
      </c>
      <c r="O772" s="84">
        <f t="shared" ref="O772:O784" si="424">-MIN(
IF(MOD(E772-1,IF($C$7="Annual",12,1))=0,1,0)
*IF(F772&lt;=$C$6,H772*$C$5*$C$4/IF($C$7="Monthly",12,1),$C$12),I772)</f>
        <v>0</v>
      </c>
      <c r="P772" s="31">
        <f t="shared" ref="P772:P784" si="425">SUM(I772:O772)</f>
        <v>0</v>
      </c>
      <c r="R772">
        <f t="shared" ca="1" si="404"/>
        <v>889</v>
      </c>
      <c r="S772" s="133">
        <f t="shared" ca="1" si="405"/>
        <v>140.44</v>
      </c>
      <c r="T772" s="132">
        <f t="shared" ref="T772:T784" ca="1" si="426">(1-(1-IF(S772&gt;$AK$90,0,VLOOKUP(ROUND(S772,0),$AK$4:$AL$90,2,FALSE)))^(1/12))</f>
        <v>0</v>
      </c>
      <c r="U772" s="133">
        <f t="shared" ca="1" si="412"/>
        <v>1.9008342029825436E-4</v>
      </c>
      <c r="V772" s="31">
        <f t="shared" ca="1" si="406"/>
        <v>0</v>
      </c>
      <c r="W772" s="31">
        <f t="shared" ref="W772:W784" ca="1" si="427">(V772)*$AV772</f>
        <v>0</v>
      </c>
      <c r="X772" s="163">
        <f t="shared" ca="1" si="413"/>
        <v>0</v>
      </c>
      <c r="Y772" s="163">
        <f t="shared" ca="1" si="414"/>
        <v>0</v>
      </c>
      <c r="Z772" s="163">
        <f t="shared" ca="1" si="407"/>
        <v>0</v>
      </c>
      <c r="AA772" s="163">
        <f t="shared" ca="1" si="415"/>
        <v>0</v>
      </c>
      <c r="AB772" s="84">
        <f t="shared" ref="AB772:AB784" ca="1" si="428">-MIN(IF(MOD(R772,IF($C$7="Annual",12,1))=0,1,0)*$C$39*U772/IF($C$7="Monthly",12,1),V772)</f>
        <v>0</v>
      </c>
      <c r="AC772" s="160">
        <f t="shared" ref="AC772:AC784" si="429">IF($C$8="Yes",-V772*T772,0)</f>
        <v>0</v>
      </c>
      <c r="AD772" s="31">
        <f t="shared" ref="AD772:AD784" ca="1" si="430">SUM(V772:AC772)</f>
        <v>0</v>
      </c>
      <c r="AF772" s="5"/>
      <c r="AG772" s="5"/>
      <c r="AS772" s="55">
        <f t="shared" si="408"/>
        <v>65</v>
      </c>
      <c r="AT772" s="56">
        <f t="shared" si="416"/>
        <v>769</v>
      </c>
      <c r="AU772" s="57">
        <f t="shared" si="420"/>
        <v>2.3464044930812625E-2</v>
      </c>
      <c r="AV772" s="58">
        <f t="shared" si="409"/>
        <v>4.8675505653430484E-3</v>
      </c>
      <c r="AW772" s="59">
        <f t="shared" si="410"/>
        <v>1.004867550565343</v>
      </c>
      <c r="AX772" s="60">
        <f>PRODUCT(AW$4:AW772)</f>
        <v>41.848914648663623</v>
      </c>
    </row>
    <row r="773" spans="5:50">
      <c r="E773">
        <f t="shared" si="418"/>
        <v>770</v>
      </c>
      <c r="F773" s="9">
        <f t="shared" si="411"/>
        <v>133.08333333333056</v>
      </c>
      <c r="G773" s="132">
        <f t="shared" si="421"/>
        <v>0</v>
      </c>
      <c r="H773" s="133">
        <f t="shared" si="417"/>
        <v>1</v>
      </c>
      <c r="I773" s="31">
        <f t="shared" ref="I773:I784" si="431">MAX(P772,0)*(1-G773)</f>
        <v>0</v>
      </c>
      <c r="J773" s="31">
        <f t="shared" si="422"/>
        <v>0</v>
      </c>
      <c r="K773" s="163">
        <f t="shared" si="423"/>
        <v>0</v>
      </c>
      <c r="L773" s="163">
        <f t="shared" ref="L773:L784" si="432">IF(OR(I772+O772=0,K772=0),0,-I773*($C$16/12))</f>
        <v>0</v>
      </c>
      <c r="M773" s="163">
        <f t="shared" si="419"/>
        <v>0</v>
      </c>
      <c r="N773" s="163">
        <f t="shared" ref="N773:N784" si="433">IF(OR(I772+O772=0,K772=0),0,-I773*($C$18*(1+$C$20))/12)</f>
        <v>0</v>
      </c>
      <c r="O773" s="84">
        <f t="shared" si="424"/>
        <v>0</v>
      </c>
      <c r="P773" s="31">
        <f t="shared" si="425"/>
        <v>0</v>
      </c>
      <c r="R773">
        <f t="shared" ref="R773:R784" ca="1" si="434">R772+1</f>
        <v>890</v>
      </c>
      <c r="S773" s="133">
        <f t="shared" ref="S773:S784" ca="1" si="435">ROUND((R773-R772)/12+S772,2)</f>
        <v>140.52000000000001</v>
      </c>
      <c r="T773" s="132">
        <f t="shared" ca="1" si="426"/>
        <v>0</v>
      </c>
      <c r="U773" s="133">
        <f t="shared" ca="1" si="412"/>
        <v>1.9008342029825436E-4</v>
      </c>
      <c r="V773" s="31">
        <f t="shared" ref="V773:V784" ca="1" si="436">MAX(AD772,0)*(1-T773)</f>
        <v>0</v>
      </c>
      <c r="W773" s="31">
        <f t="shared" ca="1" si="427"/>
        <v>0</v>
      </c>
      <c r="X773" s="163">
        <f t="shared" ca="1" si="413"/>
        <v>0</v>
      </c>
      <c r="Y773" s="163">
        <f t="shared" ca="1" si="414"/>
        <v>0</v>
      </c>
      <c r="Z773" s="163">
        <f t="shared" ref="Z773:Z784" ca="1" si="437">IF(OR(V772+AB772=0,X772=0),0,-IF(MOD(E773,12)=0,1,0)*V773*($C$17))</f>
        <v>0</v>
      </c>
      <c r="AA773" s="163">
        <f t="shared" ca="1" si="415"/>
        <v>0</v>
      </c>
      <c r="AB773" s="84">
        <f t="shared" ca="1" si="428"/>
        <v>0</v>
      </c>
      <c r="AC773" s="160">
        <f t="shared" si="429"/>
        <v>0</v>
      </c>
      <c r="AD773" s="31">
        <f t="shared" ca="1" si="430"/>
        <v>0</v>
      </c>
      <c r="AF773" s="5"/>
      <c r="AG773" s="5"/>
      <c r="AS773" s="55">
        <f t="shared" ref="AS773:AS836" si="438">ROUNDDOWN((AT773-1)/12,0)+1</f>
        <v>65</v>
      </c>
      <c r="AT773" s="56">
        <f t="shared" si="416"/>
        <v>770</v>
      </c>
      <c r="AU773" s="57">
        <f t="shared" si="420"/>
        <v>2.3349832505644413E-2</v>
      </c>
      <c r="AV773" s="58">
        <f t="shared" ref="AV773:AV836" si="439">((1+$AV$1)^(1/12))-1</f>
        <v>4.8675505653430484E-3</v>
      </c>
      <c r="AW773" s="59">
        <f t="shared" ref="AW773:AW836" si="440">(1+AV773)</f>
        <v>1.004867550565343</v>
      </c>
      <c r="AX773" s="60">
        <f>PRODUCT(AW$4:AW773)</f>
        <v>42.052616356820721</v>
      </c>
    </row>
    <row r="774" spans="5:50">
      <c r="E774">
        <f t="shared" si="418"/>
        <v>771</v>
      </c>
      <c r="F774" s="9">
        <f t="shared" ref="F774:F784" si="441">1/12+F773</f>
        <v>133.1666666666639</v>
      </c>
      <c r="G774" s="132">
        <f t="shared" si="421"/>
        <v>0</v>
      </c>
      <c r="H774" s="133">
        <f t="shared" si="417"/>
        <v>1</v>
      </c>
      <c r="I774" s="31">
        <f t="shared" si="431"/>
        <v>0</v>
      </c>
      <c r="J774" s="31">
        <f t="shared" si="422"/>
        <v>0</v>
      </c>
      <c r="K774" s="163">
        <f t="shared" si="423"/>
        <v>0</v>
      </c>
      <c r="L774" s="163">
        <f t="shared" si="432"/>
        <v>0</v>
      </c>
      <c r="M774" s="163">
        <f t="shared" si="419"/>
        <v>0</v>
      </c>
      <c r="N774" s="163">
        <f t="shared" si="433"/>
        <v>0</v>
      </c>
      <c r="O774" s="84">
        <f t="shared" si="424"/>
        <v>0</v>
      </c>
      <c r="P774" s="31">
        <f t="shared" si="425"/>
        <v>0</v>
      </c>
      <c r="R774">
        <f t="shared" ca="1" si="434"/>
        <v>891</v>
      </c>
      <c r="S774" s="133">
        <f t="shared" ca="1" si="435"/>
        <v>140.6</v>
      </c>
      <c r="T774" s="132">
        <f t="shared" ca="1" si="426"/>
        <v>0</v>
      </c>
      <c r="U774" s="133">
        <f t="shared" ref="U774:U784" ca="1" si="442">U773*(1-T774)</f>
        <v>1.9008342029825436E-4</v>
      </c>
      <c r="V774" s="31">
        <f t="shared" ca="1" si="436"/>
        <v>0</v>
      </c>
      <c r="W774" s="31">
        <f t="shared" ca="1" si="427"/>
        <v>0</v>
      </c>
      <c r="X774" s="163">
        <f t="shared" ref="X774:X784" ca="1" si="443">IF(V774=0,0,-$C$19)*U774</f>
        <v>0</v>
      </c>
      <c r="Y774" s="163">
        <f t="shared" ref="Y774:Y784" ca="1" si="444">IF(OR(V773+AB773=0,X773=0),0,-V774*($C$16/12))</f>
        <v>0</v>
      </c>
      <c r="Z774" s="163">
        <f t="shared" ca="1" si="437"/>
        <v>0</v>
      </c>
      <c r="AA774" s="163">
        <f t="shared" ref="AA774:AA784" ca="1" si="445">IF(OR(V773+AB773=0,X773=0),0,-V774*($C$18*(1+$C$20))/12)</f>
        <v>0</v>
      </c>
      <c r="AB774" s="84">
        <f t="shared" ca="1" si="428"/>
        <v>0</v>
      </c>
      <c r="AC774" s="160">
        <f t="shared" si="429"/>
        <v>0</v>
      </c>
      <c r="AD774" s="31">
        <f t="shared" ca="1" si="430"/>
        <v>0</v>
      </c>
      <c r="AF774" s="5"/>
      <c r="AG774" s="5"/>
      <c r="AS774" s="55">
        <f t="shared" si="438"/>
        <v>65</v>
      </c>
      <c r="AT774" s="56">
        <f t="shared" ref="AT774:AT837" si="446">AT773+1</f>
        <v>771</v>
      </c>
      <c r="AU774" s="57">
        <f t="shared" si="420"/>
        <v>2.3236176015230897E-2</v>
      </c>
      <c r="AV774" s="58">
        <f t="shared" si="439"/>
        <v>4.8675505653430484E-3</v>
      </c>
      <c r="AW774" s="59">
        <f t="shared" si="440"/>
        <v>1.004867550565343</v>
      </c>
      <c r="AX774" s="60">
        <f>PRODUCT(AW$4:AW774)</f>
        <v>42.257309593342519</v>
      </c>
    </row>
    <row r="775" spans="5:50">
      <c r="E775">
        <f t="shared" si="418"/>
        <v>772</v>
      </c>
      <c r="F775" s="9">
        <f t="shared" si="441"/>
        <v>133.24999999999724</v>
      </c>
      <c r="G775" s="132">
        <f t="shared" si="421"/>
        <v>0</v>
      </c>
      <c r="H775" s="133">
        <f t="shared" ref="H775:H784" si="447">H774*(1-G775)</f>
        <v>1</v>
      </c>
      <c r="I775" s="31">
        <f t="shared" si="431"/>
        <v>0</v>
      </c>
      <c r="J775" s="31">
        <f t="shared" si="422"/>
        <v>0</v>
      </c>
      <c r="K775" s="163">
        <f t="shared" si="423"/>
        <v>0</v>
      </c>
      <c r="L775" s="163">
        <f t="shared" si="432"/>
        <v>0</v>
      </c>
      <c r="M775" s="163">
        <f t="shared" si="419"/>
        <v>0</v>
      </c>
      <c r="N775" s="163">
        <f t="shared" si="433"/>
        <v>0</v>
      </c>
      <c r="O775" s="84">
        <f t="shared" si="424"/>
        <v>0</v>
      </c>
      <c r="P775" s="31">
        <f t="shared" si="425"/>
        <v>0</v>
      </c>
      <c r="R775">
        <f t="shared" ca="1" si="434"/>
        <v>892</v>
      </c>
      <c r="S775" s="133">
        <f t="shared" ca="1" si="435"/>
        <v>140.68</v>
      </c>
      <c r="T775" s="132">
        <f t="shared" ca="1" si="426"/>
        <v>0</v>
      </c>
      <c r="U775" s="133">
        <f t="shared" ca="1" si="442"/>
        <v>1.9008342029825436E-4</v>
      </c>
      <c r="V775" s="31">
        <f t="shared" ca="1" si="436"/>
        <v>0</v>
      </c>
      <c r="W775" s="31">
        <f t="shared" ca="1" si="427"/>
        <v>0</v>
      </c>
      <c r="X775" s="163">
        <f t="shared" ca="1" si="443"/>
        <v>0</v>
      </c>
      <c r="Y775" s="163">
        <f t="shared" ca="1" si="444"/>
        <v>0</v>
      </c>
      <c r="Z775" s="163">
        <f t="shared" ca="1" si="437"/>
        <v>0</v>
      </c>
      <c r="AA775" s="163">
        <f t="shared" ca="1" si="445"/>
        <v>0</v>
      </c>
      <c r="AB775" s="84">
        <f t="shared" ca="1" si="428"/>
        <v>0</v>
      </c>
      <c r="AC775" s="160">
        <f t="shared" si="429"/>
        <v>0</v>
      </c>
      <c r="AD775" s="31">
        <f t="shared" ca="1" si="430"/>
        <v>0</v>
      </c>
      <c r="AF775" s="5"/>
      <c r="AG775" s="5"/>
      <c r="AS775" s="55">
        <f t="shared" si="438"/>
        <v>65</v>
      </c>
      <c r="AT775" s="56">
        <f t="shared" si="446"/>
        <v>772</v>
      </c>
      <c r="AU775" s="57">
        <f t="shared" si="420"/>
        <v>2.3123072753531551E-2</v>
      </c>
      <c r="AV775" s="58">
        <f t="shared" si="439"/>
        <v>4.8675505653430484E-3</v>
      </c>
      <c r="AW775" s="59">
        <f t="shared" si="440"/>
        <v>1.004867550565343</v>
      </c>
      <c r="AX775" s="60">
        <f>PRODUCT(AW$4:AW775)</f>
        <v>42.46299918454347</v>
      </c>
    </row>
    <row r="776" spans="5:50">
      <c r="E776">
        <f t="shared" si="418"/>
        <v>773</v>
      </c>
      <c r="F776" s="9">
        <f t="shared" si="441"/>
        <v>133.33333333333059</v>
      </c>
      <c r="G776" s="132">
        <f t="shared" si="421"/>
        <v>0</v>
      </c>
      <c r="H776" s="133">
        <f t="shared" si="447"/>
        <v>1</v>
      </c>
      <c r="I776" s="31">
        <f t="shared" si="431"/>
        <v>0</v>
      </c>
      <c r="J776" s="31">
        <f t="shared" si="422"/>
        <v>0</v>
      </c>
      <c r="K776" s="163">
        <f t="shared" si="423"/>
        <v>0</v>
      </c>
      <c r="L776" s="163">
        <f t="shared" si="432"/>
        <v>0</v>
      </c>
      <c r="M776" s="163">
        <f t="shared" si="419"/>
        <v>0</v>
      </c>
      <c r="N776" s="163">
        <f t="shared" si="433"/>
        <v>0</v>
      </c>
      <c r="O776" s="84">
        <f t="shared" si="424"/>
        <v>0</v>
      </c>
      <c r="P776" s="31">
        <f t="shared" si="425"/>
        <v>0</v>
      </c>
      <c r="R776">
        <f t="shared" ca="1" si="434"/>
        <v>893</v>
      </c>
      <c r="S776" s="133">
        <f t="shared" ca="1" si="435"/>
        <v>140.76</v>
      </c>
      <c r="T776" s="132">
        <f t="shared" ca="1" si="426"/>
        <v>0</v>
      </c>
      <c r="U776" s="133">
        <f t="shared" ca="1" si="442"/>
        <v>1.9008342029825436E-4</v>
      </c>
      <c r="V776" s="31">
        <f t="shared" ca="1" si="436"/>
        <v>0</v>
      </c>
      <c r="W776" s="31">
        <f t="shared" ca="1" si="427"/>
        <v>0</v>
      </c>
      <c r="X776" s="163">
        <f t="shared" ca="1" si="443"/>
        <v>0</v>
      </c>
      <c r="Y776" s="163">
        <f t="shared" ca="1" si="444"/>
        <v>0</v>
      </c>
      <c r="Z776" s="163">
        <f t="shared" ca="1" si="437"/>
        <v>0</v>
      </c>
      <c r="AA776" s="163">
        <f t="shared" ca="1" si="445"/>
        <v>0</v>
      </c>
      <c r="AB776" s="84">
        <f t="shared" ca="1" si="428"/>
        <v>0</v>
      </c>
      <c r="AC776" s="160">
        <f t="shared" si="429"/>
        <v>0</v>
      </c>
      <c r="AD776" s="31">
        <f t="shared" ca="1" si="430"/>
        <v>0</v>
      </c>
      <c r="AF776" s="5"/>
      <c r="AG776" s="5"/>
      <c r="AS776" s="55">
        <f t="shared" si="438"/>
        <v>65</v>
      </c>
      <c r="AT776" s="56">
        <f t="shared" si="446"/>
        <v>773</v>
      </c>
      <c r="AU776" s="57">
        <f t="shared" si="420"/>
        <v>2.3010520027677631E-2</v>
      </c>
      <c r="AV776" s="58">
        <f t="shared" si="439"/>
        <v>4.8675505653430484E-3</v>
      </c>
      <c r="AW776" s="59">
        <f t="shared" si="440"/>
        <v>1.004867550565343</v>
      </c>
      <c r="AX776" s="60">
        <f>PRODUCT(AW$4:AW776)</f>
        <v>42.669689980230359</v>
      </c>
    </row>
    <row r="777" spans="5:50">
      <c r="E777">
        <f t="shared" si="418"/>
        <v>774</v>
      </c>
      <c r="F777" s="9">
        <f t="shared" si="441"/>
        <v>133.41666666666393</v>
      </c>
      <c r="G777" s="132">
        <f t="shared" si="421"/>
        <v>0</v>
      </c>
      <c r="H777" s="133">
        <f t="shared" si="447"/>
        <v>1</v>
      </c>
      <c r="I777" s="31">
        <f t="shared" si="431"/>
        <v>0</v>
      </c>
      <c r="J777" s="31">
        <f t="shared" si="422"/>
        <v>0</v>
      </c>
      <c r="K777" s="163">
        <f t="shared" si="423"/>
        <v>0</v>
      </c>
      <c r="L777" s="163">
        <f t="shared" si="432"/>
        <v>0</v>
      </c>
      <c r="M777" s="163">
        <f t="shared" si="419"/>
        <v>0</v>
      </c>
      <c r="N777" s="163">
        <f t="shared" si="433"/>
        <v>0</v>
      </c>
      <c r="O777" s="84">
        <f t="shared" si="424"/>
        <v>0</v>
      </c>
      <c r="P777" s="31">
        <f t="shared" si="425"/>
        <v>0</v>
      </c>
      <c r="R777">
        <f t="shared" ca="1" si="434"/>
        <v>894</v>
      </c>
      <c r="S777" s="133">
        <f t="shared" ca="1" si="435"/>
        <v>140.84</v>
      </c>
      <c r="T777" s="132">
        <f t="shared" ca="1" si="426"/>
        <v>0</v>
      </c>
      <c r="U777" s="133">
        <f t="shared" ca="1" si="442"/>
        <v>1.9008342029825436E-4</v>
      </c>
      <c r="V777" s="31">
        <f t="shared" ca="1" si="436"/>
        <v>0</v>
      </c>
      <c r="W777" s="31">
        <f t="shared" ca="1" si="427"/>
        <v>0</v>
      </c>
      <c r="X777" s="163">
        <f t="shared" ca="1" si="443"/>
        <v>0</v>
      </c>
      <c r="Y777" s="163">
        <f t="shared" ca="1" si="444"/>
        <v>0</v>
      </c>
      <c r="Z777" s="163">
        <f t="shared" ca="1" si="437"/>
        <v>0</v>
      </c>
      <c r="AA777" s="163">
        <f t="shared" ca="1" si="445"/>
        <v>0</v>
      </c>
      <c r="AB777" s="84">
        <f t="shared" ca="1" si="428"/>
        <v>0</v>
      </c>
      <c r="AC777" s="160">
        <f t="shared" si="429"/>
        <v>0</v>
      </c>
      <c r="AD777" s="31">
        <f t="shared" ca="1" si="430"/>
        <v>0</v>
      </c>
      <c r="AF777" s="5"/>
      <c r="AG777" s="5"/>
      <c r="AS777" s="55">
        <f t="shared" si="438"/>
        <v>65</v>
      </c>
      <c r="AT777" s="56">
        <f t="shared" si="446"/>
        <v>774</v>
      </c>
      <c r="AU777" s="57">
        <f t="shared" si="420"/>
        <v>2.289851515790807E-2</v>
      </c>
      <c r="AV777" s="58">
        <f t="shared" si="439"/>
        <v>4.8675505653430484E-3</v>
      </c>
      <c r="AW777" s="59">
        <f t="shared" si="440"/>
        <v>1.004867550565343</v>
      </c>
      <c r="AX777" s="60">
        <f>PRODUCT(AW$4:AW777)</f>
        <v>42.877386853816645</v>
      </c>
    </row>
    <row r="778" spans="5:50">
      <c r="E778">
        <f t="shared" si="418"/>
        <v>775</v>
      </c>
      <c r="F778" s="9">
        <f t="shared" si="441"/>
        <v>133.49999999999727</v>
      </c>
      <c r="G778" s="132">
        <f t="shared" si="421"/>
        <v>0</v>
      </c>
      <c r="H778" s="133">
        <f t="shared" si="447"/>
        <v>1</v>
      </c>
      <c r="I778" s="31">
        <f t="shared" si="431"/>
        <v>0</v>
      </c>
      <c r="J778" s="31">
        <f t="shared" si="422"/>
        <v>0</v>
      </c>
      <c r="K778" s="163">
        <f t="shared" si="423"/>
        <v>0</v>
      </c>
      <c r="L778" s="163">
        <f t="shared" si="432"/>
        <v>0</v>
      </c>
      <c r="M778" s="163">
        <f t="shared" si="419"/>
        <v>0</v>
      </c>
      <c r="N778" s="163">
        <f t="shared" si="433"/>
        <v>0</v>
      </c>
      <c r="O778" s="84">
        <f t="shared" si="424"/>
        <v>0</v>
      </c>
      <c r="P778" s="31">
        <f t="shared" si="425"/>
        <v>0</v>
      </c>
      <c r="R778">
        <f t="shared" ca="1" si="434"/>
        <v>895</v>
      </c>
      <c r="S778" s="133">
        <f t="shared" ca="1" si="435"/>
        <v>140.91999999999999</v>
      </c>
      <c r="T778" s="132">
        <f t="shared" ca="1" si="426"/>
        <v>0</v>
      </c>
      <c r="U778" s="133">
        <f t="shared" ca="1" si="442"/>
        <v>1.9008342029825436E-4</v>
      </c>
      <c r="V778" s="31">
        <f t="shared" ca="1" si="436"/>
        <v>0</v>
      </c>
      <c r="W778" s="31">
        <f t="shared" ca="1" si="427"/>
        <v>0</v>
      </c>
      <c r="X778" s="163">
        <f t="shared" ca="1" si="443"/>
        <v>0</v>
      </c>
      <c r="Y778" s="163">
        <f t="shared" ca="1" si="444"/>
        <v>0</v>
      </c>
      <c r="Z778" s="163">
        <f t="shared" ca="1" si="437"/>
        <v>0</v>
      </c>
      <c r="AA778" s="163">
        <f t="shared" ca="1" si="445"/>
        <v>0</v>
      </c>
      <c r="AB778" s="84">
        <f t="shared" ca="1" si="428"/>
        <v>0</v>
      </c>
      <c r="AC778" s="160">
        <f t="shared" si="429"/>
        <v>0</v>
      </c>
      <c r="AD778" s="31">
        <f t="shared" ca="1" si="430"/>
        <v>0</v>
      </c>
      <c r="AF778" s="5"/>
      <c r="AG778" s="5"/>
      <c r="AS778" s="55">
        <f t="shared" si="438"/>
        <v>65</v>
      </c>
      <c r="AT778" s="56">
        <f t="shared" si="446"/>
        <v>775</v>
      </c>
      <c r="AU778" s="57">
        <f t="shared" si="420"/>
        <v>2.2787055477505678E-2</v>
      </c>
      <c r="AV778" s="58">
        <f t="shared" si="439"/>
        <v>4.8675505653430484E-3</v>
      </c>
      <c r="AW778" s="59">
        <f t="shared" si="440"/>
        <v>1.004867550565343</v>
      </c>
      <c r="AX778" s="60">
        <f>PRODUCT(AW$4:AW778)</f>
        <v>43.086094702437371</v>
      </c>
    </row>
    <row r="779" spans="5:50">
      <c r="E779">
        <f t="shared" si="418"/>
        <v>776</v>
      </c>
      <c r="F779" s="9">
        <f t="shared" si="441"/>
        <v>133.58333333333061</v>
      </c>
      <c r="G779" s="132">
        <f t="shared" si="421"/>
        <v>0</v>
      </c>
      <c r="H779" s="133">
        <f t="shared" si="447"/>
        <v>1</v>
      </c>
      <c r="I779" s="31">
        <f t="shared" si="431"/>
        <v>0</v>
      </c>
      <c r="J779" s="31">
        <f t="shared" si="422"/>
        <v>0</v>
      </c>
      <c r="K779" s="163">
        <f t="shared" si="423"/>
        <v>0</v>
      </c>
      <c r="L779" s="163">
        <f t="shared" si="432"/>
        <v>0</v>
      </c>
      <c r="M779" s="163">
        <f t="shared" si="419"/>
        <v>0</v>
      </c>
      <c r="N779" s="163">
        <f t="shared" si="433"/>
        <v>0</v>
      </c>
      <c r="O779" s="84">
        <f t="shared" si="424"/>
        <v>0</v>
      </c>
      <c r="P779" s="31">
        <f t="shared" si="425"/>
        <v>0</v>
      </c>
      <c r="R779">
        <f t="shared" ca="1" si="434"/>
        <v>896</v>
      </c>
      <c r="S779" s="133">
        <f t="shared" ca="1" si="435"/>
        <v>141</v>
      </c>
      <c r="T779" s="132">
        <f t="shared" ca="1" si="426"/>
        <v>0</v>
      </c>
      <c r="U779" s="133">
        <f t="shared" ca="1" si="442"/>
        <v>1.9008342029825436E-4</v>
      </c>
      <c r="V779" s="31">
        <f t="shared" ca="1" si="436"/>
        <v>0</v>
      </c>
      <c r="W779" s="31">
        <f t="shared" ca="1" si="427"/>
        <v>0</v>
      </c>
      <c r="X779" s="163">
        <f t="shared" ca="1" si="443"/>
        <v>0</v>
      </c>
      <c r="Y779" s="163">
        <f t="shared" ca="1" si="444"/>
        <v>0</v>
      </c>
      <c r="Z779" s="163">
        <f t="shared" ca="1" si="437"/>
        <v>0</v>
      </c>
      <c r="AA779" s="163">
        <f t="shared" ca="1" si="445"/>
        <v>0</v>
      </c>
      <c r="AB779" s="84">
        <f t="shared" ca="1" si="428"/>
        <v>0</v>
      </c>
      <c r="AC779" s="160">
        <f t="shared" si="429"/>
        <v>0</v>
      </c>
      <c r="AD779" s="31">
        <f t="shared" ca="1" si="430"/>
        <v>0</v>
      </c>
      <c r="AF779" s="5"/>
      <c r="AG779" s="5"/>
      <c r="AS779" s="55">
        <f t="shared" si="438"/>
        <v>65</v>
      </c>
      <c r="AT779" s="56">
        <f t="shared" si="446"/>
        <v>776</v>
      </c>
      <c r="AU779" s="57">
        <f t="shared" si="420"/>
        <v>2.2676138332733641E-2</v>
      </c>
      <c r="AV779" s="58">
        <f t="shared" si="439"/>
        <v>4.8675505653430484E-3</v>
      </c>
      <c r="AW779" s="59">
        <f t="shared" si="440"/>
        <v>1.004867550565343</v>
      </c>
      <c r="AX779" s="60">
        <f>PRODUCT(AW$4:AW779)</f>
        <v>43.295818447064647</v>
      </c>
    </row>
    <row r="780" spans="5:50">
      <c r="E780">
        <f t="shared" si="418"/>
        <v>777</v>
      </c>
      <c r="F780" s="9">
        <f t="shared" si="441"/>
        <v>133.66666666666396</v>
      </c>
      <c r="G780" s="132">
        <f t="shared" si="421"/>
        <v>0</v>
      </c>
      <c r="H780" s="133">
        <f t="shared" si="447"/>
        <v>1</v>
      </c>
      <c r="I780" s="31">
        <f t="shared" si="431"/>
        <v>0</v>
      </c>
      <c r="J780" s="31">
        <f t="shared" si="422"/>
        <v>0</v>
      </c>
      <c r="K780" s="163">
        <f t="shared" si="423"/>
        <v>0</v>
      </c>
      <c r="L780" s="163">
        <f t="shared" si="432"/>
        <v>0</v>
      </c>
      <c r="M780" s="163">
        <f t="shared" si="419"/>
        <v>0</v>
      </c>
      <c r="N780" s="163">
        <f t="shared" si="433"/>
        <v>0</v>
      </c>
      <c r="O780" s="84">
        <f t="shared" si="424"/>
        <v>0</v>
      </c>
      <c r="P780" s="31">
        <f t="shared" si="425"/>
        <v>0</v>
      </c>
      <c r="R780">
        <f t="shared" ca="1" si="434"/>
        <v>897</v>
      </c>
      <c r="S780" s="133">
        <f t="shared" ca="1" si="435"/>
        <v>141.08000000000001</v>
      </c>
      <c r="T780" s="132">
        <f t="shared" ca="1" si="426"/>
        <v>0</v>
      </c>
      <c r="U780" s="133">
        <f t="shared" ca="1" si="442"/>
        <v>1.9008342029825436E-4</v>
      </c>
      <c r="V780" s="31">
        <f t="shared" ca="1" si="436"/>
        <v>0</v>
      </c>
      <c r="W780" s="31">
        <f t="shared" ca="1" si="427"/>
        <v>0</v>
      </c>
      <c r="X780" s="163">
        <f t="shared" ca="1" si="443"/>
        <v>0</v>
      </c>
      <c r="Y780" s="163">
        <f t="shared" ca="1" si="444"/>
        <v>0</v>
      </c>
      <c r="Z780" s="163">
        <f t="shared" ca="1" si="437"/>
        <v>0</v>
      </c>
      <c r="AA780" s="163">
        <f t="shared" ca="1" si="445"/>
        <v>0</v>
      </c>
      <c r="AB780" s="84">
        <f t="shared" ca="1" si="428"/>
        <v>0</v>
      </c>
      <c r="AC780" s="160">
        <f t="shared" si="429"/>
        <v>0</v>
      </c>
      <c r="AD780" s="31">
        <f t="shared" ca="1" si="430"/>
        <v>0</v>
      </c>
      <c r="AF780" s="5"/>
      <c r="AG780" s="5"/>
      <c r="AS780" s="55">
        <f t="shared" si="438"/>
        <v>65</v>
      </c>
      <c r="AT780" s="56">
        <f t="shared" si="446"/>
        <v>777</v>
      </c>
      <c r="AU780" s="57">
        <f t="shared" si="420"/>
        <v>2.2565761082772345E-2</v>
      </c>
      <c r="AV780" s="58">
        <f t="shared" si="439"/>
        <v>4.8675505653430484E-3</v>
      </c>
      <c r="AW780" s="59">
        <f t="shared" si="440"/>
        <v>1.004867550565343</v>
      </c>
      <c r="AX780" s="60">
        <f>PRODUCT(AW$4:AW780)</f>
        <v>43.506563032623646</v>
      </c>
    </row>
    <row r="781" spans="5:50">
      <c r="E781">
        <f t="shared" si="418"/>
        <v>778</v>
      </c>
      <c r="F781" s="9">
        <f t="shared" si="441"/>
        <v>133.7499999999973</v>
      </c>
      <c r="G781" s="132">
        <f t="shared" si="421"/>
        <v>0</v>
      </c>
      <c r="H781" s="133">
        <f t="shared" si="447"/>
        <v>1</v>
      </c>
      <c r="I781" s="31">
        <f t="shared" si="431"/>
        <v>0</v>
      </c>
      <c r="J781" s="31">
        <f t="shared" si="422"/>
        <v>0</v>
      </c>
      <c r="K781" s="163">
        <f t="shared" si="423"/>
        <v>0</v>
      </c>
      <c r="L781" s="163">
        <f t="shared" si="432"/>
        <v>0</v>
      </c>
      <c r="M781" s="163">
        <f t="shared" si="419"/>
        <v>0</v>
      </c>
      <c r="N781" s="163">
        <f t="shared" si="433"/>
        <v>0</v>
      </c>
      <c r="O781" s="84">
        <f t="shared" si="424"/>
        <v>0</v>
      </c>
      <c r="P781" s="31">
        <f t="shared" si="425"/>
        <v>0</v>
      </c>
      <c r="R781">
        <f t="shared" ca="1" si="434"/>
        <v>898</v>
      </c>
      <c r="S781" s="133">
        <f t="shared" ca="1" si="435"/>
        <v>141.16</v>
      </c>
      <c r="T781" s="132">
        <f t="shared" ca="1" si="426"/>
        <v>0</v>
      </c>
      <c r="U781" s="133">
        <f t="shared" ca="1" si="442"/>
        <v>1.9008342029825436E-4</v>
      </c>
      <c r="V781" s="31">
        <f t="shared" ca="1" si="436"/>
        <v>0</v>
      </c>
      <c r="W781" s="31">
        <f t="shared" ca="1" si="427"/>
        <v>0</v>
      </c>
      <c r="X781" s="163">
        <f t="shared" ca="1" si="443"/>
        <v>0</v>
      </c>
      <c r="Y781" s="163">
        <f t="shared" ca="1" si="444"/>
        <v>0</v>
      </c>
      <c r="Z781" s="163">
        <f t="shared" ca="1" si="437"/>
        <v>0</v>
      </c>
      <c r="AA781" s="163">
        <f t="shared" ca="1" si="445"/>
        <v>0</v>
      </c>
      <c r="AB781" s="84">
        <f t="shared" ca="1" si="428"/>
        <v>0</v>
      </c>
      <c r="AC781" s="160">
        <f t="shared" si="429"/>
        <v>0</v>
      </c>
      <c r="AD781" s="31">
        <f t="shared" ca="1" si="430"/>
        <v>0</v>
      </c>
      <c r="AF781" s="5"/>
      <c r="AG781" s="5"/>
      <c r="AS781" s="55">
        <f t="shared" si="438"/>
        <v>65</v>
      </c>
      <c r="AT781" s="56">
        <f t="shared" si="446"/>
        <v>778</v>
      </c>
      <c r="AU781" s="57">
        <f t="shared" si="420"/>
        <v>2.2455921099656499E-2</v>
      </c>
      <c r="AV781" s="58">
        <f t="shared" si="439"/>
        <v>4.8675505653430484E-3</v>
      </c>
      <c r="AW781" s="59">
        <f t="shared" si="440"/>
        <v>1.004867550565343</v>
      </c>
      <c r="AX781" s="60">
        <f>PRODUCT(AW$4:AW781)</f>
        <v>43.718333428109226</v>
      </c>
    </row>
    <row r="782" spans="5:50">
      <c r="E782">
        <f t="shared" si="418"/>
        <v>779</v>
      </c>
      <c r="F782" s="9">
        <f t="shared" si="441"/>
        <v>133.83333333333064</v>
      </c>
      <c r="G782" s="132">
        <f t="shared" si="421"/>
        <v>0</v>
      </c>
      <c r="H782" s="133">
        <f t="shared" si="447"/>
        <v>1</v>
      </c>
      <c r="I782" s="31">
        <f t="shared" si="431"/>
        <v>0</v>
      </c>
      <c r="J782" s="31">
        <f t="shared" si="422"/>
        <v>0</v>
      </c>
      <c r="K782" s="163">
        <f t="shared" si="423"/>
        <v>0</v>
      </c>
      <c r="L782" s="163">
        <f t="shared" si="432"/>
        <v>0</v>
      </c>
      <c r="M782" s="163">
        <f t="shared" si="419"/>
        <v>0</v>
      </c>
      <c r="N782" s="163">
        <f t="shared" si="433"/>
        <v>0</v>
      </c>
      <c r="O782" s="84">
        <f t="shared" si="424"/>
        <v>0</v>
      </c>
      <c r="P782" s="31">
        <f t="shared" si="425"/>
        <v>0</v>
      </c>
      <c r="R782">
        <f t="shared" ca="1" si="434"/>
        <v>899</v>
      </c>
      <c r="S782" s="133">
        <f t="shared" ca="1" si="435"/>
        <v>141.24</v>
      </c>
      <c r="T782" s="132">
        <f t="shared" ca="1" si="426"/>
        <v>0</v>
      </c>
      <c r="U782" s="133">
        <f t="shared" ca="1" si="442"/>
        <v>1.9008342029825436E-4</v>
      </c>
      <c r="V782" s="31">
        <f t="shared" ca="1" si="436"/>
        <v>0</v>
      </c>
      <c r="W782" s="31">
        <f t="shared" ca="1" si="427"/>
        <v>0</v>
      </c>
      <c r="X782" s="163">
        <f t="shared" ca="1" si="443"/>
        <v>0</v>
      </c>
      <c r="Y782" s="163">
        <f t="shared" ca="1" si="444"/>
        <v>0</v>
      </c>
      <c r="Z782" s="163">
        <f t="shared" ca="1" si="437"/>
        <v>0</v>
      </c>
      <c r="AA782" s="163">
        <f t="shared" ca="1" si="445"/>
        <v>0</v>
      </c>
      <c r="AB782" s="84">
        <f t="shared" ca="1" si="428"/>
        <v>0</v>
      </c>
      <c r="AC782" s="160">
        <f t="shared" si="429"/>
        <v>0</v>
      </c>
      <c r="AD782" s="31">
        <f t="shared" ca="1" si="430"/>
        <v>0</v>
      </c>
      <c r="AF782" s="5"/>
      <c r="AG782" s="5"/>
      <c r="AS782" s="55">
        <f t="shared" si="438"/>
        <v>65</v>
      </c>
      <c r="AT782" s="56">
        <f t="shared" si="446"/>
        <v>779</v>
      </c>
      <c r="AU782" s="57">
        <f t="shared" si="420"/>
        <v>2.2346615768212567E-2</v>
      </c>
      <c r="AV782" s="58">
        <f t="shared" si="439"/>
        <v>4.8675505653430484E-3</v>
      </c>
      <c r="AW782" s="59">
        <f t="shared" si="440"/>
        <v>1.004867550565343</v>
      </c>
      <c r="AX782" s="60">
        <f>PRODUCT(AW$4:AW782)</f>
        <v>43.931134626703077</v>
      </c>
    </row>
    <row r="783" spans="5:50">
      <c r="E783">
        <f t="shared" si="418"/>
        <v>780</v>
      </c>
      <c r="F783" s="9">
        <f t="shared" si="441"/>
        <v>133.91666666666399</v>
      </c>
      <c r="G783" s="132">
        <f t="shared" si="421"/>
        <v>0</v>
      </c>
      <c r="H783" s="133">
        <f t="shared" si="447"/>
        <v>1</v>
      </c>
      <c r="I783" s="31">
        <f t="shared" si="431"/>
        <v>0</v>
      </c>
      <c r="J783" s="31">
        <f t="shared" si="422"/>
        <v>0</v>
      </c>
      <c r="K783" s="163">
        <f t="shared" si="423"/>
        <v>0</v>
      </c>
      <c r="L783" s="163">
        <f t="shared" si="432"/>
        <v>0</v>
      </c>
      <c r="M783" s="163">
        <f t="shared" si="419"/>
        <v>0</v>
      </c>
      <c r="N783" s="163">
        <f t="shared" si="433"/>
        <v>0</v>
      </c>
      <c r="O783" s="84">
        <f t="shared" si="424"/>
        <v>0</v>
      </c>
      <c r="P783" s="31">
        <f t="shared" si="425"/>
        <v>0</v>
      </c>
      <c r="R783">
        <f t="shared" ca="1" si="434"/>
        <v>900</v>
      </c>
      <c r="S783" s="133">
        <f t="shared" ca="1" si="435"/>
        <v>141.32</v>
      </c>
      <c r="T783" s="132">
        <f t="shared" ca="1" si="426"/>
        <v>0</v>
      </c>
      <c r="U783" s="133">
        <f t="shared" ca="1" si="442"/>
        <v>1.9008342029825436E-4</v>
      </c>
      <c r="V783" s="31">
        <f t="shared" ca="1" si="436"/>
        <v>0</v>
      </c>
      <c r="W783" s="31">
        <f t="shared" ca="1" si="427"/>
        <v>0</v>
      </c>
      <c r="X783" s="163">
        <f t="shared" ca="1" si="443"/>
        <v>0</v>
      </c>
      <c r="Y783" s="163">
        <f t="shared" ca="1" si="444"/>
        <v>0</v>
      </c>
      <c r="Z783" s="163">
        <f t="shared" ca="1" si="437"/>
        <v>0</v>
      </c>
      <c r="AA783" s="163">
        <f t="shared" ca="1" si="445"/>
        <v>0</v>
      </c>
      <c r="AB783" s="84">
        <f t="shared" ca="1" si="428"/>
        <v>0</v>
      </c>
      <c r="AC783" s="160">
        <f t="shared" si="429"/>
        <v>0</v>
      </c>
      <c r="AD783" s="31">
        <f t="shared" ca="1" si="430"/>
        <v>0</v>
      </c>
      <c r="AF783" s="5"/>
      <c r="AG783" s="5"/>
      <c r="AS783" s="55">
        <f t="shared" si="438"/>
        <v>65</v>
      </c>
      <c r="AT783" s="56">
        <f t="shared" si="446"/>
        <v>780</v>
      </c>
      <c r="AU783" s="57">
        <f t="shared" si="420"/>
        <v>2.2237842485996501E-2</v>
      </c>
      <c r="AV783" s="58">
        <f t="shared" si="439"/>
        <v>4.8675505653430484E-3</v>
      </c>
      <c r="AW783" s="59">
        <f t="shared" si="440"/>
        <v>1.004867550565343</v>
      </c>
      <c r="AX783" s="60">
        <f>PRODUCT(AW$4:AW783)</f>
        <v>44.144971645891445</v>
      </c>
    </row>
    <row r="784" spans="5:50">
      <c r="E784">
        <f t="shared" ref="E784" si="448">E783+1</f>
        <v>781</v>
      </c>
      <c r="F784" s="9">
        <f t="shared" si="441"/>
        <v>133.99999999999733</v>
      </c>
      <c r="G784" s="132">
        <f t="shared" si="421"/>
        <v>0</v>
      </c>
      <c r="H784" s="133">
        <f t="shared" si="447"/>
        <v>1</v>
      </c>
      <c r="I784" s="31">
        <f t="shared" si="431"/>
        <v>0</v>
      </c>
      <c r="J784" s="31">
        <f t="shared" si="422"/>
        <v>0</v>
      </c>
      <c r="K784" s="163">
        <f t="shared" si="423"/>
        <v>0</v>
      </c>
      <c r="L784" s="163">
        <f t="shared" si="432"/>
        <v>0</v>
      </c>
      <c r="M784" s="163">
        <f t="shared" ref="M784" si="449">IF(OR(I783+O783=0,K783=0),0,-IF(MOD(E784-1,12)=0,1,0)*I784*($C$17))</f>
        <v>0</v>
      </c>
      <c r="N784" s="163">
        <f t="shared" si="433"/>
        <v>0</v>
      </c>
      <c r="O784" s="84">
        <f t="shared" si="424"/>
        <v>0</v>
      </c>
      <c r="P784" s="31">
        <f t="shared" si="425"/>
        <v>0</v>
      </c>
      <c r="R784">
        <f t="shared" ca="1" si="434"/>
        <v>901</v>
      </c>
      <c r="S784" s="133">
        <f t="shared" ca="1" si="435"/>
        <v>141.4</v>
      </c>
      <c r="T784" s="132">
        <f t="shared" ca="1" si="426"/>
        <v>0</v>
      </c>
      <c r="U784" s="133">
        <f t="shared" ca="1" si="442"/>
        <v>1.9008342029825436E-4</v>
      </c>
      <c r="V784" s="31">
        <f t="shared" ca="1" si="436"/>
        <v>0</v>
      </c>
      <c r="W784" s="31">
        <f t="shared" ca="1" si="427"/>
        <v>0</v>
      </c>
      <c r="X784" s="163">
        <f t="shared" ca="1" si="443"/>
        <v>0</v>
      </c>
      <c r="Y784" s="163">
        <f t="shared" ca="1" si="444"/>
        <v>0</v>
      </c>
      <c r="Z784" s="163">
        <f t="shared" ca="1" si="437"/>
        <v>0</v>
      </c>
      <c r="AA784" s="163">
        <f t="shared" ca="1" si="445"/>
        <v>0</v>
      </c>
      <c r="AB784" s="84">
        <f t="shared" ca="1" si="428"/>
        <v>0</v>
      </c>
      <c r="AC784" s="160">
        <f t="shared" si="429"/>
        <v>0</v>
      </c>
      <c r="AD784" s="31">
        <f t="shared" ca="1" si="430"/>
        <v>0</v>
      </c>
      <c r="AF784" s="5"/>
      <c r="AG784" s="5"/>
      <c r="AS784" s="55">
        <f t="shared" si="438"/>
        <v>66</v>
      </c>
      <c r="AT784" s="56">
        <f t="shared" si="446"/>
        <v>781</v>
      </c>
      <c r="AU784" s="57">
        <f t="shared" si="420"/>
        <v>2.2129598663231779E-2</v>
      </c>
      <c r="AV784" s="58">
        <f t="shared" si="439"/>
        <v>4.8675505653430484E-3</v>
      </c>
      <c r="AW784" s="59">
        <f t="shared" si="440"/>
        <v>1.004867550565343</v>
      </c>
      <c r="AX784" s="60">
        <f>PRODUCT(AW$4:AW784)</f>
        <v>44.359849527583457</v>
      </c>
    </row>
    <row r="785" spans="45:50">
      <c r="AS785" s="55">
        <f t="shared" si="438"/>
        <v>66</v>
      </c>
      <c r="AT785" s="56">
        <f t="shared" si="446"/>
        <v>782</v>
      </c>
      <c r="AU785" s="57">
        <f t="shared" si="420"/>
        <v>2.2021881722747751E-2</v>
      </c>
      <c r="AV785" s="58">
        <f t="shared" si="439"/>
        <v>4.8675505653430484E-3</v>
      </c>
      <c r="AW785" s="59">
        <f t="shared" si="440"/>
        <v>1.004867550565343</v>
      </c>
      <c r="AX785" s="60">
        <f>PRODUCT(AW$4:AW785)</f>
        <v>44.575773338229979</v>
      </c>
    </row>
    <row r="786" spans="45:50">
      <c r="AS786" s="55">
        <f t="shared" si="438"/>
        <v>66</v>
      </c>
      <c r="AT786" s="56">
        <f t="shared" si="446"/>
        <v>783</v>
      </c>
      <c r="AU786" s="57">
        <f t="shared" si="420"/>
        <v>2.1914689099918273E-2</v>
      </c>
      <c r="AV786" s="58">
        <f t="shared" si="439"/>
        <v>4.8675505653430484E-3</v>
      </c>
      <c r="AW786" s="59">
        <f t="shared" si="440"/>
        <v>1.004867550565343</v>
      </c>
      <c r="AX786" s="60">
        <f>PRODUCT(AW$4:AW786)</f>
        <v>44.792748168943085</v>
      </c>
    </row>
    <row r="787" spans="45:50">
      <c r="AS787" s="55">
        <f t="shared" si="438"/>
        <v>66</v>
      </c>
      <c r="AT787" s="56">
        <f t="shared" si="446"/>
        <v>784</v>
      </c>
      <c r="AU787" s="57">
        <f t="shared" si="420"/>
        <v>2.180801824260065E-2</v>
      </c>
      <c r="AV787" s="58">
        <f t="shared" si="439"/>
        <v>4.8675505653430484E-3</v>
      </c>
      <c r="AW787" s="59">
        <f t="shared" si="440"/>
        <v>1.004867550565343</v>
      </c>
      <c r="AX787" s="60">
        <f>PRODUCT(AW$4:AW787)</f>
        <v>45.01077913561609</v>
      </c>
    </row>
    <row r="788" spans="45:50">
      <c r="AS788" s="55">
        <f t="shared" si="438"/>
        <v>66</v>
      </c>
      <c r="AT788" s="56">
        <f t="shared" si="446"/>
        <v>785</v>
      </c>
      <c r="AU788" s="57">
        <f t="shared" si="420"/>
        <v>2.1701866611074868E-2</v>
      </c>
      <c r="AV788" s="58">
        <f t="shared" si="439"/>
        <v>4.8675505653430484E-3</v>
      </c>
      <c r="AW788" s="59">
        <f t="shared" si="440"/>
        <v>1.004867550565343</v>
      </c>
      <c r="AX788" s="60">
        <f>PRODUCT(AW$4:AW788)</f>
        <v>45.229871379044191</v>
      </c>
    </row>
    <row r="789" spans="45:50">
      <c r="AS789" s="55">
        <f t="shared" si="438"/>
        <v>66</v>
      </c>
      <c r="AT789" s="56">
        <f t="shared" si="446"/>
        <v>786</v>
      </c>
      <c r="AU789" s="57">
        <f t="shared" si="420"/>
        <v>2.1596231677983132E-2</v>
      </c>
      <c r="AV789" s="58">
        <f t="shared" si="439"/>
        <v>4.8675505653430484E-3</v>
      </c>
      <c r="AW789" s="59">
        <f t="shared" si="440"/>
        <v>1.004867550565343</v>
      </c>
      <c r="AX789" s="60">
        <f>PRODUCT(AW$4:AW789)</f>
        <v>45.450030065045652</v>
      </c>
    </row>
    <row r="790" spans="45:50">
      <c r="AS790" s="55">
        <f t="shared" si="438"/>
        <v>66</v>
      </c>
      <c r="AT790" s="56">
        <f t="shared" si="446"/>
        <v>787</v>
      </c>
      <c r="AU790" s="57">
        <f t="shared" si="420"/>
        <v>2.1491110928269684E-2</v>
      </c>
      <c r="AV790" s="58">
        <f t="shared" si="439"/>
        <v>4.8675505653430484E-3</v>
      </c>
      <c r="AW790" s="59">
        <f t="shared" si="440"/>
        <v>1.004867550565343</v>
      </c>
      <c r="AX790" s="60">
        <f>PRODUCT(AW$4:AW790)</f>
        <v>45.671260384583626</v>
      </c>
    </row>
    <row r="791" spans="45:50">
      <c r="AS791" s="55">
        <f t="shared" si="438"/>
        <v>66</v>
      </c>
      <c r="AT791" s="56">
        <f t="shared" si="446"/>
        <v>788</v>
      </c>
      <c r="AU791" s="57">
        <f t="shared" ref="AU791:AU854" si="450">(1-AV791)*AU790</f>
        <v>2.1386501859120936E-2</v>
      </c>
      <c r="AV791" s="58">
        <f t="shared" si="439"/>
        <v>4.8675505653430484E-3</v>
      </c>
      <c r="AW791" s="59">
        <f t="shared" si="440"/>
        <v>1.004867550565343</v>
      </c>
      <c r="AX791" s="60">
        <f>PRODUCT(AW$4:AW791)</f>
        <v>45.893567553888538</v>
      </c>
    </row>
    <row r="792" spans="45:50">
      <c r="AS792" s="55">
        <f t="shared" si="438"/>
        <v>66</v>
      </c>
      <c r="AT792" s="56">
        <f t="shared" si="446"/>
        <v>789</v>
      </c>
      <c r="AU792" s="57">
        <f t="shared" si="450"/>
        <v>2.1282401979905861E-2</v>
      </c>
      <c r="AV792" s="58">
        <f t="shared" si="439"/>
        <v>4.8675505653430484E-3</v>
      </c>
      <c r="AW792" s="59">
        <f t="shared" si="440"/>
        <v>1.004867550565343</v>
      </c>
      <c r="AX792" s="60">
        <f>PRODUCT(AW$4:AW792)</f>
        <v>46.11695681458108</v>
      </c>
    </row>
    <row r="793" spans="45:50">
      <c r="AS793" s="55">
        <f t="shared" si="438"/>
        <v>66</v>
      </c>
      <c r="AT793" s="56">
        <f t="shared" si="446"/>
        <v>790</v>
      </c>
      <c r="AU793" s="57">
        <f t="shared" si="450"/>
        <v>2.1178808812116711E-2</v>
      </c>
      <c r="AV793" s="58">
        <f t="shared" si="439"/>
        <v>4.8675505653430484E-3</v>
      </c>
      <c r="AW793" s="59">
        <f t="shared" si="440"/>
        <v>1.004867550565343</v>
      </c>
      <c r="AX793" s="60">
        <f>PRODUCT(AW$4:AW793)</f>
        <v>46.341433433795792</v>
      </c>
    </row>
    <row r="794" spans="45:50">
      <c r="AS794" s="55">
        <f t="shared" si="438"/>
        <v>66</v>
      </c>
      <c r="AT794" s="56">
        <f t="shared" si="446"/>
        <v>791</v>
      </c>
      <c r="AU794" s="57">
        <f t="shared" si="450"/>
        <v>2.107571988931E-2</v>
      </c>
      <c r="AV794" s="58">
        <f t="shared" si="439"/>
        <v>4.8675505653430484E-3</v>
      </c>
      <c r="AW794" s="59">
        <f t="shared" si="440"/>
        <v>1.004867550565343</v>
      </c>
      <c r="AX794" s="60">
        <f>PRODUCT(AW$4:AW794)</f>
        <v>46.567002704305274</v>
      </c>
    </row>
    <row r="795" spans="45:50">
      <c r="AS795" s="55">
        <f t="shared" si="438"/>
        <v>66</v>
      </c>
      <c r="AT795" s="56">
        <f t="shared" si="446"/>
        <v>792</v>
      </c>
      <c r="AU795" s="57">
        <f t="shared" si="450"/>
        <v>2.0973132757047777E-2</v>
      </c>
      <c r="AV795" s="58">
        <f t="shared" si="439"/>
        <v>4.8675505653430484E-3</v>
      </c>
      <c r="AW795" s="59">
        <f t="shared" si="440"/>
        <v>1.004867550565343</v>
      </c>
      <c r="AX795" s="60">
        <f>PRODUCT(AW$4:AW795)</f>
        <v>46.793669944644947</v>
      </c>
    </row>
    <row r="796" spans="45:50">
      <c r="AS796" s="55">
        <f t="shared" si="438"/>
        <v>67</v>
      </c>
      <c r="AT796" s="56">
        <f t="shared" si="446"/>
        <v>793</v>
      </c>
      <c r="AU796" s="57">
        <f t="shared" si="450"/>
        <v>2.0871044972839193E-2</v>
      </c>
      <c r="AV796" s="58">
        <f t="shared" si="439"/>
        <v>4.8675505653430484E-3</v>
      </c>
      <c r="AW796" s="59">
        <f t="shared" si="440"/>
        <v>1.004867550565343</v>
      </c>
      <c r="AX796" s="60">
        <f>PRODUCT(AW$4:AW796)</f>
        <v>47.02144049923848</v>
      </c>
    </row>
    <row r="797" spans="45:50">
      <c r="AS797" s="55">
        <f t="shared" si="438"/>
        <v>67</v>
      </c>
      <c r="AT797" s="56">
        <f t="shared" si="446"/>
        <v>794</v>
      </c>
      <c r="AU797" s="57">
        <f t="shared" si="450"/>
        <v>2.0769454106082351E-2</v>
      </c>
      <c r="AV797" s="58">
        <f t="shared" si="439"/>
        <v>4.8675505653430484E-3</v>
      </c>
      <c r="AW797" s="59">
        <f t="shared" si="440"/>
        <v>1.004867550565343</v>
      </c>
      <c r="AX797" s="60">
        <f>PRODUCT(AW$4:AW797)</f>
        <v>47.250319738523793</v>
      </c>
    </row>
    <row r="798" spans="45:50">
      <c r="AS798" s="55">
        <f t="shared" si="438"/>
        <v>67</v>
      </c>
      <c r="AT798" s="56">
        <f t="shared" si="446"/>
        <v>795</v>
      </c>
      <c r="AU798" s="57">
        <f t="shared" si="450"/>
        <v>2.0668357738006422E-2</v>
      </c>
      <c r="AV798" s="58">
        <f t="shared" si="439"/>
        <v>4.8675505653430484E-3</v>
      </c>
      <c r="AW798" s="59">
        <f t="shared" si="440"/>
        <v>1.004867550565343</v>
      </c>
      <c r="AX798" s="60">
        <f>PRODUCT(AW$4:AW798)</f>
        <v>47.480313059079684</v>
      </c>
    </row>
    <row r="799" spans="45:50">
      <c r="AS799" s="55">
        <f t="shared" si="438"/>
        <v>67</v>
      </c>
      <c r="AT799" s="56">
        <f t="shared" si="446"/>
        <v>796</v>
      </c>
      <c r="AU799" s="57">
        <f t="shared" si="450"/>
        <v>2.0567753461614074E-2</v>
      </c>
      <c r="AV799" s="58">
        <f t="shared" si="439"/>
        <v>4.8675505653430484E-3</v>
      </c>
      <c r="AW799" s="59">
        <f t="shared" si="440"/>
        <v>1.004867550565343</v>
      </c>
      <c r="AX799" s="60">
        <f>PRODUCT(AW$4:AW799)</f>
        <v>47.711425883753073</v>
      </c>
    </row>
    <row r="800" spans="45:50">
      <c r="AS800" s="55">
        <f t="shared" si="438"/>
        <v>67</v>
      </c>
      <c r="AT800" s="56">
        <f t="shared" si="446"/>
        <v>797</v>
      </c>
      <c r="AU800" s="57">
        <f t="shared" si="450"/>
        <v>2.0467638881624159E-2</v>
      </c>
      <c r="AV800" s="58">
        <f t="shared" si="439"/>
        <v>4.8675505653430484E-3</v>
      </c>
      <c r="AW800" s="59">
        <f t="shared" si="440"/>
        <v>1.004867550565343</v>
      </c>
      <c r="AX800" s="60">
        <f>PRODUCT(AW$4:AW800)</f>
        <v>47.943663661786857</v>
      </c>
    </row>
    <row r="801" spans="45:50">
      <c r="AS801" s="55">
        <f t="shared" si="438"/>
        <v>67</v>
      </c>
      <c r="AT801" s="56">
        <f t="shared" si="446"/>
        <v>798</v>
      </c>
      <c r="AU801" s="57">
        <f t="shared" si="450"/>
        <v>2.036801161441467E-2</v>
      </c>
      <c r="AV801" s="58">
        <f t="shared" si="439"/>
        <v>4.8675505653430484E-3</v>
      </c>
      <c r="AW801" s="59">
        <f t="shared" si="440"/>
        <v>1.004867550565343</v>
      </c>
      <c r="AX801" s="60">
        <f>PRODUCT(AW$4:AW801)</f>
        <v>48.177031868948404</v>
      </c>
    </row>
    <row r="802" spans="45:50">
      <c r="AS802" s="55">
        <f t="shared" si="438"/>
        <v>67</v>
      </c>
      <c r="AT802" s="56">
        <f t="shared" si="446"/>
        <v>799</v>
      </c>
      <c r="AU802" s="57">
        <f t="shared" si="450"/>
        <v>2.0268869287966014E-2</v>
      </c>
      <c r="AV802" s="58">
        <f t="shared" si="439"/>
        <v>4.8675505653430484E-3</v>
      </c>
      <c r="AW802" s="59">
        <f t="shared" si="440"/>
        <v>1.004867550565343</v>
      </c>
      <c r="AX802" s="60">
        <f>PRODUCT(AW$4:AW802)</f>
        <v>48.411536007658654</v>
      </c>
    </row>
    <row r="803" spans="45:50">
      <c r="AS803" s="55">
        <f t="shared" si="438"/>
        <v>67</v>
      </c>
      <c r="AT803" s="56">
        <f t="shared" si="446"/>
        <v>800</v>
      </c>
      <c r="AU803" s="57">
        <f t="shared" si="450"/>
        <v>2.0170209541804509E-2</v>
      </c>
      <c r="AV803" s="58">
        <f t="shared" si="439"/>
        <v>4.8675505653430484E-3</v>
      </c>
      <c r="AW803" s="59">
        <f t="shared" si="440"/>
        <v>1.004867550565343</v>
      </c>
      <c r="AX803" s="60">
        <f>PRODUCT(AW$4:AW803)</f>
        <v>48.647181607121858</v>
      </c>
    </row>
    <row r="804" spans="45:50">
      <c r="AS804" s="55">
        <f t="shared" si="438"/>
        <v>67</v>
      </c>
      <c r="AT804" s="56">
        <f t="shared" si="446"/>
        <v>801</v>
      </c>
      <c r="AU804" s="57">
        <f t="shared" si="450"/>
        <v>2.007203002694621E-2</v>
      </c>
      <c r="AV804" s="58">
        <f t="shared" si="439"/>
        <v>4.8675505653430484E-3</v>
      </c>
      <c r="AW804" s="59">
        <f t="shared" si="440"/>
        <v>1.004867550565343</v>
      </c>
      <c r="AX804" s="60">
        <f>PRODUCT(AW$4:AW804)</f>
        <v>48.883974223455951</v>
      </c>
    </row>
    <row r="805" spans="45:50">
      <c r="AS805" s="55">
        <f t="shared" si="438"/>
        <v>67</v>
      </c>
      <c r="AT805" s="56">
        <f t="shared" si="446"/>
        <v>802</v>
      </c>
      <c r="AU805" s="57">
        <f t="shared" si="450"/>
        <v>1.9974328405840965E-2</v>
      </c>
      <c r="AV805" s="58">
        <f t="shared" si="439"/>
        <v>4.8675505653430484E-3</v>
      </c>
      <c r="AW805" s="59">
        <f t="shared" si="440"/>
        <v>1.004867550565343</v>
      </c>
      <c r="AX805" s="60">
        <f>PRODUCT(AW$4:AW805)</f>
        <v>49.12191943982355</v>
      </c>
    </row>
    <row r="806" spans="45:50">
      <c r="AS806" s="55">
        <f t="shared" si="438"/>
        <v>67</v>
      </c>
      <c r="AT806" s="56">
        <f t="shared" si="446"/>
        <v>803</v>
      </c>
      <c r="AU806" s="57">
        <f t="shared" si="450"/>
        <v>1.9877102352316767E-2</v>
      </c>
      <c r="AV806" s="58">
        <f t="shared" si="439"/>
        <v>4.8675505653430484E-3</v>
      </c>
      <c r="AW806" s="59">
        <f t="shared" si="440"/>
        <v>1.004867550565343</v>
      </c>
      <c r="AX806" s="60">
        <f>PRODUCT(AW$4:AW806)</f>
        <v>49.361022866563601</v>
      </c>
    </row>
    <row r="807" spans="45:50">
      <c r="AS807" s="55">
        <f t="shared" si="438"/>
        <v>67</v>
      </c>
      <c r="AT807" s="56">
        <f t="shared" si="446"/>
        <v>804</v>
      </c>
      <c r="AU807" s="57">
        <f t="shared" si="450"/>
        <v>1.9780349551524367E-2</v>
      </c>
      <c r="AV807" s="58">
        <f t="shared" si="439"/>
        <v>4.8675505653430484E-3</v>
      </c>
      <c r="AW807" s="59">
        <f t="shared" si="440"/>
        <v>1.004867550565343</v>
      </c>
      <c r="AX807" s="60">
        <f>PRODUCT(AW$4:AW807)</f>
        <v>49.601290141323652</v>
      </c>
    </row>
    <row r="808" spans="45:50">
      <c r="AS808" s="55">
        <f t="shared" si="438"/>
        <v>68</v>
      </c>
      <c r="AT808" s="56">
        <f t="shared" si="446"/>
        <v>805</v>
      </c>
      <c r="AU808" s="57">
        <f t="shared" si="450"/>
        <v>1.9684067699882162E-2</v>
      </c>
      <c r="AV808" s="58">
        <f t="shared" si="439"/>
        <v>4.8675505653430484E-3</v>
      </c>
      <c r="AW808" s="59">
        <f t="shared" si="440"/>
        <v>1.004867550565343</v>
      </c>
      <c r="AX808" s="60">
        <f>PRODUCT(AW$4:AW808)</f>
        <v>49.8427269291928</v>
      </c>
    </row>
    <row r="809" spans="45:50">
      <c r="AS809" s="55">
        <f t="shared" si="438"/>
        <v>68</v>
      </c>
      <c r="AT809" s="56">
        <f t="shared" si="446"/>
        <v>806</v>
      </c>
      <c r="AU809" s="57">
        <f t="shared" si="450"/>
        <v>1.9588254505021351E-2</v>
      </c>
      <c r="AV809" s="58">
        <f t="shared" si="439"/>
        <v>4.8675505653430484E-3</v>
      </c>
      <c r="AW809" s="59">
        <f t="shared" si="440"/>
        <v>1.004867550565343</v>
      </c>
      <c r="AX809" s="60">
        <f>PRODUCT(AW$4:AW809)</f>
        <v>50.085338922835234</v>
      </c>
    </row>
    <row r="810" spans="45:50">
      <c r="AS810" s="55">
        <f t="shared" si="438"/>
        <v>68</v>
      </c>
      <c r="AT810" s="56">
        <f t="shared" si="446"/>
        <v>807</v>
      </c>
      <c r="AU810" s="57">
        <f t="shared" si="450"/>
        <v>1.949290768573135E-2</v>
      </c>
      <c r="AV810" s="58">
        <f t="shared" si="439"/>
        <v>4.8675505653430484E-3</v>
      </c>
      <c r="AW810" s="59">
        <f t="shared" si="440"/>
        <v>1.004867550565343</v>
      </c>
      <c r="AX810" s="60">
        <f>PRODUCT(AW$4:AW810)</f>
        <v>50.329131842624477</v>
      </c>
    </row>
    <row r="811" spans="45:50">
      <c r="AS811" s="55">
        <f t="shared" si="438"/>
        <v>68</v>
      </c>
      <c r="AT811" s="56">
        <f t="shared" si="446"/>
        <v>808</v>
      </c>
      <c r="AU811" s="57">
        <f t="shared" si="450"/>
        <v>1.939802497190549E-2</v>
      </c>
      <c r="AV811" s="58">
        <f t="shared" si="439"/>
        <v>4.8675505653430484E-3</v>
      </c>
      <c r="AW811" s="59">
        <f t="shared" si="440"/>
        <v>1.004867550565343</v>
      </c>
      <c r="AX811" s="60">
        <f>PRODUCT(AW$4:AW811)</f>
        <v>50.574111436778267</v>
      </c>
    </row>
    <row r="812" spans="45:50">
      <c r="AS812" s="55">
        <f t="shared" si="438"/>
        <v>68</v>
      </c>
      <c r="AT812" s="56">
        <f t="shared" si="446"/>
        <v>809</v>
      </c>
      <c r="AU812" s="57">
        <f t="shared" si="450"/>
        <v>1.9303604104486952E-2</v>
      </c>
      <c r="AV812" s="58">
        <f t="shared" si="439"/>
        <v>4.8675505653430484E-3</v>
      </c>
      <c r="AW812" s="59">
        <f t="shared" si="440"/>
        <v>1.004867550565343</v>
      </c>
      <c r="AX812" s="60">
        <f>PRODUCT(AW$4:AW812)</f>
        <v>50.82028348149408</v>
      </c>
    </row>
    <row r="813" spans="45:50">
      <c r="AS813" s="55">
        <f t="shared" si="438"/>
        <v>68</v>
      </c>
      <c r="AT813" s="56">
        <f t="shared" si="446"/>
        <v>810</v>
      </c>
      <c r="AU813" s="57">
        <f t="shared" si="450"/>
        <v>1.9209642835415E-2</v>
      </c>
      <c r="AV813" s="58">
        <f t="shared" si="439"/>
        <v>4.8675505653430484E-3</v>
      </c>
      <c r="AW813" s="59">
        <f t="shared" si="440"/>
        <v>1.004867550565343</v>
      </c>
      <c r="AX813" s="60">
        <f>PRODUCT(AW$4:AW813)</f>
        <v>51.067653781085319</v>
      </c>
    </row>
    <row r="814" spans="45:50">
      <c r="AS814" s="55">
        <f t="shared" si="438"/>
        <v>68</v>
      </c>
      <c r="AT814" s="56">
        <f t="shared" si="446"/>
        <v>811</v>
      </c>
      <c r="AU814" s="57">
        <f t="shared" si="450"/>
        <v>1.9116138927571438E-2</v>
      </c>
      <c r="AV814" s="58">
        <f t="shared" si="439"/>
        <v>4.8675505653430484E-3</v>
      </c>
      <c r="AW814" s="59">
        <f t="shared" si="440"/>
        <v>1.004867550565343</v>
      </c>
      <c r="AX814" s="60">
        <f>PRODUCT(AW$4:AW814)</f>
        <v>51.316228168118187</v>
      </c>
    </row>
    <row r="815" spans="45:50">
      <c r="AS815" s="55">
        <f t="shared" si="438"/>
        <v>68</v>
      </c>
      <c r="AT815" s="56">
        <f t="shared" si="446"/>
        <v>812</v>
      </c>
      <c r="AU815" s="57">
        <f t="shared" si="450"/>
        <v>1.9023090154727362E-2</v>
      </c>
      <c r="AV815" s="58">
        <f t="shared" si="439"/>
        <v>4.8675505653430484E-3</v>
      </c>
      <c r="AW815" s="59">
        <f t="shared" si="440"/>
        <v>1.004867550565343</v>
      </c>
      <c r="AX815" s="60">
        <f>PRODUCT(AW$4:AW815)</f>
        <v>51.566012503549182</v>
      </c>
    </row>
    <row r="816" spans="45:50">
      <c r="AS816" s="55">
        <f t="shared" si="438"/>
        <v>68</v>
      </c>
      <c r="AT816" s="56">
        <f t="shared" si="446"/>
        <v>813</v>
      </c>
      <c r="AU816" s="57">
        <f t="shared" si="450"/>
        <v>1.8930494301490148E-2</v>
      </c>
      <c r="AV816" s="58">
        <f t="shared" si="439"/>
        <v>4.8675505653430484E-3</v>
      </c>
      <c r="AW816" s="59">
        <f t="shared" si="440"/>
        <v>1.004867550565343</v>
      </c>
      <c r="AX816" s="60">
        <f>PRODUCT(AW$4:AW816)</f>
        <v>51.817012676863321</v>
      </c>
    </row>
    <row r="817" spans="45:50">
      <c r="AS817" s="55">
        <f t="shared" si="438"/>
        <v>68</v>
      </c>
      <c r="AT817" s="56">
        <f t="shared" si="446"/>
        <v>814</v>
      </c>
      <c r="AU817" s="57">
        <f t="shared" si="450"/>
        <v>1.8838349163250705E-2</v>
      </c>
      <c r="AV817" s="58">
        <f t="shared" si="439"/>
        <v>4.8675505653430484E-3</v>
      </c>
      <c r="AW817" s="59">
        <f t="shared" si="440"/>
        <v>1.004867550565343</v>
      </c>
      <c r="AX817" s="60">
        <f>PRODUCT(AW$4:AW817)</f>
        <v>52.069234606212973</v>
      </c>
    </row>
    <row r="818" spans="45:50">
      <c r="AS818" s="55">
        <f t="shared" si="438"/>
        <v>68</v>
      </c>
      <c r="AT818" s="56">
        <f t="shared" si="446"/>
        <v>815</v>
      </c>
      <c r="AU818" s="57">
        <f t="shared" si="450"/>
        <v>1.8746652546130994E-2</v>
      </c>
      <c r="AV818" s="58">
        <f t="shared" si="439"/>
        <v>4.8675505653430484E-3</v>
      </c>
      <c r="AW818" s="59">
        <f t="shared" si="440"/>
        <v>1.004867550565343</v>
      </c>
      <c r="AX818" s="60">
        <f>PRODUCT(AW$4:AW818)</f>
        <v>52.322684238557422</v>
      </c>
    </row>
    <row r="819" spans="45:50">
      <c r="AS819" s="55">
        <f t="shared" si="438"/>
        <v>68</v>
      </c>
      <c r="AT819" s="56">
        <f t="shared" si="446"/>
        <v>816</v>
      </c>
      <c r="AU819" s="57">
        <f t="shared" si="450"/>
        <v>1.8655402266931784E-2</v>
      </c>
      <c r="AV819" s="58">
        <f t="shared" si="439"/>
        <v>4.8675505653430484E-3</v>
      </c>
      <c r="AW819" s="59">
        <f t="shared" si="440"/>
        <v>1.004867550565343</v>
      </c>
      <c r="AX819" s="60">
        <f>PRODUCT(AW$4:AW819)</f>
        <v>52.577367549803078</v>
      </c>
    </row>
    <row r="820" spans="45:50">
      <c r="AS820" s="55">
        <f t="shared" si="438"/>
        <v>69</v>
      </c>
      <c r="AT820" s="56">
        <f t="shared" si="446"/>
        <v>817</v>
      </c>
      <c r="AU820" s="57">
        <f t="shared" si="450"/>
        <v>1.8564596153080679E-2</v>
      </c>
      <c r="AV820" s="58">
        <f t="shared" si="439"/>
        <v>4.8675505653430484E-3</v>
      </c>
      <c r="AW820" s="59">
        <f t="shared" si="440"/>
        <v>1.004867550565343</v>
      </c>
      <c r="AX820" s="60">
        <f>PRODUCT(AW$4:AW820)</f>
        <v>52.833290544944369</v>
      </c>
    </row>
    <row r="821" spans="45:50">
      <c r="AS821" s="55">
        <f t="shared" si="438"/>
        <v>69</v>
      </c>
      <c r="AT821" s="56">
        <f t="shared" si="446"/>
        <v>818</v>
      </c>
      <c r="AU821" s="57">
        <f t="shared" si="450"/>
        <v>1.8474232042580387E-2</v>
      </c>
      <c r="AV821" s="58">
        <f t="shared" si="439"/>
        <v>4.8675505653430484E-3</v>
      </c>
      <c r="AW821" s="59">
        <f t="shared" si="440"/>
        <v>1.004867550565343</v>
      </c>
      <c r="AX821" s="60">
        <f>PRODUCT(AW$4:AW821)</f>
        <v>53.09045925820535</v>
      </c>
    </row>
    <row r="822" spans="45:50">
      <c r="AS822" s="55">
        <f t="shared" si="438"/>
        <v>69</v>
      </c>
      <c r="AT822" s="56">
        <f t="shared" si="446"/>
        <v>819</v>
      </c>
      <c r="AU822" s="57">
        <f t="shared" si="450"/>
        <v>1.8384307783957245E-2</v>
      </c>
      <c r="AV822" s="58">
        <f t="shared" si="439"/>
        <v>4.8675505653430484E-3</v>
      </c>
      <c r="AW822" s="59">
        <f t="shared" si="440"/>
        <v>1.004867550565343</v>
      </c>
      <c r="AX822" s="60">
        <f>PRODUCT(AW$4:AW822)</f>
        <v>53.348879753181947</v>
      </c>
    </row>
    <row r="823" spans="45:50">
      <c r="AS823" s="55">
        <f t="shared" si="438"/>
        <v>69</v>
      </c>
      <c r="AT823" s="56">
        <f t="shared" si="446"/>
        <v>820</v>
      </c>
      <c r="AU823" s="57">
        <f t="shared" si="450"/>
        <v>1.8294821236210002E-2</v>
      </c>
      <c r="AV823" s="58">
        <f t="shared" si="439"/>
        <v>4.8675505653430484E-3</v>
      </c>
      <c r="AW823" s="59">
        <f t="shared" si="440"/>
        <v>1.004867550565343</v>
      </c>
      <c r="AX823" s="60">
        <f>PRODUCT(AW$4:AW823)</f>
        <v>53.608558122984967</v>
      </c>
    </row>
    <row r="824" spans="45:50">
      <c r="AS824" s="55">
        <f t="shared" si="438"/>
        <v>69</v>
      </c>
      <c r="AT824" s="56">
        <f t="shared" si="446"/>
        <v>821</v>
      </c>
      <c r="AU824" s="57">
        <f t="shared" si="450"/>
        <v>1.8205770268758838E-2</v>
      </c>
      <c r="AV824" s="58">
        <f t="shared" si="439"/>
        <v>4.8675505653430484E-3</v>
      </c>
      <c r="AW824" s="59">
        <f t="shared" si="440"/>
        <v>1.004867550565343</v>
      </c>
      <c r="AX824" s="60">
        <f>PRODUCT(AW$4:AW824)</f>
        <v>53.869500490383729</v>
      </c>
    </row>
    <row r="825" spans="45:50">
      <c r="AS825" s="55">
        <f t="shared" si="438"/>
        <v>69</v>
      </c>
      <c r="AT825" s="56">
        <f t="shared" si="446"/>
        <v>822</v>
      </c>
      <c r="AU825" s="57">
        <f t="shared" si="450"/>
        <v>1.8117152761394636E-2</v>
      </c>
      <c r="AV825" s="58">
        <f t="shared" si="439"/>
        <v>4.8675505653430484E-3</v>
      </c>
      <c r="AW825" s="59">
        <f t="shared" si="440"/>
        <v>1.004867550565343</v>
      </c>
      <c r="AX825" s="60">
        <f>PRODUCT(AW$4:AW825)</f>
        <v>54.131713007950445</v>
      </c>
    </row>
    <row r="826" spans="45:50">
      <c r="AS826" s="55">
        <f t="shared" si="438"/>
        <v>69</v>
      </c>
      <c r="AT826" s="56">
        <f t="shared" si="446"/>
        <v>823</v>
      </c>
      <c r="AU826" s="57">
        <f t="shared" si="450"/>
        <v>1.8028966604228504E-2</v>
      </c>
      <c r="AV826" s="58">
        <f t="shared" si="439"/>
        <v>4.8675505653430484E-3</v>
      </c>
      <c r="AW826" s="59">
        <f t="shared" si="440"/>
        <v>1.004867550565343</v>
      </c>
      <c r="AX826" s="60">
        <f>PRODUCT(AW$4:AW826)</f>
        <v>54.395201858205283</v>
      </c>
    </row>
    <row r="827" spans="45:50">
      <c r="AS827" s="55">
        <f t="shared" si="438"/>
        <v>69</v>
      </c>
      <c r="AT827" s="56">
        <f t="shared" si="446"/>
        <v>824</v>
      </c>
      <c r="AU827" s="57">
        <f t="shared" si="450"/>
        <v>1.7941209697641541E-2</v>
      </c>
      <c r="AV827" s="58">
        <f t="shared" si="439"/>
        <v>4.8675505653430484E-3</v>
      </c>
      <c r="AW827" s="59">
        <f t="shared" si="440"/>
        <v>1.004867550565343</v>
      </c>
      <c r="AX827" s="60">
        <f>PRODUCT(AW$4:AW827)</f>
        <v>54.659973253762139</v>
      </c>
    </row>
    <row r="828" spans="45:50">
      <c r="AS828" s="55">
        <f t="shared" si="438"/>
        <v>69</v>
      </c>
      <c r="AT828" s="56">
        <f t="shared" si="446"/>
        <v>825</v>
      </c>
      <c r="AU828" s="57">
        <f t="shared" si="450"/>
        <v>1.785387995223485E-2</v>
      </c>
      <c r="AV828" s="58">
        <f t="shared" si="439"/>
        <v>4.8675505653430484E-3</v>
      </c>
      <c r="AW828" s="59">
        <f t="shared" si="440"/>
        <v>1.004867550565343</v>
      </c>
      <c r="AX828" s="60">
        <f>PRODUCT(AW$4:AW828)</f>
        <v>54.926033437475127</v>
      </c>
    </row>
    <row r="829" spans="45:50">
      <c r="AS829" s="55">
        <f t="shared" si="438"/>
        <v>69</v>
      </c>
      <c r="AT829" s="56">
        <f t="shared" si="446"/>
        <v>826</v>
      </c>
      <c r="AU829" s="57">
        <f t="shared" si="450"/>
        <v>1.7766975288779782E-2</v>
      </c>
      <c r="AV829" s="58">
        <f t="shared" si="439"/>
        <v>4.8675505653430484E-3</v>
      </c>
      <c r="AW829" s="59">
        <f t="shared" si="440"/>
        <v>1.004867550565343</v>
      </c>
      <c r="AX829" s="60">
        <f>PRODUCT(AW$4:AW829)</f>
        <v>55.193388682585763</v>
      </c>
    </row>
    <row r="830" spans="45:50">
      <c r="AS830" s="55">
        <f t="shared" si="438"/>
        <v>69</v>
      </c>
      <c r="AT830" s="56">
        <f t="shared" si="446"/>
        <v>827</v>
      </c>
      <c r="AU830" s="57">
        <f t="shared" si="450"/>
        <v>1.7680493638168447E-2</v>
      </c>
      <c r="AV830" s="58">
        <f t="shared" si="439"/>
        <v>4.8675505653430484E-3</v>
      </c>
      <c r="AW830" s="59">
        <f t="shared" si="440"/>
        <v>1.004867550565343</v>
      </c>
      <c r="AX830" s="60">
        <f>PRODUCT(AW$4:AW830)</f>
        <v>55.462045292870883</v>
      </c>
    </row>
    <row r="831" spans="45:50">
      <c r="AS831" s="55">
        <f t="shared" si="438"/>
        <v>69</v>
      </c>
      <c r="AT831" s="56">
        <f t="shared" si="446"/>
        <v>828</v>
      </c>
      <c r="AU831" s="57">
        <f t="shared" si="450"/>
        <v>1.7594432941364434E-2</v>
      </c>
      <c r="AV831" s="58">
        <f t="shared" si="439"/>
        <v>4.8675505653430484E-3</v>
      </c>
      <c r="AW831" s="59">
        <f t="shared" si="440"/>
        <v>1.004867550565343</v>
      </c>
      <c r="AX831" s="60">
        <f>PRODUCT(AW$4:AW831)</f>
        <v>55.73200960279128</v>
      </c>
    </row>
    <row r="832" spans="45:50">
      <c r="AS832" s="55">
        <f t="shared" si="438"/>
        <v>70</v>
      </c>
      <c r="AT832" s="56">
        <f t="shared" si="446"/>
        <v>829</v>
      </c>
      <c r="AU832" s="57">
        <f t="shared" si="450"/>
        <v>1.7508791149353806E-2</v>
      </c>
      <c r="AV832" s="58">
        <f t="shared" si="439"/>
        <v>4.8675505653430484E-3</v>
      </c>
      <c r="AW832" s="59">
        <f t="shared" si="440"/>
        <v>1.004867550565343</v>
      </c>
      <c r="AX832" s="60">
        <f>PRODUCT(AW$4:AW832)</f>
        <v>56.003287977641051</v>
      </c>
    </row>
    <row r="833" spans="45:50">
      <c r="AS833" s="55">
        <f t="shared" si="438"/>
        <v>70</v>
      </c>
      <c r="AT833" s="56">
        <f t="shared" si="446"/>
        <v>830</v>
      </c>
      <c r="AU833" s="57">
        <f t="shared" si="450"/>
        <v>1.7423566223096296E-2</v>
      </c>
      <c r="AV833" s="58">
        <f t="shared" si="439"/>
        <v>4.8675505653430484E-3</v>
      </c>
      <c r="AW833" s="59">
        <f t="shared" si="440"/>
        <v>1.004867550565343</v>
      </c>
      <c r="AX833" s="60">
        <f>PRODUCT(AW$4:AW833)</f>
        <v>56.275886813697689</v>
      </c>
    </row>
    <row r="834" spans="45:50">
      <c r="AS834" s="55">
        <f t="shared" si="438"/>
        <v>70</v>
      </c>
      <c r="AT834" s="56">
        <f t="shared" si="446"/>
        <v>831</v>
      </c>
      <c r="AU834" s="57">
        <f t="shared" si="450"/>
        <v>1.7338756133476772E-2</v>
      </c>
      <c r="AV834" s="58">
        <f t="shared" si="439"/>
        <v>4.8675505653430484E-3</v>
      </c>
      <c r="AW834" s="59">
        <f t="shared" si="440"/>
        <v>1.004867550565343</v>
      </c>
      <c r="AX834" s="60">
        <f>PRODUCT(AW$4:AW834)</f>
        <v>56.549812538372883</v>
      </c>
    </row>
    <row r="835" spans="45:50">
      <c r="AS835" s="55">
        <f t="shared" si="438"/>
        <v>70</v>
      </c>
      <c r="AT835" s="56">
        <f t="shared" si="446"/>
        <v>832</v>
      </c>
      <c r="AU835" s="57">
        <f t="shared" si="450"/>
        <v>1.7254358861256921E-2</v>
      </c>
      <c r="AV835" s="58">
        <f t="shared" si="439"/>
        <v>4.8675505653430484E-3</v>
      </c>
      <c r="AW835" s="59">
        <f t="shared" si="440"/>
        <v>1.004867550565343</v>
      </c>
      <c r="AX835" s="60">
        <f>PRODUCT(AW$4:AW835)</f>
        <v>56.825071610364084</v>
      </c>
    </row>
    <row r="836" spans="45:50">
      <c r="AS836" s="55">
        <f t="shared" si="438"/>
        <v>70</v>
      </c>
      <c r="AT836" s="56">
        <f t="shared" si="446"/>
        <v>833</v>
      </c>
      <c r="AU836" s="57">
        <f t="shared" si="450"/>
        <v>1.7170372397027178E-2</v>
      </c>
      <c r="AV836" s="58">
        <f t="shared" si="439"/>
        <v>4.8675505653430484E-3</v>
      </c>
      <c r="AW836" s="59">
        <f t="shared" si="440"/>
        <v>1.004867550565343</v>
      </c>
      <c r="AX836" s="60">
        <f>PRODUCT(AW$4:AW836)</f>
        <v>57.101670519806774</v>
      </c>
    </row>
    <row r="837" spans="45:50">
      <c r="AS837" s="55">
        <f t="shared" ref="AS837:AS900" si="451">ROUNDDOWN((AT837-1)/12,0)+1</f>
        <v>70</v>
      </c>
      <c r="AT837" s="56">
        <f t="shared" si="446"/>
        <v>834</v>
      </c>
      <c r="AU837" s="57">
        <f t="shared" si="450"/>
        <v>1.7086794741158876E-2</v>
      </c>
      <c r="AV837" s="58">
        <f t="shared" ref="AV837:AV900" si="452">((1+$AV$1)^(1/12))-1</f>
        <v>4.8675505653430484E-3</v>
      </c>
      <c r="AW837" s="59">
        <f t="shared" ref="AW837:AW900" si="453">(1+AV837)</f>
        <v>1.004867550565343</v>
      </c>
      <c r="AX837" s="60">
        <f>PRODUCT(AW$4:AW837)</f>
        <v>57.379615788427493</v>
      </c>
    </row>
    <row r="838" spans="45:50">
      <c r="AS838" s="55">
        <f t="shared" si="451"/>
        <v>70</v>
      </c>
      <c r="AT838" s="56">
        <f t="shared" ref="AT838:AT901" si="454">AT837+1</f>
        <v>835</v>
      </c>
      <c r="AU838" s="57">
        <f t="shared" si="450"/>
        <v>1.7003623903756648E-2</v>
      </c>
      <c r="AV838" s="58">
        <f t="shared" si="452"/>
        <v>4.8675505653430484E-3</v>
      </c>
      <c r="AW838" s="59">
        <f t="shared" si="453"/>
        <v>1.004867550565343</v>
      </c>
      <c r="AX838" s="60">
        <f>PRODUCT(AW$4:AW838)</f>
        <v>57.658913969697622</v>
      </c>
    </row>
    <row r="839" spans="45:50">
      <c r="AS839" s="55">
        <f t="shared" si="451"/>
        <v>70</v>
      </c>
      <c r="AT839" s="56">
        <f t="shared" si="454"/>
        <v>836</v>
      </c>
      <c r="AU839" s="57">
        <f t="shared" si="450"/>
        <v>1.6920857904611036E-2</v>
      </c>
      <c r="AV839" s="58">
        <f t="shared" si="452"/>
        <v>4.8675505653430484E-3</v>
      </c>
      <c r="AW839" s="59">
        <f t="shared" si="453"/>
        <v>1.004867550565343</v>
      </c>
      <c r="AX839" s="60">
        <f>PRODUCT(AW$4:AW839)</f>
        <v>57.939571648987886</v>
      </c>
    </row>
    <row r="840" spans="45:50">
      <c r="AS840" s="55">
        <f t="shared" si="451"/>
        <v>70</v>
      </c>
      <c r="AT840" s="56">
        <f t="shared" si="454"/>
        <v>837</v>
      </c>
      <c r="AU840" s="57">
        <f t="shared" si="450"/>
        <v>1.6838494773151358E-2</v>
      </c>
      <c r="AV840" s="58">
        <f t="shared" si="452"/>
        <v>4.8675505653430484E-3</v>
      </c>
      <c r="AW840" s="59">
        <f t="shared" si="453"/>
        <v>1.004867550565343</v>
      </c>
      <c r="AX840" s="60">
        <f>PRODUCT(AW$4:AW840)</f>
        <v>58.22159544372365</v>
      </c>
    </row>
    <row r="841" spans="45:50">
      <c r="AS841" s="55">
        <f t="shared" si="451"/>
        <v>70</v>
      </c>
      <c r="AT841" s="56">
        <f t="shared" si="454"/>
        <v>838</v>
      </c>
      <c r="AU841" s="57">
        <f t="shared" si="450"/>
        <v>1.6756532548398779E-2</v>
      </c>
      <c r="AV841" s="58">
        <f t="shared" si="452"/>
        <v>4.8675505653430484E-3</v>
      </c>
      <c r="AW841" s="59">
        <f t="shared" si="453"/>
        <v>1.004867550565343</v>
      </c>
      <c r="AX841" s="60">
        <f>PRODUCT(AW$4:AW841)</f>
        <v>58.50499200354092</v>
      </c>
    </row>
    <row r="842" spans="45:50">
      <c r="AS842" s="55">
        <f t="shared" si="451"/>
        <v>70</v>
      </c>
      <c r="AT842" s="56">
        <f t="shared" si="454"/>
        <v>839</v>
      </c>
      <c r="AU842" s="57">
        <f t="shared" si="450"/>
        <v>1.6674969278919632E-2</v>
      </c>
      <c r="AV842" s="58">
        <f t="shared" si="452"/>
        <v>4.8675505653430484E-3</v>
      </c>
      <c r="AW842" s="59">
        <f t="shared" si="453"/>
        <v>1.004867550565343</v>
      </c>
      <c r="AX842" s="60">
        <f>PRODUCT(AW$4:AW842)</f>
        <v>58.789768010443147</v>
      </c>
    </row>
    <row r="843" spans="45:50">
      <c r="AS843" s="55">
        <f t="shared" si="451"/>
        <v>70</v>
      </c>
      <c r="AT843" s="56">
        <f t="shared" si="454"/>
        <v>840</v>
      </c>
      <c r="AU843" s="57">
        <f t="shared" si="450"/>
        <v>1.659380302277895E-2</v>
      </c>
      <c r="AV843" s="58">
        <f t="shared" si="452"/>
        <v>4.8675505653430484E-3</v>
      </c>
      <c r="AW843" s="59">
        <f t="shared" si="453"/>
        <v>1.004867550565343</v>
      </c>
      <c r="AX843" s="60">
        <f>PRODUCT(AW$4:AW843)</f>
        <v>59.075930178958764</v>
      </c>
    </row>
    <row r="844" spans="45:50">
      <c r="AS844" s="55">
        <f t="shared" si="451"/>
        <v>71</v>
      </c>
      <c r="AT844" s="56">
        <f t="shared" si="454"/>
        <v>841</v>
      </c>
      <c r="AU844" s="57">
        <f t="shared" si="450"/>
        <v>1.6513031847494232E-2</v>
      </c>
      <c r="AV844" s="58">
        <f t="shared" si="452"/>
        <v>4.8675505653430484E-3</v>
      </c>
      <c r="AW844" s="59">
        <f t="shared" si="453"/>
        <v>1.004867550565343</v>
      </c>
      <c r="AX844" s="60">
        <f>PRODUCT(AW$4:AW844)</f>
        <v>59.363485256299519</v>
      </c>
    </row>
    <row r="845" spans="45:50">
      <c r="AS845" s="55">
        <f t="shared" si="451"/>
        <v>71</v>
      </c>
      <c r="AT845" s="56">
        <f t="shared" si="454"/>
        <v>842</v>
      </c>
      <c r="AU845" s="57">
        <f t="shared" si="450"/>
        <v>1.6432653829989433E-2</v>
      </c>
      <c r="AV845" s="58">
        <f t="shared" si="452"/>
        <v>4.8675505653430484E-3</v>
      </c>
      <c r="AW845" s="59">
        <f t="shared" si="453"/>
        <v>1.004867550565343</v>
      </c>
      <c r="AX845" s="60">
        <f>PRODUCT(AW$4:AW845)</f>
        <v>59.652440022519556</v>
      </c>
    </row>
    <row r="846" spans="45:50">
      <c r="AS846" s="55">
        <f t="shared" si="451"/>
        <v>71</v>
      </c>
      <c r="AT846" s="56">
        <f t="shared" si="454"/>
        <v>843</v>
      </c>
      <c r="AU846" s="57">
        <f t="shared" si="450"/>
        <v>1.6352667056549183E-2</v>
      </c>
      <c r="AV846" s="58">
        <f t="shared" si="452"/>
        <v>4.8675505653430484E-3</v>
      </c>
      <c r="AW846" s="59">
        <f t="shared" si="453"/>
        <v>1.004867550565343</v>
      </c>
      <c r="AX846" s="60">
        <f>PRODUCT(AW$4:AW846)</f>
        <v>59.942801290675263</v>
      </c>
    </row>
    <row r="847" spans="45:50">
      <c r="AS847" s="55">
        <f t="shared" si="451"/>
        <v>71</v>
      </c>
      <c r="AT847" s="56">
        <f t="shared" si="454"/>
        <v>844</v>
      </c>
      <c r="AU847" s="57">
        <f t="shared" si="450"/>
        <v>1.6273069622773209E-2</v>
      </c>
      <c r="AV847" s="58">
        <f t="shared" si="452"/>
        <v>4.8675505653430484E-3</v>
      </c>
      <c r="AW847" s="59">
        <f t="shared" si="453"/>
        <v>1.004867550565343</v>
      </c>
      <c r="AX847" s="60">
        <f>PRODUCT(AW$4:AW847)</f>
        <v>60.234575906985938</v>
      </c>
    </row>
    <row r="848" spans="45:50">
      <c r="AS848" s="55">
        <f t="shared" si="451"/>
        <v>71</v>
      </c>
      <c r="AT848" s="56">
        <f t="shared" si="454"/>
        <v>845</v>
      </c>
      <c r="AU848" s="57">
        <f t="shared" si="450"/>
        <v>1.6193859633531014E-2</v>
      </c>
      <c r="AV848" s="58">
        <f t="shared" si="452"/>
        <v>4.8675505653430484E-3</v>
      </c>
      <c r="AW848" s="59">
        <f t="shared" si="453"/>
        <v>1.004867550565343</v>
      </c>
      <c r="AX848" s="60">
        <f>PRODUCT(AW$4:AW848)</f>
        <v>60.527770750995188</v>
      </c>
    </row>
    <row r="849" spans="45:50">
      <c r="AS849" s="55">
        <f t="shared" si="451"/>
        <v>71</v>
      </c>
      <c r="AT849" s="56">
        <f t="shared" si="454"/>
        <v>846</v>
      </c>
      <c r="AU849" s="57">
        <f t="shared" si="450"/>
        <v>1.6115035202916735E-2</v>
      </c>
      <c r="AV849" s="58">
        <f t="shared" si="452"/>
        <v>4.8675505653430484E-3</v>
      </c>
      <c r="AW849" s="59">
        <f t="shared" si="453"/>
        <v>1.004867550565343</v>
      </c>
      <c r="AX849" s="60">
        <f>PRODUCT(AW$4:AW849)</f>
        <v>60.822392735733146</v>
      </c>
    </row>
    <row r="850" spans="45:50">
      <c r="AS850" s="55">
        <f t="shared" si="451"/>
        <v>71</v>
      </c>
      <c r="AT850" s="56">
        <f t="shared" si="454"/>
        <v>847</v>
      </c>
      <c r="AU850" s="57">
        <f t="shared" si="450"/>
        <v>1.6036594454204255E-2</v>
      </c>
      <c r="AV850" s="58">
        <f t="shared" si="452"/>
        <v>4.8675505653430484E-3</v>
      </c>
      <c r="AW850" s="59">
        <f t="shared" si="453"/>
        <v>1.004867550565343</v>
      </c>
      <c r="AX850" s="60">
        <f>PRODUCT(AW$4:AW850)</f>
        <v>61.118448807879481</v>
      </c>
    </row>
    <row r="851" spans="45:50">
      <c r="AS851" s="55">
        <f t="shared" si="451"/>
        <v>71</v>
      </c>
      <c r="AT851" s="56">
        <f t="shared" si="454"/>
        <v>848</v>
      </c>
      <c r="AU851" s="57">
        <f t="shared" si="450"/>
        <v>1.5958535519802516E-2</v>
      </c>
      <c r="AV851" s="58">
        <f t="shared" si="452"/>
        <v>4.8675505653430484E-3</v>
      </c>
      <c r="AW851" s="59">
        <f t="shared" si="453"/>
        <v>1.004867550565343</v>
      </c>
      <c r="AX851" s="60">
        <f>PRODUCT(AW$4:AW851)</f>
        <v>61.415945947927163</v>
      </c>
    </row>
    <row r="852" spans="45:50">
      <c r="AS852" s="55">
        <f t="shared" si="451"/>
        <v>71</v>
      </c>
      <c r="AT852" s="56">
        <f t="shared" si="454"/>
        <v>849</v>
      </c>
      <c r="AU852" s="57">
        <f t="shared" si="450"/>
        <v>1.5880856541211054E-2</v>
      </c>
      <c r="AV852" s="58">
        <f t="shared" si="452"/>
        <v>4.8675505653430484E-3</v>
      </c>
      <c r="AW852" s="59">
        <f t="shared" si="453"/>
        <v>1.004867550565343</v>
      </c>
      <c r="AX852" s="60">
        <f>PRODUCT(AW$4:AW852)</f>
        <v>61.714891170347073</v>
      </c>
    </row>
    <row r="853" spans="45:50">
      <c r="AS853" s="55">
        <f t="shared" si="451"/>
        <v>71</v>
      </c>
      <c r="AT853" s="56">
        <f t="shared" si="454"/>
        <v>850</v>
      </c>
      <c r="AU853" s="57">
        <f t="shared" si="450"/>
        <v>1.580355566897575E-2</v>
      </c>
      <c r="AV853" s="58">
        <f t="shared" si="452"/>
        <v>4.8675505653430484E-3</v>
      </c>
      <c r="AW853" s="59">
        <f t="shared" si="453"/>
        <v>1.004867550565343</v>
      </c>
      <c r="AX853" s="60">
        <f>PRODUCT(AW$4:AW853)</f>
        <v>62.015291523753383</v>
      </c>
    </row>
    <row r="854" spans="45:50">
      <c r="AS854" s="55">
        <f t="shared" si="451"/>
        <v>71</v>
      </c>
      <c r="AT854" s="56">
        <f t="shared" si="454"/>
        <v>851</v>
      </c>
      <c r="AU854" s="57">
        <f t="shared" si="450"/>
        <v>1.5726631062644797E-2</v>
      </c>
      <c r="AV854" s="58">
        <f t="shared" si="452"/>
        <v>4.8675505653430484E-3</v>
      </c>
      <c r="AW854" s="59">
        <f t="shared" si="453"/>
        <v>1.004867550565343</v>
      </c>
      <c r="AX854" s="60">
        <f>PRODUCT(AW$4:AW854)</f>
        <v>62.317154091069746</v>
      </c>
    </row>
    <row r="855" spans="45:50">
      <c r="AS855" s="55">
        <f t="shared" si="451"/>
        <v>71</v>
      </c>
      <c r="AT855" s="56">
        <f t="shared" si="454"/>
        <v>852</v>
      </c>
      <c r="AU855" s="57">
        <f t="shared" ref="AU855:AU918" si="455">(1-AV855)*AU854</f>
        <v>1.565008089072488E-2</v>
      </c>
      <c r="AV855" s="58">
        <f t="shared" si="452"/>
        <v>4.8675505653430484E-3</v>
      </c>
      <c r="AW855" s="59">
        <f t="shared" si="453"/>
        <v>1.004867550565343</v>
      </c>
      <c r="AX855" s="60">
        <f>PRODUCT(AW$4:AW855)</f>
        <v>62.620485989696306</v>
      </c>
    </row>
    <row r="856" spans="45:50">
      <c r="AS856" s="55">
        <f t="shared" si="451"/>
        <v>72</v>
      </c>
      <c r="AT856" s="56">
        <f t="shared" si="454"/>
        <v>853</v>
      </c>
      <c r="AU856" s="57">
        <f t="shared" si="455"/>
        <v>1.5573903330637568E-2</v>
      </c>
      <c r="AV856" s="58">
        <f t="shared" si="452"/>
        <v>4.8675505653430484E-3</v>
      </c>
      <c r="AW856" s="59">
        <f t="shared" si="453"/>
        <v>1.004867550565343</v>
      </c>
      <c r="AX856" s="60">
        <f>PRODUCT(AW$4:AW856)</f>
        <v>62.925294371677509</v>
      </c>
    </row>
    <row r="857" spans="45:50">
      <c r="AS857" s="55">
        <f t="shared" si="451"/>
        <v>72</v>
      </c>
      <c r="AT857" s="56">
        <f t="shared" si="454"/>
        <v>854</v>
      </c>
      <c r="AU857" s="57">
        <f t="shared" si="455"/>
        <v>1.5498096568675925E-2</v>
      </c>
      <c r="AV857" s="58">
        <f t="shared" si="452"/>
        <v>4.8675505653430484E-3</v>
      </c>
      <c r="AW857" s="59">
        <f t="shared" si="453"/>
        <v>1.004867550565343</v>
      </c>
      <c r="AX857" s="60">
        <f>PRODUCT(AW$4:AW857)</f>
        <v>63.231586423870745</v>
      </c>
    </row>
    <row r="858" spans="45:50">
      <c r="AS858" s="55">
        <f t="shared" si="451"/>
        <v>72</v>
      </c>
      <c r="AT858" s="56">
        <f t="shared" si="454"/>
        <v>855</v>
      </c>
      <c r="AU858" s="57">
        <f t="shared" si="455"/>
        <v>1.5422658799961325E-2</v>
      </c>
      <c r="AV858" s="58">
        <f t="shared" si="452"/>
        <v>4.8675505653430484E-3</v>
      </c>
      <c r="AW858" s="59">
        <f t="shared" si="453"/>
        <v>1.004867550565343</v>
      </c>
      <c r="AX858" s="60">
        <f>PRODUCT(AW$4:AW858)</f>
        <v>63.539369368115793</v>
      </c>
    </row>
    <row r="859" spans="45:50">
      <c r="AS859" s="55">
        <f t="shared" si="451"/>
        <v>72</v>
      </c>
      <c r="AT859" s="56">
        <f t="shared" si="454"/>
        <v>856</v>
      </c>
      <c r="AU859" s="57">
        <f t="shared" si="455"/>
        <v>1.534758822840048E-2</v>
      </c>
      <c r="AV859" s="58">
        <f t="shared" si="452"/>
        <v>4.8675505653430484E-3</v>
      </c>
      <c r="AW859" s="59">
        <f t="shared" si="453"/>
        <v>1.004867550565343</v>
      </c>
      <c r="AX859" s="60">
        <f>PRODUCT(AW$4:AW859)</f>
        <v>63.848650461405107</v>
      </c>
    </row>
    <row r="860" spans="45:50">
      <c r="AS860" s="55">
        <f t="shared" si="451"/>
        <v>72</v>
      </c>
      <c r="AT860" s="56">
        <f t="shared" si="454"/>
        <v>857</v>
      </c>
      <c r="AU860" s="57">
        <f t="shared" si="455"/>
        <v>1.5272883066642677E-2</v>
      </c>
      <c r="AV860" s="58">
        <f t="shared" si="452"/>
        <v>4.8675505653430484E-3</v>
      </c>
      <c r="AW860" s="59">
        <f t="shared" si="453"/>
        <v>1.004867550565343</v>
      </c>
      <c r="AX860" s="60">
        <f>PRODUCT(AW$4:AW860)</f>
        <v>64.159436996054907</v>
      </c>
    </row>
    <row r="861" spans="45:50">
      <c r="AS861" s="55">
        <f t="shared" si="451"/>
        <v>72</v>
      </c>
      <c r="AT861" s="56">
        <f t="shared" si="454"/>
        <v>858</v>
      </c>
      <c r="AU861" s="57">
        <f t="shared" si="455"/>
        <v>1.5198541536037223E-2</v>
      </c>
      <c r="AV861" s="58">
        <f t="shared" si="452"/>
        <v>4.8675505653430484E-3</v>
      </c>
      <c r="AW861" s="59">
        <f t="shared" si="453"/>
        <v>1.004867550565343</v>
      </c>
      <c r="AX861" s="60">
        <f>PRODUCT(AW$4:AW861)</f>
        <v>64.471736299877151</v>
      </c>
    </row>
    <row r="862" spans="45:50">
      <c r="AS862" s="55">
        <f t="shared" si="451"/>
        <v>72</v>
      </c>
      <c r="AT862" s="56">
        <f t="shared" si="454"/>
        <v>859</v>
      </c>
      <c r="AU862" s="57">
        <f t="shared" si="455"/>
        <v>1.5124561866591096E-2</v>
      </c>
      <c r="AV862" s="58">
        <f t="shared" si="452"/>
        <v>4.8675505653430484E-3</v>
      </c>
      <c r="AW862" s="59">
        <f t="shared" si="453"/>
        <v>1.004867550565343</v>
      </c>
      <c r="AX862" s="60">
        <f>PRODUCT(AW$4:AW862)</f>
        <v>64.785555736352265</v>
      </c>
    </row>
    <row r="863" spans="45:50">
      <c r="AS863" s="55">
        <f t="shared" si="451"/>
        <v>72</v>
      </c>
      <c r="AT863" s="56">
        <f t="shared" si="454"/>
        <v>860</v>
      </c>
      <c r="AU863" s="57">
        <f t="shared" si="455"/>
        <v>1.5050942296926804E-2</v>
      </c>
      <c r="AV863" s="58">
        <f t="shared" si="452"/>
        <v>4.8675505653430484E-3</v>
      </c>
      <c r="AW863" s="59">
        <f t="shared" si="453"/>
        <v>1.004867550565343</v>
      </c>
      <c r="AX863" s="60">
        <f>PRODUCT(AW$4:AW863)</f>
        <v>65.100902704802806</v>
      </c>
    </row>
    <row r="864" spans="45:50">
      <c r="AS864" s="55">
        <f t="shared" si="451"/>
        <v>72</v>
      </c>
      <c r="AT864" s="56">
        <f t="shared" si="454"/>
        <v>861</v>
      </c>
      <c r="AU864" s="57">
        <f t="shared" si="455"/>
        <v>1.4977681074240452E-2</v>
      </c>
      <c r="AV864" s="58">
        <f t="shared" si="452"/>
        <v>4.8675505653430484E-3</v>
      </c>
      <c r="AW864" s="59">
        <f t="shared" si="453"/>
        <v>1.004867550565343</v>
      </c>
      <c r="AX864" s="60">
        <f>PRODUCT(AW$4:AW864)</f>
        <v>65.417784640567916</v>
      </c>
    </row>
    <row r="865" spans="45:50">
      <c r="AS865" s="55">
        <f t="shared" si="451"/>
        <v>72</v>
      </c>
      <c r="AT865" s="56">
        <f t="shared" si="454"/>
        <v>862</v>
      </c>
      <c r="AU865" s="57">
        <f t="shared" si="455"/>
        <v>1.4904776454260004E-2</v>
      </c>
      <c r="AV865" s="58">
        <f t="shared" si="452"/>
        <v>4.8675505653430484E-3</v>
      </c>
      <c r="AW865" s="59">
        <f t="shared" si="453"/>
        <v>1.004867550565343</v>
      </c>
      <c r="AX865" s="60">
        <f>PRODUCT(AW$4:AW865)</f>
        <v>65.736209015178602</v>
      </c>
    </row>
    <row r="866" spans="45:50">
      <c r="AS866" s="55">
        <f t="shared" si="451"/>
        <v>72</v>
      </c>
      <c r="AT866" s="56">
        <f t="shared" si="454"/>
        <v>863</v>
      </c>
      <c r="AU866" s="57">
        <f t="shared" si="455"/>
        <v>1.4832226701203759E-2</v>
      </c>
      <c r="AV866" s="58">
        <f t="shared" si="452"/>
        <v>4.8675505653430484E-3</v>
      </c>
      <c r="AW866" s="59">
        <f t="shared" si="453"/>
        <v>1.004867550565343</v>
      </c>
      <c r="AX866" s="60">
        <f>PRODUCT(AW$4:AW866)</f>
        <v>66.056183336533948</v>
      </c>
    </row>
    <row r="867" spans="45:50">
      <c r="AS867" s="55">
        <f t="shared" si="451"/>
        <v>72</v>
      </c>
      <c r="AT867" s="56">
        <f t="shared" si="454"/>
        <v>864</v>
      </c>
      <c r="AU867" s="57">
        <f t="shared" si="455"/>
        <v>1.4760030087739018E-2</v>
      </c>
      <c r="AV867" s="58">
        <f t="shared" si="452"/>
        <v>4.8675505653430484E-3</v>
      </c>
      <c r="AW867" s="59">
        <f t="shared" si="453"/>
        <v>1.004867550565343</v>
      </c>
      <c r="AX867" s="60">
        <f>PRODUCT(AW$4:AW867)</f>
        <v>66.377715149078099</v>
      </c>
    </row>
    <row r="868" spans="45:50">
      <c r="AS868" s="55">
        <f t="shared" si="451"/>
        <v>73</v>
      </c>
      <c r="AT868" s="56">
        <f t="shared" si="454"/>
        <v>865</v>
      </c>
      <c r="AU868" s="57">
        <f t="shared" si="455"/>
        <v>1.4688184894940963E-2</v>
      </c>
      <c r="AV868" s="58">
        <f t="shared" si="452"/>
        <v>4.8675505653430484E-3</v>
      </c>
      <c r="AW868" s="59">
        <f t="shared" si="453"/>
        <v>1.004867550565343</v>
      </c>
      <c r="AX868" s="60">
        <f>PRODUCT(AW$4:AW868)</f>
        <v>66.700812033978181</v>
      </c>
    </row>
    <row r="869" spans="45:50">
      <c r="AS869" s="55">
        <f t="shared" si="451"/>
        <v>73</v>
      </c>
      <c r="AT869" s="56">
        <f t="shared" si="454"/>
        <v>866</v>
      </c>
      <c r="AU869" s="57">
        <f t="shared" si="455"/>
        <v>1.461668941225173E-2</v>
      </c>
      <c r="AV869" s="58">
        <f t="shared" si="452"/>
        <v>4.8675505653430484E-3</v>
      </c>
      <c r="AW869" s="59">
        <f t="shared" si="453"/>
        <v>1.004867550565343</v>
      </c>
      <c r="AX869" s="60">
        <f>PRODUCT(AW$4:AW869)</f>
        <v>67.025481609303014</v>
      </c>
    </row>
    <row r="870" spans="45:50">
      <c r="AS870" s="55">
        <f t="shared" si="451"/>
        <v>73</v>
      </c>
      <c r="AT870" s="56">
        <f t="shared" si="454"/>
        <v>867</v>
      </c>
      <c r="AU870" s="57">
        <f t="shared" si="455"/>
        <v>1.454554193743968E-2</v>
      </c>
      <c r="AV870" s="58">
        <f t="shared" si="452"/>
        <v>4.8675505653430484E-3</v>
      </c>
      <c r="AW870" s="59">
        <f t="shared" si="453"/>
        <v>1.004867550565343</v>
      </c>
      <c r="AX870" s="60">
        <f>PRODUCT(AW$4:AW870)</f>
        <v>67.35173153020277</v>
      </c>
    </row>
    <row r="871" spans="45:50">
      <c r="AS871" s="55">
        <f t="shared" si="451"/>
        <v>73</v>
      </c>
      <c r="AT871" s="56">
        <f t="shared" si="454"/>
        <v>868</v>
      </c>
      <c r="AU871" s="57">
        <f t="shared" si="455"/>
        <v>1.4474740776558874E-2</v>
      </c>
      <c r="AV871" s="58">
        <f t="shared" si="452"/>
        <v>4.8675505653430484E-3</v>
      </c>
      <c r="AW871" s="59">
        <f t="shared" si="453"/>
        <v>1.004867550565343</v>
      </c>
      <c r="AX871" s="60">
        <f>PRODUCT(AW$4:AW871)</f>
        <v>67.679569489089445</v>
      </c>
    </row>
    <row r="872" spans="45:50">
      <c r="AS872" s="55">
        <f t="shared" si="451"/>
        <v>73</v>
      </c>
      <c r="AT872" s="56">
        <f t="shared" si="454"/>
        <v>869</v>
      </c>
      <c r="AU872" s="57">
        <f t="shared" si="455"/>
        <v>1.440428424390874E-2</v>
      </c>
      <c r="AV872" s="58">
        <f t="shared" si="452"/>
        <v>4.8675505653430484E-3</v>
      </c>
      <c r="AW872" s="59">
        <f t="shared" si="453"/>
        <v>1.004867550565343</v>
      </c>
      <c r="AX872" s="60">
        <f>PRODUCT(AW$4:AW872)</f>
        <v>68.00900321581824</v>
      </c>
    </row>
    <row r="873" spans="45:50">
      <c r="AS873" s="55">
        <f t="shared" si="451"/>
        <v>73</v>
      </c>
      <c r="AT873" s="56">
        <f t="shared" si="454"/>
        <v>870</v>
      </c>
      <c r="AU873" s="57">
        <f t="shared" si="455"/>
        <v>1.4334170661993941E-2</v>
      </c>
      <c r="AV873" s="58">
        <f t="shared" si="452"/>
        <v>4.8675505653430484E-3</v>
      </c>
      <c r="AW873" s="59">
        <f t="shared" si="453"/>
        <v>1.004867550565343</v>
      </c>
      <c r="AX873" s="60">
        <f>PRODUCT(AW$4:AW873)</f>
        <v>68.340040477869806</v>
      </c>
    </row>
    <row r="874" spans="45:50">
      <c r="AS874" s="55">
        <f t="shared" si="451"/>
        <v>73</v>
      </c>
      <c r="AT874" s="56">
        <f t="shared" si="454"/>
        <v>871</v>
      </c>
      <c r="AU874" s="57">
        <f t="shared" si="455"/>
        <v>1.4264398361484429E-2</v>
      </c>
      <c r="AV874" s="58">
        <f t="shared" si="452"/>
        <v>4.8675505653430484E-3</v>
      </c>
      <c r="AW874" s="59">
        <f t="shared" si="453"/>
        <v>1.004867550565343</v>
      </c>
      <c r="AX874" s="60">
        <f>PRODUCT(AW$4:AW874)</f>
        <v>68.672689080533431</v>
      </c>
    </row>
    <row r="875" spans="45:50">
      <c r="AS875" s="55">
        <f t="shared" si="451"/>
        <v>73</v>
      </c>
      <c r="AT875" s="56">
        <f t="shared" si="454"/>
        <v>872</v>
      </c>
      <c r="AU875" s="57">
        <f t="shared" si="455"/>
        <v>1.4194965681175706E-2</v>
      </c>
      <c r="AV875" s="58">
        <f t="shared" si="452"/>
        <v>4.8675505653430484E-3</v>
      </c>
      <c r="AW875" s="59">
        <f t="shared" si="453"/>
        <v>1.004867550565343</v>
      </c>
      <c r="AX875" s="60">
        <f>PRODUCT(AW$4:AW875)</f>
        <v>69.006956867091006</v>
      </c>
    </row>
    <row r="876" spans="45:50">
      <c r="AS876" s="55">
        <f t="shared" si="451"/>
        <v>73</v>
      </c>
      <c r="AT876" s="56">
        <f t="shared" si="454"/>
        <v>873</v>
      </c>
      <c r="AU876" s="57">
        <f t="shared" si="455"/>
        <v>1.4125870967949275E-2</v>
      </c>
      <c r="AV876" s="58">
        <f t="shared" si="452"/>
        <v>4.8675505653430484E-3</v>
      </c>
      <c r="AW876" s="59">
        <f t="shared" si="453"/>
        <v>1.004867550565343</v>
      </c>
      <c r="AX876" s="60">
        <f>PRODUCT(AW$4:AW876)</f>
        <v>69.342851719002013</v>
      </c>
    </row>
    <row r="877" spans="45:50">
      <c r="AS877" s="55">
        <f t="shared" si="451"/>
        <v>73</v>
      </c>
      <c r="AT877" s="56">
        <f t="shared" si="454"/>
        <v>874</v>
      </c>
      <c r="AU877" s="57">
        <f t="shared" si="455"/>
        <v>1.4057112576733271E-2</v>
      </c>
      <c r="AV877" s="58">
        <f t="shared" si="452"/>
        <v>4.8675505653430484E-3</v>
      </c>
      <c r="AW877" s="59">
        <f t="shared" si="453"/>
        <v>1.004867550565343</v>
      </c>
      <c r="AX877" s="60">
        <f>PRODUCT(AW$4:AW877)</f>
        <v>69.680381556089344</v>
      </c>
    </row>
    <row r="878" spans="45:50">
      <c r="AS878" s="55">
        <f t="shared" si="451"/>
        <v>73</v>
      </c>
      <c r="AT878" s="56">
        <f t="shared" si="454"/>
        <v>875</v>
      </c>
      <c r="AU878" s="57">
        <f t="shared" si="455"/>
        <v>1.3988688870463301E-2</v>
      </c>
      <c r="AV878" s="58">
        <f t="shared" si="452"/>
        <v>4.8675505653430484E-3</v>
      </c>
      <c r="AW878" s="59">
        <f t="shared" si="453"/>
        <v>1.004867550565343</v>
      </c>
      <c r="AX878" s="60">
        <f>PRODUCT(AW$4:AW878)</f>
        <v>70.019554336726003</v>
      </c>
    </row>
    <row r="879" spans="45:50">
      <c r="AS879" s="55">
        <f t="shared" si="451"/>
        <v>73</v>
      </c>
      <c r="AT879" s="56">
        <f t="shared" si="454"/>
        <v>876</v>
      </c>
      <c r="AU879" s="57">
        <f t="shared" si="455"/>
        <v>1.3920598220043469E-2</v>
      </c>
      <c r="AV879" s="58">
        <f t="shared" si="452"/>
        <v>4.8675505653430484E-3</v>
      </c>
      <c r="AW879" s="59">
        <f t="shared" si="453"/>
        <v>1.004867550565343</v>
      </c>
      <c r="AX879" s="60">
        <f>PRODUCT(AW$4:AW879)</f>
        <v>70.360378058022803</v>
      </c>
    </row>
    <row r="880" spans="45:50">
      <c r="AS880" s="55">
        <f t="shared" si="451"/>
        <v>74</v>
      </c>
      <c r="AT880" s="56">
        <f t="shared" si="454"/>
        <v>877</v>
      </c>
      <c r="AU880" s="57">
        <f t="shared" si="455"/>
        <v>1.3852839004307583E-2</v>
      </c>
      <c r="AV880" s="58">
        <f t="shared" si="452"/>
        <v>4.8675505653430484E-3</v>
      </c>
      <c r="AW880" s="59">
        <f t="shared" si="453"/>
        <v>1.004867550565343</v>
      </c>
      <c r="AX880" s="60">
        <f>PRODUCT(AW$4:AW880)</f>
        <v>70.702860756016889</v>
      </c>
    </row>
    <row r="881" spans="45:50">
      <c r="AS881" s="55">
        <f t="shared" si="451"/>
        <v>74</v>
      </c>
      <c r="AT881" s="56">
        <f t="shared" si="454"/>
        <v>878</v>
      </c>
      <c r="AU881" s="57">
        <f t="shared" si="455"/>
        <v>1.3785409609980559E-2</v>
      </c>
      <c r="AV881" s="58">
        <f t="shared" si="452"/>
        <v>4.8675505653430484E-3</v>
      </c>
      <c r="AW881" s="59">
        <f t="shared" si="453"/>
        <v>1.004867550565343</v>
      </c>
      <c r="AX881" s="60">
        <f>PRODUCT(AW$4:AW881)</f>
        <v>71.047010505861209</v>
      </c>
    </row>
    <row r="882" spans="45:50">
      <c r="AS882" s="55">
        <f t="shared" si="451"/>
        <v>74</v>
      </c>
      <c r="AT882" s="56">
        <f t="shared" si="454"/>
        <v>879</v>
      </c>
      <c r="AU882" s="57">
        <f t="shared" si="455"/>
        <v>1.3718308431640012E-2</v>
      </c>
      <c r="AV882" s="58">
        <f t="shared" si="452"/>
        <v>4.8675505653430484E-3</v>
      </c>
      <c r="AW882" s="59">
        <f t="shared" si="453"/>
        <v>1.004867550565343</v>
      </c>
      <c r="AX882" s="60">
        <f>PRODUCT(AW$4:AW882)</f>
        <v>71.392835422014954</v>
      </c>
    </row>
    <row r="883" spans="45:50">
      <c r="AS883" s="55">
        <f t="shared" si="451"/>
        <v>74</v>
      </c>
      <c r="AT883" s="56">
        <f t="shared" si="454"/>
        <v>880</v>
      </c>
      <c r="AU883" s="57">
        <f t="shared" si="455"/>
        <v>1.3651533871678032E-2</v>
      </c>
      <c r="AV883" s="58">
        <f t="shared" si="452"/>
        <v>4.8675505653430484E-3</v>
      </c>
      <c r="AW883" s="59">
        <f t="shared" si="453"/>
        <v>1.004867550565343</v>
      </c>
      <c r="AX883" s="60">
        <f>PRODUCT(AW$4:AW883)</f>
        <v>71.740343658434824</v>
      </c>
    </row>
    <row r="884" spans="45:50">
      <c r="AS884" s="55">
        <f t="shared" si="451"/>
        <v>74</v>
      </c>
      <c r="AT884" s="56">
        <f t="shared" si="454"/>
        <v>881</v>
      </c>
      <c r="AU884" s="57">
        <f t="shared" si="455"/>
        <v>1.3585084340263147E-2</v>
      </c>
      <c r="AV884" s="58">
        <f t="shared" si="452"/>
        <v>4.8675505653430484E-3</v>
      </c>
      <c r="AW884" s="59">
        <f t="shared" si="453"/>
        <v>1.004867550565343</v>
      </c>
      <c r="AX884" s="60">
        <f>PRODUCT(AW$4:AW884)</f>
        <v>72.089543408767341</v>
      </c>
    </row>
    <row r="885" spans="45:50">
      <c r="AS885" s="55">
        <f t="shared" si="451"/>
        <v>74</v>
      </c>
      <c r="AT885" s="56">
        <f t="shared" si="454"/>
        <v>882</v>
      </c>
      <c r="AU885" s="57">
        <f t="shared" si="455"/>
        <v>1.3518958255302466E-2</v>
      </c>
      <c r="AV885" s="58">
        <f t="shared" si="452"/>
        <v>4.8675505653430484E-3</v>
      </c>
      <c r="AW885" s="59">
        <f t="shared" si="453"/>
        <v>1.004867550565343</v>
      </c>
      <c r="AX885" s="60">
        <f>PRODUCT(AW$4:AW885)</f>
        <v>72.440442906542003</v>
      </c>
    </row>
    <row r="886" spans="45:50">
      <c r="AS886" s="55">
        <f t="shared" si="451"/>
        <v>74</v>
      </c>
      <c r="AT886" s="56">
        <f t="shared" si="454"/>
        <v>883</v>
      </c>
      <c r="AU886" s="57">
        <f t="shared" si="455"/>
        <v>1.345315404240402E-2</v>
      </c>
      <c r="AV886" s="58">
        <f t="shared" si="452"/>
        <v>4.8675505653430484E-3</v>
      </c>
      <c r="AW886" s="59">
        <f t="shared" si="453"/>
        <v>1.004867550565343</v>
      </c>
      <c r="AX886" s="60">
        <f>PRODUCT(AW$4:AW886)</f>
        <v>72.793050425365436</v>
      </c>
    </row>
    <row r="887" spans="45:50">
      <c r="AS887" s="55">
        <f t="shared" si="451"/>
        <v>74</v>
      </c>
      <c r="AT887" s="56">
        <f t="shared" si="454"/>
        <v>884</v>
      </c>
      <c r="AU887" s="57">
        <f t="shared" si="455"/>
        <v>1.3387670134839269E-2</v>
      </c>
      <c r="AV887" s="58">
        <f t="shared" si="452"/>
        <v>4.8675505653430484E-3</v>
      </c>
      <c r="AW887" s="59">
        <f t="shared" si="453"/>
        <v>1.004867550565343</v>
      </c>
      <c r="AX887" s="60">
        <f>PRODUCT(AW$4:AW887)</f>
        <v>73.147374279116463</v>
      </c>
    </row>
    <row r="888" spans="45:50">
      <c r="AS888" s="55">
        <f t="shared" si="451"/>
        <v>74</v>
      </c>
      <c r="AT888" s="56">
        <f t="shared" si="454"/>
        <v>885</v>
      </c>
      <c r="AU888" s="57">
        <f t="shared" si="455"/>
        <v>1.3322504973505806E-2</v>
      </c>
      <c r="AV888" s="58">
        <f t="shared" si="452"/>
        <v>4.8675505653430484E-3</v>
      </c>
      <c r="AW888" s="59">
        <f t="shared" si="453"/>
        <v>1.004867550565343</v>
      </c>
      <c r="AX888" s="60">
        <f>PRODUCT(AW$4:AW888)</f>
        <v>73.503422822142142</v>
      </c>
    </row>
    <row r="889" spans="45:50">
      <c r="AS889" s="55">
        <f t="shared" si="451"/>
        <v>74</v>
      </c>
      <c r="AT889" s="56">
        <f t="shared" si="454"/>
        <v>886</v>
      </c>
      <c r="AU889" s="57">
        <f t="shared" si="455"/>
        <v>1.3257657006890232E-2</v>
      </c>
      <c r="AV889" s="58">
        <f t="shared" si="452"/>
        <v>4.8675505653430484E-3</v>
      </c>
      <c r="AW889" s="59">
        <f t="shared" si="453"/>
        <v>1.004867550565343</v>
      </c>
      <c r="AX889" s="60">
        <f>PRODUCT(AW$4:AW889)</f>
        <v>73.861204449454704</v>
      </c>
    </row>
    <row r="890" spans="45:50">
      <c r="AS890" s="55">
        <f t="shared" si="451"/>
        <v>74</v>
      </c>
      <c r="AT890" s="56">
        <f t="shared" si="454"/>
        <v>887</v>
      </c>
      <c r="AU890" s="57">
        <f t="shared" si="455"/>
        <v>1.3193124691031219E-2</v>
      </c>
      <c r="AV890" s="58">
        <f t="shared" si="452"/>
        <v>4.8675505653430484E-3</v>
      </c>
      <c r="AW890" s="59">
        <f t="shared" si="453"/>
        <v>1.004867550565343</v>
      </c>
      <c r="AX890" s="60">
        <f>PRODUCT(AW$4:AW890)</f>
        <v>74.220727596929564</v>
      </c>
    </row>
    <row r="891" spans="45:50">
      <c r="AS891" s="55">
        <f t="shared" si="451"/>
        <v>74</v>
      </c>
      <c r="AT891" s="56">
        <f t="shared" si="454"/>
        <v>888</v>
      </c>
      <c r="AU891" s="57">
        <f t="shared" si="455"/>
        <v>1.3128906489482749E-2</v>
      </c>
      <c r="AV891" s="58">
        <f t="shared" si="452"/>
        <v>4.8675505653430484E-3</v>
      </c>
      <c r="AW891" s="59">
        <f t="shared" si="453"/>
        <v>1.004867550565343</v>
      </c>
      <c r="AX891" s="60">
        <f>PRODUCT(AW$4:AW891)</f>
        <v>74.582000741504174</v>
      </c>
    </row>
    <row r="892" spans="45:50">
      <c r="AS892" s="55">
        <f t="shared" si="451"/>
        <v>75</v>
      </c>
      <c r="AT892" s="56">
        <f t="shared" si="454"/>
        <v>889</v>
      </c>
      <c r="AU892" s="57">
        <f t="shared" si="455"/>
        <v>1.306500087327753E-2</v>
      </c>
      <c r="AV892" s="58">
        <f t="shared" si="452"/>
        <v>4.8675505653430484E-3</v>
      </c>
      <c r="AW892" s="59">
        <f t="shared" si="453"/>
        <v>1.004867550565343</v>
      </c>
      <c r="AX892" s="60">
        <f>PRODUCT(AW$4:AW892)</f>
        <v>74.945032401377901</v>
      </c>
    </row>
    <row r="893" spans="45:50">
      <c r="AS893" s="55">
        <f t="shared" si="451"/>
        <v>75</v>
      </c>
      <c r="AT893" s="56">
        <f t="shared" si="454"/>
        <v>890</v>
      </c>
      <c r="AU893" s="57">
        <f t="shared" si="455"/>
        <v>1.3001406320890601E-2</v>
      </c>
      <c r="AV893" s="58">
        <f t="shared" si="452"/>
        <v>4.8675505653430484E-3</v>
      </c>
      <c r="AW893" s="59">
        <f t="shared" si="453"/>
        <v>1.004867550565343</v>
      </c>
      <c r="AX893" s="60">
        <f>PRODUCT(AW$4:AW893)</f>
        <v>75.309831136212878</v>
      </c>
    </row>
    <row r="894" spans="45:50">
      <c r="AS894" s="55">
        <f t="shared" si="451"/>
        <v>75</v>
      </c>
      <c r="AT894" s="56">
        <f t="shared" si="454"/>
        <v>891</v>
      </c>
      <c r="AU894" s="57">
        <f t="shared" si="455"/>
        <v>1.2938121318203094E-2</v>
      </c>
      <c r="AV894" s="58">
        <f t="shared" si="452"/>
        <v>4.8675505653430484E-3</v>
      </c>
      <c r="AW894" s="59">
        <f t="shared" si="453"/>
        <v>1.004867550565343</v>
      </c>
      <c r="AX894" s="60">
        <f>PRODUCT(AW$4:AW894)</f>
        <v>75.676405547335847</v>
      </c>
    </row>
    <row r="895" spans="45:50">
      <c r="AS895" s="55">
        <f t="shared" si="451"/>
        <v>75</v>
      </c>
      <c r="AT895" s="56">
        <f t="shared" si="454"/>
        <v>892</v>
      </c>
      <c r="AU895" s="57">
        <f t="shared" si="455"/>
        <v>1.2875144358466198E-2</v>
      </c>
      <c r="AV895" s="58">
        <f t="shared" si="452"/>
        <v>4.8675505653430484E-3</v>
      </c>
      <c r="AW895" s="59">
        <f t="shared" si="453"/>
        <v>1.004867550565343</v>
      </c>
      <c r="AX895" s="60">
        <f>PRODUCT(AW$4:AW895)</f>
        <v>76.044764277940914</v>
      </c>
    </row>
    <row r="896" spans="45:50">
      <c r="AS896" s="55">
        <f t="shared" si="451"/>
        <v>75</v>
      </c>
      <c r="AT896" s="56">
        <f t="shared" si="454"/>
        <v>893</v>
      </c>
      <c r="AU896" s="57">
        <f t="shared" si="455"/>
        <v>1.2812473942265272E-2</v>
      </c>
      <c r="AV896" s="58">
        <f t="shared" si="452"/>
        <v>4.8675505653430484E-3</v>
      </c>
      <c r="AW896" s="59">
        <f t="shared" si="453"/>
        <v>1.004867550565343</v>
      </c>
      <c r="AX896" s="60">
        <f>PRODUCT(AW$4:AW896)</f>
        <v>76.414916013293379</v>
      </c>
    </row>
    <row r="897" spans="45:50">
      <c r="AS897" s="55">
        <f t="shared" si="451"/>
        <v>75</v>
      </c>
      <c r="AT897" s="56">
        <f t="shared" si="454"/>
        <v>894</v>
      </c>
      <c r="AU897" s="57">
        <f t="shared" si="455"/>
        <v>1.2750108577484156E-2</v>
      </c>
      <c r="AV897" s="58">
        <f t="shared" si="452"/>
        <v>4.8675505653430484E-3</v>
      </c>
      <c r="AW897" s="59">
        <f t="shared" si="453"/>
        <v>1.004867550565343</v>
      </c>
      <c r="AX897" s="60">
        <f>PRODUCT(AW$4:AW897)</f>
        <v>76.786869480934527</v>
      </c>
    </row>
    <row r="898" spans="45:50">
      <c r="AS898" s="55">
        <f t="shared" si="451"/>
        <v>75</v>
      </c>
      <c r="AT898" s="56">
        <f t="shared" si="454"/>
        <v>895</v>
      </c>
      <c r="AU898" s="57">
        <f t="shared" si="455"/>
        <v>1.2688046779269638E-2</v>
      </c>
      <c r="AV898" s="58">
        <f t="shared" si="452"/>
        <v>4.8675505653430484E-3</v>
      </c>
      <c r="AW898" s="59">
        <f t="shared" si="453"/>
        <v>1.004867550565343</v>
      </c>
      <c r="AX898" s="60">
        <f>PRODUCT(AW$4:AW898)</f>
        <v>77.160633450887374</v>
      </c>
    </row>
    <row r="899" spans="45:50">
      <c r="AS899" s="55">
        <f t="shared" si="451"/>
        <v>75</v>
      </c>
      <c r="AT899" s="56">
        <f t="shared" si="454"/>
        <v>896</v>
      </c>
      <c r="AU899" s="57">
        <f t="shared" si="455"/>
        <v>1.2626287069996104E-2</v>
      </c>
      <c r="AV899" s="58">
        <f t="shared" si="452"/>
        <v>4.8675505653430484E-3</v>
      </c>
      <c r="AW899" s="59">
        <f t="shared" si="453"/>
        <v>1.004867550565343</v>
      </c>
      <c r="AX899" s="60">
        <f>PRODUCT(AW$4:AW899)</f>
        <v>77.536216735863462</v>
      </c>
    </row>
    <row r="900" spans="45:50">
      <c r="AS900" s="55">
        <f t="shared" si="451"/>
        <v>75</v>
      </c>
      <c r="AT900" s="56">
        <f t="shared" si="454"/>
        <v>897</v>
      </c>
      <c r="AU900" s="57">
        <f t="shared" si="455"/>
        <v>1.2564827979230361E-2</v>
      </c>
      <c r="AV900" s="58">
        <f t="shared" si="452"/>
        <v>4.8675505653430484E-3</v>
      </c>
      <c r="AW900" s="59">
        <f t="shared" si="453"/>
        <v>1.004867550565343</v>
      </c>
      <c r="AX900" s="60">
        <f>PRODUCT(AW$4:AW900)</f>
        <v>77.913628191470679</v>
      </c>
    </row>
    <row r="901" spans="45:50">
      <c r="AS901" s="55">
        <f t="shared" ref="AS901:AS964" si="456">ROUNDDOWN((AT901-1)/12,0)+1</f>
        <v>75</v>
      </c>
      <c r="AT901" s="56">
        <f t="shared" si="454"/>
        <v>898</v>
      </c>
      <c r="AU901" s="57">
        <f t="shared" si="455"/>
        <v>1.250366804369662E-2</v>
      </c>
      <c r="AV901" s="58">
        <f t="shared" ref="AV901:AV964" si="457">((1+$AV$1)^(1/12))-1</f>
        <v>4.8675505653430484E-3</v>
      </c>
      <c r="AW901" s="59">
        <f t="shared" ref="AW901:AW964" si="458">(1+AV901)</f>
        <v>1.004867550565343</v>
      </c>
      <c r="AX901" s="60">
        <f>PRODUCT(AW$4:AW901)</f>
        <v>78.292876716422001</v>
      </c>
    </row>
    <row r="902" spans="45:50">
      <c r="AS902" s="55">
        <f t="shared" si="456"/>
        <v>75</v>
      </c>
      <c r="AT902" s="56">
        <f t="shared" ref="AT902:AT965" si="459">AT901+1</f>
        <v>899</v>
      </c>
      <c r="AU902" s="57">
        <f t="shared" si="455"/>
        <v>1.2442805807241662E-2</v>
      </c>
      <c r="AV902" s="58">
        <f t="shared" si="457"/>
        <v>4.8675505653430484E-3</v>
      </c>
      <c r="AW902" s="59">
        <f t="shared" si="458"/>
        <v>1.004867550565343</v>
      </c>
      <c r="AX902" s="60">
        <f>PRODUCT(AW$4:AW902)</f>
        <v>78.673971252745361</v>
      </c>
    </row>
    <row r="903" spans="45:50">
      <c r="AS903" s="55">
        <f t="shared" si="456"/>
        <v>75</v>
      </c>
      <c r="AT903" s="56">
        <f t="shared" si="459"/>
        <v>900</v>
      </c>
      <c r="AU903" s="57">
        <f t="shared" si="455"/>
        <v>1.2382239820800169E-2</v>
      </c>
      <c r="AV903" s="58">
        <f t="shared" si="457"/>
        <v>4.8675505653430484E-3</v>
      </c>
      <c r="AW903" s="59">
        <f t="shared" si="458"/>
        <v>1.004867550565343</v>
      </c>
      <c r="AX903" s="60">
        <f>PRODUCT(AW$4:AW903)</f>
        <v>79.05692078599445</v>
      </c>
    </row>
    <row r="904" spans="45:50">
      <c r="AS904" s="55">
        <f t="shared" si="456"/>
        <v>76</v>
      </c>
      <c r="AT904" s="56">
        <f t="shared" si="459"/>
        <v>901</v>
      </c>
      <c r="AU904" s="57">
        <f t="shared" si="455"/>
        <v>1.232196864236022E-2</v>
      </c>
      <c r="AV904" s="58">
        <f t="shared" si="457"/>
        <v>4.8675505653430484E-3</v>
      </c>
      <c r="AW904" s="59">
        <f t="shared" si="458"/>
        <v>1.004867550565343</v>
      </c>
      <c r="AX904" s="60">
        <f>PRODUCT(AW$4:AW904)</f>
        <v>79.441734345460603</v>
      </c>
    </row>
    <row r="905" spans="45:50">
      <c r="AS905" s="55">
        <f t="shared" si="456"/>
        <v>76</v>
      </c>
      <c r="AT905" s="56">
        <f t="shared" si="459"/>
        <v>902</v>
      </c>
      <c r="AU905" s="57">
        <f t="shared" si="455"/>
        <v>1.2261990836928961E-2</v>
      </c>
      <c r="AV905" s="58">
        <f t="shared" si="457"/>
        <v>4.8675505653430484E-3</v>
      </c>
      <c r="AW905" s="59">
        <f t="shared" si="458"/>
        <v>1.004867550565343</v>
      </c>
      <c r="AX905" s="60">
        <f>PRODUCT(AW$4:AW905)</f>
        <v>79.828421004385675</v>
      </c>
    </row>
    <row r="906" spans="45:50">
      <c r="AS906" s="55">
        <f t="shared" si="456"/>
        <v>76</v>
      </c>
      <c r="AT906" s="56">
        <f t="shared" si="459"/>
        <v>903</v>
      </c>
      <c r="AU906" s="57">
        <f t="shared" si="455"/>
        <v>1.2202304976498437E-2</v>
      </c>
      <c r="AV906" s="58">
        <f t="shared" si="457"/>
        <v>4.8675505653430484E-3</v>
      </c>
      <c r="AW906" s="59">
        <f t="shared" si="458"/>
        <v>1.004867550565343</v>
      </c>
      <c r="AX906" s="60">
        <f>PRODUCT(AW$4:AW906)</f>
        <v>80.216989880176016</v>
      </c>
    </row>
    <row r="907" spans="45:50">
      <c r="AS907" s="55">
        <f t="shared" si="456"/>
        <v>76</v>
      </c>
      <c r="AT907" s="56">
        <f t="shared" si="459"/>
        <v>904</v>
      </c>
      <c r="AU907" s="57">
        <f t="shared" si="455"/>
        <v>1.2142909640011593E-2</v>
      </c>
      <c r="AV907" s="58">
        <f t="shared" si="457"/>
        <v>4.8675505653430484E-3</v>
      </c>
      <c r="AW907" s="59">
        <f t="shared" si="458"/>
        <v>1.004867550565343</v>
      </c>
      <c r="AX907" s="60">
        <f>PRODUCT(AW$4:AW907)</f>
        <v>80.60745013461738</v>
      </c>
    </row>
    <row r="908" spans="45:50">
      <c r="AS908" s="55">
        <f t="shared" si="456"/>
        <v>76</v>
      </c>
      <c r="AT908" s="56">
        <f t="shared" si="459"/>
        <v>905</v>
      </c>
      <c r="AU908" s="57">
        <f t="shared" si="455"/>
        <v>1.2083803413328445E-2</v>
      </c>
      <c r="AV908" s="58">
        <f t="shared" si="457"/>
        <v>4.8675505653430484E-3</v>
      </c>
      <c r="AW908" s="59">
        <f t="shared" si="458"/>
        <v>1.004867550565343</v>
      </c>
      <c r="AX908" s="60">
        <f>PRODUCT(AW$4:AW908)</f>
        <v>80.999810974091005</v>
      </c>
    </row>
    <row r="909" spans="45:50">
      <c r="AS909" s="55">
        <f t="shared" si="456"/>
        <v>76</v>
      </c>
      <c r="AT909" s="56">
        <f t="shared" si="459"/>
        <v>906</v>
      </c>
      <c r="AU909" s="57">
        <f t="shared" si="455"/>
        <v>1.2024984889192404E-2</v>
      </c>
      <c r="AV909" s="58">
        <f t="shared" si="457"/>
        <v>4.8675505653430484E-3</v>
      </c>
      <c r="AW909" s="59">
        <f t="shared" si="458"/>
        <v>1.004867550565343</v>
      </c>
      <c r="AX909" s="60">
        <f>PRODUCT(AW$4:AW909)</f>
        <v>81.394081649790621</v>
      </c>
    </row>
    <row r="910" spans="45:50">
      <c r="AS910" s="55">
        <f t="shared" si="456"/>
        <v>76</v>
      </c>
      <c r="AT910" s="56">
        <f t="shared" si="459"/>
        <v>907</v>
      </c>
      <c r="AU910" s="57">
        <f t="shared" si="455"/>
        <v>1.1966452667196774E-2</v>
      </c>
      <c r="AV910" s="58">
        <f t="shared" si="457"/>
        <v>4.8675505653430484E-3</v>
      </c>
      <c r="AW910" s="59">
        <f t="shared" si="458"/>
        <v>1.004867550565343</v>
      </c>
      <c r="AX910" s="60">
        <f>PRODUCT(AW$4:AW910)</f>
        <v>81.790271457940634</v>
      </c>
    </row>
    <row r="911" spans="45:50">
      <c r="AS911" s="55">
        <f t="shared" si="456"/>
        <v>76</v>
      </c>
      <c r="AT911" s="56">
        <f t="shared" si="459"/>
        <v>908</v>
      </c>
      <c r="AU911" s="57">
        <f t="shared" si="455"/>
        <v>1.190820535375141E-2</v>
      </c>
      <c r="AV911" s="58">
        <f t="shared" si="457"/>
        <v>4.8675505653430484E-3</v>
      </c>
      <c r="AW911" s="59">
        <f t="shared" si="458"/>
        <v>1.004867550565343</v>
      </c>
      <c r="AX911" s="60">
        <f>PRODUCT(AW$4:AW911)</f>
        <v>82.188389740015296</v>
      </c>
    </row>
    <row r="912" spans="45:50">
      <c r="AS912" s="55">
        <f t="shared" si="456"/>
        <v>76</v>
      </c>
      <c r="AT912" s="56">
        <f t="shared" si="459"/>
        <v>909</v>
      </c>
      <c r="AU912" s="57">
        <f t="shared" si="455"/>
        <v>1.1850241562049536E-2</v>
      </c>
      <c r="AV912" s="58">
        <f t="shared" si="457"/>
        <v>4.8675505653430484E-3</v>
      </c>
      <c r="AW912" s="59">
        <f t="shared" si="458"/>
        <v>1.004867550565343</v>
      </c>
      <c r="AX912" s="60">
        <f>PRODUCT(AW$4:AW912)</f>
        <v>82.588445882958936</v>
      </c>
    </row>
    <row r="913" spans="45:50">
      <c r="AS913" s="55">
        <f t="shared" si="456"/>
        <v>76</v>
      </c>
      <c r="AT913" s="56">
        <f t="shared" si="459"/>
        <v>910</v>
      </c>
      <c r="AU913" s="57">
        <f t="shared" si="455"/>
        <v>1.179255991203473E-2</v>
      </c>
      <c r="AV913" s="58">
        <f t="shared" si="457"/>
        <v>4.8675505653430484E-3</v>
      </c>
      <c r="AW913" s="59">
        <f t="shared" si="458"/>
        <v>1.004867550565343</v>
      </c>
      <c r="AX913" s="60">
        <f>PRODUCT(AW$4:AW913)</f>
        <v>82.990449319407332</v>
      </c>
    </row>
    <row r="914" spans="45:50">
      <c r="AS914" s="55">
        <f t="shared" si="456"/>
        <v>76</v>
      </c>
      <c r="AT914" s="56">
        <f t="shared" si="459"/>
        <v>911</v>
      </c>
      <c r="AU914" s="57">
        <f t="shared" si="455"/>
        <v>1.1735159030368064E-2</v>
      </c>
      <c r="AV914" s="58">
        <f t="shared" si="457"/>
        <v>4.8675505653430484E-3</v>
      </c>
      <c r="AW914" s="59">
        <f t="shared" si="458"/>
        <v>1.004867550565343</v>
      </c>
      <c r="AX914" s="60">
        <f>PRODUCT(AW$4:AW914)</f>
        <v>83.394409527910085</v>
      </c>
    </row>
    <row r="915" spans="45:50">
      <c r="AS915" s="55">
        <f t="shared" si="456"/>
        <v>76</v>
      </c>
      <c r="AT915" s="56">
        <f t="shared" si="459"/>
        <v>912</v>
      </c>
      <c r="AU915" s="57">
        <f t="shared" si="455"/>
        <v>1.1678037550395405E-2</v>
      </c>
      <c r="AV915" s="58">
        <f t="shared" si="457"/>
        <v>4.8675505653430484E-3</v>
      </c>
      <c r="AW915" s="59">
        <f t="shared" si="458"/>
        <v>1.004867550565343</v>
      </c>
      <c r="AX915" s="60">
        <f>PRODUCT(AW$4:AW915)</f>
        <v>83.80033603315411</v>
      </c>
    </row>
    <row r="916" spans="45:50">
      <c r="AS916" s="55">
        <f t="shared" si="456"/>
        <v>77</v>
      </c>
      <c r="AT916" s="56">
        <f t="shared" si="459"/>
        <v>913</v>
      </c>
      <c r="AU916" s="57">
        <f t="shared" si="455"/>
        <v>1.1621194112114881E-2</v>
      </c>
      <c r="AV916" s="58">
        <f t="shared" si="457"/>
        <v>4.8675505653430484E-3</v>
      </c>
      <c r="AW916" s="59">
        <f t="shared" si="458"/>
        <v>1.004867550565343</v>
      </c>
      <c r="AX916" s="60">
        <f>PRODUCT(AW$4:AW916)</f>
        <v>84.208238406188229</v>
      </c>
    </row>
    <row r="917" spans="45:50">
      <c r="AS917" s="55">
        <f t="shared" si="456"/>
        <v>77</v>
      </c>
      <c r="AT917" s="56">
        <f t="shared" si="459"/>
        <v>914</v>
      </c>
      <c r="AU917" s="57">
        <f t="shared" si="455"/>
        <v>1.1564627362144496E-2</v>
      </c>
      <c r="AV917" s="58">
        <f t="shared" si="457"/>
        <v>4.8675505653430484E-3</v>
      </c>
      <c r="AW917" s="59">
        <f t="shared" si="458"/>
        <v>1.004867550565343</v>
      </c>
      <c r="AX917" s="60">
        <f>PRODUCT(AW$4:AW917)</f>
        <v>84.618126264648808</v>
      </c>
    </row>
    <row r="918" spans="45:50">
      <c r="AS918" s="55">
        <f t="shared" si="456"/>
        <v>77</v>
      </c>
      <c r="AT918" s="56">
        <f t="shared" si="459"/>
        <v>915</v>
      </c>
      <c r="AU918" s="57">
        <f t="shared" si="455"/>
        <v>1.1508335953689908E-2</v>
      </c>
      <c r="AV918" s="58">
        <f t="shared" si="457"/>
        <v>4.8675505653430484E-3</v>
      </c>
      <c r="AW918" s="59">
        <f t="shared" si="458"/>
        <v>1.004867550565343</v>
      </c>
      <c r="AX918" s="60">
        <f>PRODUCT(AW$4:AW918)</f>
        <v>85.030009272986575</v>
      </c>
    </row>
    <row r="919" spans="45:50">
      <c r="AS919" s="55">
        <f t="shared" si="456"/>
        <v>77</v>
      </c>
      <c r="AT919" s="56">
        <f t="shared" si="459"/>
        <v>916</v>
      </c>
      <c r="AU919" s="57">
        <f t="shared" ref="AU919:AU982" si="460">(1-AV919)*AU918</f>
        <v>1.1452318546512366E-2</v>
      </c>
      <c r="AV919" s="58">
        <f t="shared" si="457"/>
        <v>4.8675505653430484E-3</v>
      </c>
      <c r="AW919" s="59">
        <f t="shared" si="458"/>
        <v>1.004867550565343</v>
      </c>
      <c r="AX919" s="60">
        <f>PRODUCT(AW$4:AW919)</f>
        <v>85.443897142694425</v>
      </c>
    </row>
    <row r="920" spans="45:50">
      <c r="AS920" s="55">
        <f t="shared" si="456"/>
        <v>77</v>
      </c>
      <c r="AT920" s="56">
        <f t="shared" si="459"/>
        <v>917</v>
      </c>
      <c r="AU920" s="57">
        <f t="shared" si="460"/>
        <v>1.1396573806896801E-2</v>
      </c>
      <c r="AV920" s="58">
        <f t="shared" si="457"/>
        <v>4.8675505653430484E-3</v>
      </c>
      <c r="AW920" s="59">
        <f t="shared" si="458"/>
        <v>1.004867550565343</v>
      </c>
      <c r="AX920" s="60">
        <f>PRODUCT(AW$4:AW920)</f>
        <v>85.859799632536465</v>
      </c>
    </row>
    <row r="921" spans="45:50">
      <c r="AS921" s="55">
        <f t="shared" si="456"/>
        <v>77</v>
      </c>
      <c r="AT921" s="56">
        <f t="shared" si="459"/>
        <v>918</v>
      </c>
      <c r="AU921" s="57">
        <f t="shared" si="460"/>
        <v>1.1341100407620068E-2</v>
      </c>
      <c r="AV921" s="58">
        <f t="shared" si="457"/>
        <v>4.8675505653430484E-3</v>
      </c>
      <c r="AW921" s="59">
        <f t="shared" si="458"/>
        <v>1.004867550565343</v>
      </c>
      <c r="AX921" s="60">
        <f>PRODUCT(AW$4:AW921)</f>
        <v>86.277726548778062</v>
      </c>
    </row>
    <row r="922" spans="45:50">
      <c r="AS922" s="55">
        <f t="shared" si="456"/>
        <v>77</v>
      </c>
      <c r="AT922" s="56">
        <f t="shared" si="459"/>
        <v>919</v>
      </c>
      <c r="AU922" s="57">
        <f t="shared" si="460"/>
        <v>1.1285897027919344E-2</v>
      </c>
      <c r="AV922" s="58">
        <f t="shared" si="457"/>
        <v>4.8675505653430484E-3</v>
      </c>
      <c r="AW922" s="59">
        <f t="shared" si="458"/>
        <v>1.004867550565343</v>
      </c>
      <c r="AX922" s="60">
        <f>PRODUCT(AW$4:AW922)</f>
        <v>86.697687745417085</v>
      </c>
    </row>
    <row r="923" spans="45:50">
      <c r="AS923" s="55">
        <f t="shared" si="456"/>
        <v>77</v>
      </c>
      <c r="AT923" s="56">
        <f t="shared" si="459"/>
        <v>920</v>
      </c>
      <c r="AU923" s="57">
        <f t="shared" si="460"/>
        <v>1.1230962353460692E-2</v>
      </c>
      <c r="AV923" s="58">
        <f t="shared" si="457"/>
        <v>4.8675505653430484E-3</v>
      </c>
      <c r="AW923" s="59">
        <f t="shared" si="458"/>
        <v>1.004867550565343</v>
      </c>
      <c r="AX923" s="60">
        <f>PRODUCT(AW$4:AW923)</f>
        <v>87.11969312441623</v>
      </c>
    </row>
    <row r="924" spans="45:50">
      <c r="AS924" s="55">
        <f t="shared" si="456"/>
        <v>77</v>
      </c>
      <c r="AT924" s="56">
        <f t="shared" si="459"/>
        <v>921</v>
      </c>
      <c r="AU924" s="57">
        <f t="shared" si="460"/>
        <v>1.1176295076307758E-2</v>
      </c>
      <c r="AV924" s="58">
        <f t="shared" si="457"/>
        <v>4.8675505653430484E-3</v>
      </c>
      <c r="AW924" s="59">
        <f t="shared" si="458"/>
        <v>1.004867550565343</v>
      </c>
      <c r="AX924" s="60">
        <f>PRODUCT(AW$4:AW924)</f>
        <v>87.543752635936499</v>
      </c>
    </row>
    <row r="925" spans="45:50">
      <c r="AS925" s="55">
        <f t="shared" si="456"/>
        <v>77</v>
      </c>
      <c r="AT925" s="56">
        <f t="shared" si="459"/>
        <v>922</v>
      </c>
      <c r="AU925" s="57">
        <f t="shared" si="460"/>
        <v>1.1121893894890636E-2</v>
      </c>
      <c r="AV925" s="58">
        <f t="shared" si="457"/>
        <v>4.8675505653430484E-3</v>
      </c>
      <c r="AW925" s="59">
        <f t="shared" si="458"/>
        <v>1.004867550565343</v>
      </c>
      <c r="AX925" s="60">
        <f>PRODUCT(AW$4:AW925)</f>
        <v>87.969876278571803</v>
      </c>
    </row>
    <row r="926" spans="45:50">
      <c r="AS926" s="55">
        <f t="shared" si="456"/>
        <v>77</v>
      </c>
      <c r="AT926" s="56">
        <f t="shared" si="459"/>
        <v>923</v>
      </c>
      <c r="AU926" s="57">
        <f t="shared" si="460"/>
        <v>1.1067757513974876E-2</v>
      </c>
      <c r="AV926" s="58">
        <f t="shared" si="457"/>
        <v>4.8675505653430484E-3</v>
      </c>
      <c r="AW926" s="59">
        <f t="shared" si="458"/>
        <v>1.004867550565343</v>
      </c>
      <c r="AX926" s="60">
        <f>PRODUCT(AW$4:AW926)</f>
        <v>88.398074099584719</v>
      </c>
    </row>
    <row r="927" spans="45:50">
      <c r="AS927" s="55">
        <f t="shared" si="456"/>
        <v>77</v>
      </c>
      <c r="AT927" s="56">
        <f t="shared" si="459"/>
        <v>924</v>
      </c>
      <c r="AU927" s="57">
        <f t="shared" si="460"/>
        <v>1.1013884644630647E-2</v>
      </c>
      <c r="AV927" s="58">
        <f t="shared" si="457"/>
        <v>4.8675505653430484E-3</v>
      </c>
      <c r="AW927" s="59">
        <f t="shared" si="458"/>
        <v>1.004867550565343</v>
      </c>
      <c r="AX927" s="60">
        <f>PRODUCT(AW$4:AW927)</f>
        <v>88.828356195143385</v>
      </c>
    </row>
    <row r="928" spans="45:50">
      <c r="AS928" s="55">
        <f t="shared" si="456"/>
        <v>78</v>
      </c>
      <c r="AT928" s="56">
        <f t="shared" si="459"/>
        <v>925</v>
      </c>
      <c r="AU928" s="57">
        <f t="shared" si="460"/>
        <v>1.0960274004202053E-2</v>
      </c>
      <c r="AV928" s="58">
        <f t="shared" si="457"/>
        <v>4.8675505653430484E-3</v>
      </c>
      <c r="AW928" s="59">
        <f t="shared" si="458"/>
        <v>1.004867550565343</v>
      </c>
      <c r="AX928" s="60">
        <f>PRODUCT(AW$4:AW928)</f>
        <v>89.260732710559552</v>
      </c>
    </row>
    <row r="929" spans="45:50">
      <c r="AS929" s="55">
        <f t="shared" si="456"/>
        <v>78</v>
      </c>
      <c r="AT929" s="56">
        <f t="shared" si="459"/>
        <v>926</v>
      </c>
      <c r="AU929" s="57">
        <f t="shared" si="460"/>
        <v>1.0906924316276585E-2</v>
      </c>
      <c r="AV929" s="58">
        <f t="shared" si="457"/>
        <v>4.8675505653430484E-3</v>
      </c>
      <c r="AW929" s="59">
        <f t="shared" si="458"/>
        <v>1.004867550565343</v>
      </c>
      <c r="AX929" s="60">
        <f>PRODUCT(AW$4:AW929)</f>
        <v>89.695213840527771</v>
      </c>
    </row>
    <row r="930" spans="45:50">
      <c r="AS930" s="55">
        <f t="shared" si="456"/>
        <v>78</v>
      </c>
      <c r="AT930" s="56">
        <f t="shared" si="459"/>
        <v>927</v>
      </c>
      <c r="AU930" s="57">
        <f t="shared" si="460"/>
        <v>1.0853834310654739E-2</v>
      </c>
      <c r="AV930" s="58">
        <f t="shared" si="457"/>
        <v>4.8675505653430484E-3</v>
      </c>
      <c r="AW930" s="59">
        <f t="shared" si="458"/>
        <v>1.004867550565343</v>
      </c>
      <c r="AX930" s="60">
        <f>PRODUCT(AW$4:AW930)</f>
        <v>90.131809829365793</v>
      </c>
    </row>
    <row r="931" spans="45:50">
      <c r="AS931" s="55">
        <f t="shared" si="456"/>
        <v>78</v>
      </c>
      <c r="AT931" s="56">
        <f t="shared" si="459"/>
        <v>928</v>
      </c>
      <c r="AU931" s="57">
        <f t="shared" si="460"/>
        <v>1.0801002723319773E-2</v>
      </c>
      <c r="AV931" s="58">
        <f t="shared" si="457"/>
        <v>4.8675505653430484E-3</v>
      </c>
      <c r="AW931" s="59">
        <f t="shared" si="458"/>
        <v>1.004867550565343</v>
      </c>
      <c r="AX931" s="60">
        <f>PRODUCT(AW$4:AW931)</f>
        <v>90.570530971256119</v>
      </c>
    </row>
    <row r="932" spans="45:50">
      <c r="AS932" s="55">
        <f t="shared" si="456"/>
        <v>78</v>
      </c>
      <c r="AT932" s="56">
        <f t="shared" si="459"/>
        <v>929</v>
      </c>
      <c r="AU932" s="57">
        <f t="shared" si="460"/>
        <v>1.0748428296407606E-2</v>
      </c>
      <c r="AV932" s="58">
        <f t="shared" si="457"/>
        <v>4.8675505653430484E-3</v>
      </c>
      <c r="AW932" s="59">
        <f t="shared" si="458"/>
        <v>1.004867550565343</v>
      </c>
      <c r="AX932" s="60">
        <f>PRODUCT(AW$4:AW932)</f>
        <v>91.011387610488683</v>
      </c>
    </row>
    <row r="933" spans="45:50">
      <c r="AS933" s="55">
        <f t="shared" si="456"/>
        <v>78</v>
      </c>
      <c r="AT933" s="56">
        <f t="shared" si="459"/>
        <v>930</v>
      </c>
      <c r="AU933" s="57">
        <f t="shared" si="460"/>
        <v>1.0696109778176878E-2</v>
      </c>
      <c r="AV933" s="58">
        <f t="shared" si="457"/>
        <v>4.8675505653430484E-3</v>
      </c>
      <c r="AW933" s="59">
        <f t="shared" si="458"/>
        <v>1.004867550565343</v>
      </c>
      <c r="AX933" s="60">
        <f>PRODUCT(AW$4:AW933)</f>
        <v>91.454390141704778</v>
      </c>
    </row>
    <row r="934" spans="45:50">
      <c r="AS934" s="55">
        <f t="shared" si="456"/>
        <v>78</v>
      </c>
      <c r="AT934" s="56">
        <f t="shared" si="459"/>
        <v>931</v>
      </c>
      <c r="AU934" s="57">
        <f t="shared" si="460"/>
        <v>1.0644045922979142E-2</v>
      </c>
      <c r="AV934" s="58">
        <f t="shared" si="457"/>
        <v>4.8675505653430484E-3</v>
      </c>
      <c r="AW934" s="59">
        <f t="shared" si="458"/>
        <v>1.004867550565343</v>
      </c>
      <c r="AX934" s="60">
        <f>PRODUCT(AW$4:AW934)</f>
        <v>91.899549010142138</v>
      </c>
    </row>
    <row r="935" spans="45:50">
      <c r="AS935" s="55">
        <f t="shared" si="456"/>
        <v>78</v>
      </c>
      <c r="AT935" s="56">
        <f t="shared" si="459"/>
        <v>932</v>
      </c>
      <c r="AU935" s="57">
        <f t="shared" si="460"/>
        <v>1.0592235491229209E-2</v>
      </c>
      <c r="AV935" s="58">
        <f t="shared" si="457"/>
        <v>4.8675505653430484E-3</v>
      </c>
      <c r="AW935" s="59">
        <f t="shared" si="458"/>
        <v>1.004867550565343</v>
      </c>
      <c r="AX935" s="60">
        <f>PRODUCT(AW$4:AW935)</f>
        <v>92.346874711881227</v>
      </c>
    </row>
    <row r="936" spans="45:50">
      <c r="AS936" s="55">
        <f t="shared" si="456"/>
        <v>78</v>
      </c>
      <c r="AT936" s="56">
        <f t="shared" si="459"/>
        <v>933</v>
      </c>
      <c r="AU936" s="57">
        <f t="shared" si="460"/>
        <v>1.054067724937563E-2</v>
      </c>
      <c r="AV936" s="58">
        <f t="shared" si="457"/>
        <v>4.8675505653430484E-3</v>
      </c>
      <c r="AW936" s="59">
        <f t="shared" si="458"/>
        <v>1.004867550565343</v>
      </c>
      <c r="AX936" s="60">
        <f>PRODUCT(AW$4:AW936)</f>
        <v>92.796377794092706</v>
      </c>
    </row>
    <row r="937" spans="45:50">
      <c r="AS937" s="55">
        <f t="shared" si="456"/>
        <v>78</v>
      </c>
      <c r="AT937" s="56">
        <f t="shared" si="459"/>
        <v>934</v>
      </c>
      <c r="AU937" s="57">
        <f t="shared" si="460"/>
        <v>1.0489369969871333E-2</v>
      </c>
      <c r="AV937" s="58">
        <f t="shared" si="457"/>
        <v>4.8675505653430484E-3</v>
      </c>
      <c r="AW937" s="59">
        <f t="shared" si="458"/>
        <v>1.004867550565343</v>
      </c>
      <c r="AX937" s="60">
        <f>PRODUCT(AW$4:AW937)</f>
        <v>93.248068855286135</v>
      </c>
    </row>
    <row r="938" spans="45:50">
      <c r="AS938" s="55">
        <f t="shared" si="456"/>
        <v>78</v>
      </c>
      <c r="AT938" s="56">
        <f t="shared" si="459"/>
        <v>935</v>
      </c>
      <c r="AU938" s="57">
        <f t="shared" si="460"/>
        <v>1.0438312431144393E-2</v>
      </c>
      <c r="AV938" s="58">
        <f t="shared" si="457"/>
        <v>4.8675505653430484E-3</v>
      </c>
      <c r="AW938" s="59">
        <f t="shared" si="458"/>
        <v>1.004867550565343</v>
      </c>
      <c r="AX938" s="60">
        <f>PRODUCT(AW$4:AW938)</f>
        <v>93.701958545559833</v>
      </c>
    </row>
    <row r="939" spans="45:50">
      <c r="AS939" s="55">
        <f t="shared" si="456"/>
        <v>78</v>
      </c>
      <c r="AT939" s="56">
        <f t="shared" si="459"/>
        <v>936</v>
      </c>
      <c r="AU939" s="57">
        <f t="shared" si="460"/>
        <v>1.0387503417568949E-2</v>
      </c>
      <c r="AV939" s="58">
        <f t="shared" si="457"/>
        <v>4.8675505653430484E-3</v>
      </c>
      <c r="AW939" s="59">
        <f t="shared" si="458"/>
        <v>1.004867550565343</v>
      </c>
      <c r="AX939" s="60">
        <f>PRODUCT(AW$4:AW939)</f>
        <v>94.158057566852023</v>
      </c>
    </row>
    <row r="940" spans="45:50">
      <c r="AS940" s="55">
        <f t="shared" si="456"/>
        <v>79</v>
      </c>
      <c r="AT940" s="56">
        <f t="shared" si="459"/>
        <v>937</v>
      </c>
      <c r="AU940" s="57">
        <f t="shared" si="460"/>
        <v>1.0336941719436259E-2</v>
      </c>
      <c r="AV940" s="58">
        <f t="shared" si="457"/>
        <v>4.8675505653430484E-3</v>
      </c>
      <c r="AW940" s="59">
        <f t="shared" si="458"/>
        <v>1.004867550565343</v>
      </c>
      <c r="AX940" s="60">
        <f>PRODUCT(AW$4:AW940)</f>
        <v>94.616376673193159</v>
      </c>
    </row>
    <row r="941" spans="45:50">
      <c r="AS941" s="55">
        <f t="shared" si="456"/>
        <v>79</v>
      </c>
      <c r="AT941" s="56">
        <f t="shared" si="459"/>
        <v>938</v>
      </c>
      <c r="AU941" s="57">
        <f t="shared" si="460"/>
        <v>1.02866261329259E-2</v>
      </c>
      <c r="AV941" s="58">
        <f t="shared" si="457"/>
        <v>4.8675505653430484E-3</v>
      </c>
      <c r="AW941" s="59">
        <f t="shared" si="458"/>
        <v>1.004867550565343</v>
      </c>
      <c r="AX941" s="60">
        <f>PRODUCT(AW$4:AW941)</f>
        <v>95.076926670959466</v>
      </c>
    </row>
    <row r="942" spans="45:50">
      <c r="AS942" s="55">
        <f t="shared" si="456"/>
        <v>79</v>
      </c>
      <c r="AT942" s="56">
        <f t="shared" si="459"/>
        <v>939</v>
      </c>
      <c r="AU942" s="57">
        <f t="shared" si="460"/>
        <v>1.0236555460077103E-2</v>
      </c>
      <c r="AV942" s="58">
        <f t="shared" si="457"/>
        <v>4.8675505653430484E-3</v>
      </c>
      <c r="AW942" s="59">
        <f t="shared" si="458"/>
        <v>1.004867550565343</v>
      </c>
      <c r="AX942" s="60">
        <f>PRODUCT(AW$4:AW942)</f>
        <v>95.53971841912778</v>
      </c>
    </row>
    <row r="943" spans="45:50">
      <c r="AS943" s="55">
        <f t="shared" si="456"/>
        <v>79</v>
      </c>
      <c r="AT943" s="56">
        <f t="shared" si="459"/>
        <v>940</v>
      </c>
      <c r="AU943" s="57">
        <f t="shared" si="460"/>
        <v>1.018672850876024E-2</v>
      </c>
      <c r="AV943" s="58">
        <f t="shared" si="457"/>
        <v>4.8675505653430484E-3</v>
      </c>
      <c r="AW943" s="59">
        <f t="shared" si="458"/>
        <v>1.004867550565343</v>
      </c>
      <c r="AX943" s="60">
        <f>PRODUCT(AW$4:AW943)</f>
        <v>96.004762829531515</v>
      </c>
    </row>
    <row r="944" spans="45:50">
      <c r="AS944" s="55">
        <f t="shared" si="456"/>
        <v>79</v>
      </c>
      <c r="AT944" s="56">
        <f t="shared" si="459"/>
        <v>941</v>
      </c>
      <c r="AU944" s="57">
        <f t="shared" si="460"/>
        <v>1.0137144092648428E-2</v>
      </c>
      <c r="AV944" s="58">
        <f t="shared" si="457"/>
        <v>4.8675505653430484E-3</v>
      </c>
      <c r="AW944" s="59">
        <f t="shared" si="458"/>
        <v>1.004867550565343</v>
      </c>
      <c r="AX944" s="60">
        <f>PRODUCT(AW$4:AW944)</f>
        <v>96.47207086711802</v>
      </c>
    </row>
    <row r="945" spans="45:50">
      <c r="AS945" s="55">
        <f t="shared" si="456"/>
        <v>79</v>
      </c>
      <c r="AT945" s="56">
        <f t="shared" si="459"/>
        <v>942</v>
      </c>
      <c r="AU945" s="57">
        <f t="shared" si="460"/>
        <v>1.0087801031189293E-2</v>
      </c>
      <c r="AV945" s="58">
        <f t="shared" si="457"/>
        <v>4.8675505653430484E-3</v>
      </c>
      <c r="AW945" s="59">
        <f t="shared" si="458"/>
        <v>1.004867550565343</v>
      </c>
      <c r="AX945" s="60">
        <f>PRODUCT(AW$4:AW945)</f>
        <v>96.941653550207079</v>
      </c>
    </row>
    <row r="946" spans="45:50">
      <c r="AS946" s="55">
        <f t="shared" si="456"/>
        <v>79</v>
      </c>
      <c r="AT946" s="56">
        <f t="shared" si="459"/>
        <v>943</v>
      </c>
      <c r="AU946" s="57">
        <f t="shared" si="460"/>
        <v>1.003869814957686E-2</v>
      </c>
      <c r="AV946" s="58">
        <f t="shared" si="457"/>
        <v>4.8675505653430484E-3</v>
      </c>
      <c r="AW946" s="59">
        <f t="shared" si="458"/>
        <v>1.004867550565343</v>
      </c>
      <c r="AX946" s="60">
        <f>PRODUCT(AW$4:AW946)</f>
        <v>97.413521950750678</v>
      </c>
    </row>
    <row r="947" spans="45:50">
      <c r="AS947" s="55">
        <f t="shared" si="456"/>
        <v>79</v>
      </c>
      <c r="AT947" s="56">
        <f t="shared" si="459"/>
        <v>944</v>
      </c>
      <c r="AU947" s="57">
        <f t="shared" si="460"/>
        <v>9.9898342787235785E-3</v>
      </c>
      <c r="AV947" s="58">
        <f t="shared" si="457"/>
        <v>4.8675505653430484E-3</v>
      </c>
      <c r="AW947" s="59">
        <f t="shared" si="458"/>
        <v>1.004867550565343</v>
      </c>
      <c r="AX947" s="60">
        <f>PRODUCT(AW$4:AW947)</f>
        <v>97.887687194594108</v>
      </c>
    </row>
    <row r="948" spans="45:50">
      <c r="AS948" s="55">
        <f t="shared" si="456"/>
        <v>79</v>
      </c>
      <c r="AT948" s="56">
        <f t="shared" si="459"/>
        <v>945</v>
      </c>
      <c r="AU948" s="57">
        <f t="shared" si="460"/>
        <v>9.9412082552324949E-3</v>
      </c>
      <c r="AV948" s="58">
        <f t="shared" si="457"/>
        <v>4.8675505653430484E-3</v>
      </c>
      <c r="AW948" s="59">
        <f t="shared" si="458"/>
        <v>1.004867550565343</v>
      </c>
      <c r="AX948" s="60">
        <f>PRODUCT(AW$4:AW948)</f>
        <v>98.36416046173828</v>
      </c>
    </row>
    <row r="949" spans="45:50">
      <c r="AS949" s="55">
        <f t="shared" si="456"/>
        <v>79</v>
      </c>
      <c r="AT949" s="56">
        <f t="shared" si="459"/>
        <v>946</v>
      </c>
      <c r="AU949" s="57">
        <f t="shared" si="460"/>
        <v>9.8928189213695443E-3</v>
      </c>
      <c r="AV949" s="58">
        <f t="shared" si="457"/>
        <v>4.8675505653430484E-3</v>
      </c>
      <c r="AW949" s="59">
        <f t="shared" si="458"/>
        <v>1.004867550565343</v>
      </c>
      <c r="AX949" s="60">
        <f>PRODUCT(AW$4:AW949)</f>
        <v>98.842952986603308</v>
      </c>
    </row>
    <row r="950" spans="45:50">
      <c r="AS950" s="55">
        <f t="shared" si="456"/>
        <v>79</v>
      </c>
      <c r="AT950" s="56">
        <f t="shared" si="459"/>
        <v>947</v>
      </c>
      <c r="AU950" s="57">
        <f t="shared" si="460"/>
        <v>9.8446651250359962E-3</v>
      </c>
      <c r="AV950" s="58">
        <f t="shared" si="457"/>
        <v>4.8675505653430484E-3</v>
      </c>
      <c r="AW950" s="59">
        <f t="shared" si="458"/>
        <v>1.004867550565343</v>
      </c>
      <c r="AX950" s="60">
        <f>PRODUCT(AW$4:AW950)</f>
        <v>99.324076058293429</v>
      </c>
    </row>
    <row r="951" spans="45:50">
      <c r="AS951" s="55">
        <f t="shared" si="456"/>
        <v>79</v>
      </c>
      <c r="AT951" s="56">
        <f t="shared" si="459"/>
        <v>948</v>
      </c>
      <c r="AU951" s="57">
        <f t="shared" si="460"/>
        <v>9.7967457197410141E-3</v>
      </c>
      <c r="AV951" s="58">
        <f t="shared" si="457"/>
        <v>4.8675505653430484E-3</v>
      </c>
      <c r="AW951" s="59">
        <f t="shared" si="458"/>
        <v>1.004867550565343</v>
      </c>
      <c r="AX951" s="60">
        <f>PRODUCT(AW$4:AW951)</f>
        <v>99.807541020863155</v>
      </c>
    </row>
    <row r="952" spans="45:50">
      <c r="AS952" s="55">
        <f t="shared" si="456"/>
        <v>80</v>
      </c>
      <c r="AT952" s="56">
        <f t="shared" si="459"/>
        <v>949</v>
      </c>
      <c r="AU952" s="57">
        <f t="shared" si="460"/>
        <v>9.7490595645743673E-3</v>
      </c>
      <c r="AV952" s="58">
        <f t="shared" si="457"/>
        <v>4.8675505653430484E-3</v>
      </c>
      <c r="AW952" s="59">
        <f t="shared" si="458"/>
        <v>1.004867550565343</v>
      </c>
      <c r="AX952" s="60">
        <f>PRODUCT(AW$4:AW952)</f>
        <v>100.29335927358476</v>
      </c>
    </row>
    <row r="953" spans="45:50">
      <c r="AS953" s="55">
        <f t="shared" si="456"/>
        <v>80</v>
      </c>
      <c r="AT953" s="56">
        <f t="shared" si="459"/>
        <v>950</v>
      </c>
      <c r="AU953" s="57">
        <f t="shared" si="460"/>
        <v>9.7016055241792611E-3</v>
      </c>
      <c r="AV953" s="58">
        <f t="shared" si="457"/>
        <v>4.8675505653430484E-3</v>
      </c>
      <c r="AW953" s="59">
        <f t="shared" si="458"/>
        <v>1.004867550565343</v>
      </c>
      <c r="AX953" s="60">
        <f>PRODUCT(AW$4:AW953)</f>
        <v>100.78154227121705</v>
      </c>
    </row>
    <row r="954" spans="45:50">
      <c r="AS954" s="55">
        <f t="shared" si="456"/>
        <v>80</v>
      </c>
      <c r="AT954" s="56">
        <f t="shared" si="459"/>
        <v>951</v>
      </c>
      <c r="AU954" s="57">
        <f t="shared" si="460"/>
        <v>9.6543824687253064E-3</v>
      </c>
      <c r="AV954" s="58">
        <f t="shared" si="457"/>
        <v>4.8675505653430484E-3</v>
      </c>
      <c r="AW954" s="59">
        <f t="shared" si="458"/>
        <v>1.004867550565343</v>
      </c>
      <c r="AX954" s="60">
        <f>PRODUCT(AW$4:AW954)</f>
        <v>101.27210152427546</v>
      </c>
    </row>
    <row r="955" spans="45:50">
      <c r="AS955" s="55">
        <f t="shared" si="456"/>
        <v>80</v>
      </c>
      <c r="AT955" s="56">
        <f t="shared" si="459"/>
        <v>952</v>
      </c>
      <c r="AU955" s="57">
        <f t="shared" si="460"/>
        <v>9.6073892738816249E-3</v>
      </c>
      <c r="AV955" s="58">
        <f t="shared" si="457"/>
        <v>4.8675505653430484E-3</v>
      </c>
      <c r="AW955" s="59">
        <f t="shared" si="458"/>
        <v>1.004867550565343</v>
      </c>
      <c r="AX955" s="60">
        <f>PRODUCT(AW$4:AW955)</f>
        <v>101.76504859930343</v>
      </c>
    </row>
    <row r="956" spans="45:50">
      <c r="AS956" s="55">
        <f t="shared" si="456"/>
        <v>80</v>
      </c>
      <c r="AT956" s="56">
        <f t="shared" si="459"/>
        <v>953</v>
      </c>
      <c r="AU956" s="57">
        <f t="shared" si="460"/>
        <v>9.5606248207900715E-3</v>
      </c>
      <c r="AV956" s="58">
        <f t="shared" si="457"/>
        <v>4.8675505653430484E-3</v>
      </c>
      <c r="AW956" s="59">
        <f t="shared" si="458"/>
        <v>1.004867550565343</v>
      </c>
      <c r="AX956" s="60">
        <f>PRODUCT(AW$4:AW956)</f>
        <v>102.26039511914513</v>
      </c>
    </row>
    <row r="957" spans="45:50">
      <c r="AS957" s="55">
        <f t="shared" si="456"/>
        <v>80</v>
      </c>
      <c r="AT957" s="56">
        <f t="shared" si="459"/>
        <v>954</v>
      </c>
      <c r="AU957" s="57">
        <f t="shared" si="460"/>
        <v>9.5140879960386015E-3</v>
      </c>
      <c r="AV957" s="58">
        <f t="shared" si="457"/>
        <v>4.8675505653430484E-3</v>
      </c>
      <c r="AW957" s="59">
        <f t="shared" si="458"/>
        <v>1.004867550565343</v>
      </c>
      <c r="AX957" s="60">
        <f>PRODUCT(AW$4:AW957)</f>
        <v>102.75815276321953</v>
      </c>
    </row>
    <row r="958" spans="45:50">
      <c r="AS958" s="55">
        <f t="shared" si="456"/>
        <v>80</v>
      </c>
      <c r="AT958" s="56">
        <f t="shared" si="459"/>
        <v>955</v>
      </c>
      <c r="AU958" s="57">
        <f t="shared" si="460"/>
        <v>9.46777769163476E-3</v>
      </c>
      <c r="AV958" s="58">
        <f t="shared" si="457"/>
        <v>4.8675505653430484E-3</v>
      </c>
      <c r="AW958" s="59">
        <f t="shared" si="458"/>
        <v>1.004867550565343</v>
      </c>
      <c r="AX958" s="60">
        <f>PRODUCT(AW$4:AW958)</f>
        <v>103.25833326779575</v>
      </c>
    </row>
    <row r="959" spans="45:50">
      <c r="AS959" s="55">
        <f t="shared" si="456"/>
        <v>80</v>
      </c>
      <c r="AT959" s="56">
        <f t="shared" si="459"/>
        <v>956</v>
      </c>
      <c r="AU959" s="57">
        <f t="shared" si="460"/>
        <v>9.4216928049793008E-3</v>
      </c>
      <c r="AV959" s="58">
        <f t="shared" si="457"/>
        <v>4.8675505653430484E-3</v>
      </c>
      <c r="AW959" s="59">
        <f t="shared" si="458"/>
        <v>1.004867550565343</v>
      </c>
      <c r="AX959" s="60">
        <f>PRODUCT(AW$4:AW959)</f>
        <v>103.76094842626979</v>
      </c>
    </row>
    <row r="960" spans="45:50">
      <c r="AS960" s="55">
        <f t="shared" si="456"/>
        <v>80</v>
      </c>
      <c r="AT960" s="56">
        <f t="shared" si="459"/>
        <v>957</v>
      </c>
      <c r="AU960" s="57">
        <f t="shared" si="460"/>
        <v>9.3758322388399346E-3</v>
      </c>
      <c r="AV960" s="58">
        <f t="shared" si="457"/>
        <v>4.8675505653430484E-3</v>
      </c>
      <c r="AW960" s="59">
        <f t="shared" si="458"/>
        <v>1.004867550565343</v>
      </c>
      <c r="AX960" s="60">
        <f>PRODUCT(AW$4:AW960)</f>
        <v>104.26601008944262</v>
      </c>
    </row>
    <row r="961" spans="45:50">
      <c r="AS961" s="55">
        <f t="shared" si="456"/>
        <v>80</v>
      </c>
      <c r="AT961" s="56">
        <f t="shared" si="459"/>
        <v>958</v>
      </c>
      <c r="AU961" s="57">
        <f t="shared" si="460"/>
        <v>9.3301949013252072E-3</v>
      </c>
      <c r="AV961" s="58">
        <f t="shared" si="457"/>
        <v>4.8675505653430484E-3</v>
      </c>
      <c r="AW961" s="59">
        <f t="shared" si="458"/>
        <v>1.004867550565343</v>
      </c>
      <c r="AX961" s="60">
        <f>PRODUCT(AW$4:AW961)</f>
        <v>104.77353016579954</v>
      </c>
    </row>
    <row r="962" spans="45:50">
      <c r="AS962" s="55">
        <f t="shared" si="456"/>
        <v>80</v>
      </c>
      <c r="AT962" s="56">
        <f t="shared" si="459"/>
        <v>959</v>
      </c>
      <c r="AU962" s="57">
        <f t="shared" si="460"/>
        <v>9.2847797058585001E-3</v>
      </c>
      <c r="AV962" s="58">
        <f t="shared" si="457"/>
        <v>4.8675505653430484E-3</v>
      </c>
      <c r="AW962" s="59">
        <f t="shared" si="458"/>
        <v>1.004867550565343</v>
      </c>
      <c r="AX962" s="60">
        <f>PRODUCT(AW$4:AW962)</f>
        <v>105.28352062179107</v>
      </c>
    </row>
    <row r="963" spans="45:50">
      <c r="AS963" s="55">
        <f t="shared" si="456"/>
        <v>80</v>
      </c>
      <c r="AT963" s="56">
        <f t="shared" si="459"/>
        <v>960</v>
      </c>
      <c r="AU963" s="57">
        <f t="shared" si="460"/>
        <v>9.2395855711521636E-3</v>
      </c>
      <c r="AV963" s="58">
        <f t="shared" si="457"/>
        <v>4.8675505653430484E-3</v>
      </c>
      <c r="AW963" s="59">
        <f t="shared" si="458"/>
        <v>1.004867550565343</v>
      </c>
      <c r="AX963" s="60">
        <f>PRODUCT(AW$4:AW963)</f>
        <v>105.79599348211498</v>
      </c>
    </row>
    <row r="964" spans="45:50">
      <c r="AS964" s="55">
        <f t="shared" si="456"/>
        <v>81</v>
      </c>
      <c r="AT964" s="56">
        <f t="shared" si="459"/>
        <v>961</v>
      </c>
      <c r="AU964" s="57">
        <f t="shared" si="460"/>
        <v>9.1946114211817667E-3</v>
      </c>
      <c r="AV964" s="58">
        <f t="shared" si="457"/>
        <v>4.8675505653430484E-3</v>
      </c>
      <c r="AW964" s="59">
        <f t="shared" si="458"/>
        <v>1.004867550565343</v>
      </c>
      <c r="AX964" s="60">
        <f>PRODUCT(AW$4:AW964)</f>
        <v>106.31096082999989</v>
      </c>
    </row>
    <row r="965" spans="45:50">
      <c r="AS965" s="55">
        <f t="shared" ref="AS965:AS1028" si="461">ROUNDDOWN((AT965-1)/12,0)+1</f>
        <v>81</v>
      </c>
      <c r="AT965" s="56">
        <f t="shared" si="459"/>
        <v>962</v>
      </c>
      <c r="AU965" s="57">
        <f t="shared" si="460"/>
        <v>9.1498561851604838E-3</v>
      </c>
      <c r="AV965" s="58">
        <f t="shared" ref="AV965:AV1028" si="462">((1+$AV$1)^(1/12))-1</f>
        <v>4.8675505653430484E-3</v>
      </c>
      <c r="AW965" s="59">
        <f t="shared" ref="AW965:AW1028" si="463">(1+AV965)</f>
        <v>1.004867550565343</v>
      </c>
      <c r="AX965" s="60">
        <f>PRODUCT(AW$4:AW965)</f>
        <v>106.82843480749011</v>
      </c>
    </row>
    <row r="966" spans="45:50">
      <c r="AS966" s="55">
        <f t="shared" si="461"/>
        <v>81</v>
      </c>
      <c r="AT966" s="56">
        <f t="shared" ref="AT966:AT1029" si="464">AT965+1</f>
        <v>963</v>
      </c>
      <c r="AU966" s="57">
        <f t="shared" si="460"/>
        <v>9.105318797513598E-3</v>
      </c>
      <c r="AV966" s="58">
        <f t="shared" si="462"/>
        <v>4.8675505653430484E-3</v>
      </c>
      <c r="AW966" s="59">
        <f t="shared" si="463"/>
        <v>1.004867550565343</v>
      </c>
      <c r="AX966" s="60">
        <f>PRODUCT(AW$4:AW966)</f>
        <v>107.34842761573202</v>
      </c>
    </row>
    <row r="967" spans="45:50">
      <c r="AS967" s="55">
        <f t="shared" si="461"/>
        <v>81</v>
      </c>
      <c r="AT967" s="56">
        <f t="shared" si="464"/>
        <v>964</v>
      </c>
      <c r="AU967" s="57">
        <f t="shared" si="460"/>
        <v>9.0609981978531321E-3</v>
      </c>
      <c r="AV967" s="58">
        <f t="shared" si="462"/>
        <v>4.8675505653430484E-3</v>
      </c>
      <c r="AW967" s="59">
        <f t="shared" si="463"/>
        <v>1.004867550565343</v>
      </c>
      <c r="AX967" s="60">
        <f>PRODUCT(AW$4:AW967)</f>
        <v>107.87095151526167</v>
      </c>
    </row>
    <row r="968" spans="45:50">
      <c r="AS968" s="55">
        <f t="shared" si="461"/>
        <v>81</v>
      </c>
      <c r="AT968" s="56">
        <f t="shared" si="464"/>
        <v>965</v>
      </c>
      <c r="AU968" s="57">
        <f t="shared" si="460"/>
        <v>9.0168933309526002E-3</v>
      </c>
      <c r="AV968" s="58">
        <f t="shared" si="462"/>
        <v>4.8675505653430484E-3</v>
      </c>
      <c r="AW968" s="59">
        <f t="shared" si="463"/>
        <v>1.004867550565343</v>
      </c>
      <c r="AX968" s="60">
        <f>PRODUCT(AW$4:AW968)</f>
        <v>108.39601882629387</v>
      </c>
    </row>
    <row r="969" spans="45:50">
      <c r="AS969" s="55">
        <f t="shared" si="461"/>
        <v>81</v>
      </c>
      <c r="AT969" s="56">
        <f t="shared" si="464"/>
        <v>966</v>
      </c>
      <c r="AU969" s="57">
        <f t="shared" si="460"/>
        <v>8.9730031467218831E-3</v>
      </c>
      <c r="AV969" s="58">
        <f t="shared" si="462"/>
        <v>4.8675505653430484E-3</v>
      </c>
      <c r="AW969" s="59">
        <f t="shared" si="463"/>
        <v>1.004867550565343</v>
      </c>
      <c r="AX969" s="60">
        <f>PRODUCT(AW$4:AW969)</f>
        <v>108.92364192901273</v>
      </c>
    </row>
    <row r="970" spans="45:50">
      <c r="AS970" s="55">
        <f t="shared" si="461"/>
        <v>81</v>
      </c>
      <c r="AT970" s="56">
        <f t="shared" si="464"/>
        <v>967</v>
      </c>
      <c r="AU970" s="57">
        <f t="shared" si="460"/>
        <v>8.9293266001822316E-3</v>
      </c>
      <c r="AV970" s="58">
        <f t="shared" si="462"/>
        <v>4.8675505653430484E-3</v>
      </c>
      <c r="AW970" s="59">
        <f t="shared" si="463"/>
        <v>1.004867550565343</v>
      </c>
      <c r="AX970" s="60">
        <f>PRODUCT(AW$4:AW970)</f>
        <v>109.45383326386352</v>
      </c>
    </row>
    <row r="971" spans="45:50">
      <c r="AS971" s="55">
        <f t="shared" si="461"/>
        <v>81</v>
      </c>
      <c r="AT971" s="56">
        <f t="shared" si="464"/>
        <v>968</v>
      </c>
      <c r="AU971" s="57">
        <f t="shared" si="460"/>
        <v>8.8858626514413813E-3</v>
      </c>
      <c r="AV971" s="58">
        <f t="shared" si="462"/>
        <v>4.8675505653430484E-3</v>
      </c>
      <c r="AW971" s="59">
        <f t="shared" si="463"/>
        <v>1.004867550565343</v>
      </c>
      <c r="AX971" s="60">
        <f>PRODUCT(AW$4:AW971)</f>
        <v>109.98660533184599</v>
      </c>
    </row>
    <row r="972" spans="45:50">
      <c r="AS972" s="55">
        <f t="shared" si="461"/>
        <v>81</v>
      </c>
      <c r="AT972" s="56">
        <f t="shared" si="464"/>
        <v>969</v>
      </c>
      <c r="AU972" s="57">
        <f t="shared" si="460"/>
        <v>8.8426102656687967E-3</v>
      </c>
      <c r="AV972" s="58">
        <f t="shared" si="462"/>
        <v>4.8675505653430484E-3</v>
      </c>
      <c r="AW972" s="59">
        <f t="shared" si="463"/>
        <v>1.004867550565343</v>
      </c>
      <c r="AX972" s="60">
        <f>PRODUCT(AW$4:AW972)</f>
        <v>110.52197069480918</v>
      </c>
    </row>
    <row r="973" spans="45:50">
      <c r="AS973" s="55">
        <f t="shared" si="461"/>
        <v>81</v>
      </c>
      <c r="AT973" s="56">
        <f t="shared" si="464"/>
        <v>970</v>
      </c>
      <c r="AU973" s="57">
        <f t="shared" si="460"/>
        <v>8.7995684130710329E-3</v>
      </c>
      <c r="AV973" s="58">
        <f t="shared" si="462"/>
        <v>4.8675505653430484E-3</v>
      </c>
      <c r="AW973" s="59">
        <f t="shared" si="463"/>
        <v>1.004867550565343</v>
      </c>
      <c r="AX973" s="60">
        <f>PRODUCT(AW$4:AW973)</f>
        <v>111.05994197574753</v>
      </c>
    </row>
    <row r="974" spans="45:50">
      <c r="AS974" s="55">
        <f t="shared" si="461"/>
        <v>81</v>
      </c>
      <c r="AT974" s="56">
        <f t="shared" si="464"/>
        <v>971</v>
      </c>
      <c r="AU974" s="57">
        <f t="shared" si="460"/>
        <v>8.7567360688672134E-3</v>
      </c>
      <c r="AV974" s="58">
        <f t="shared" si="462"/>
        <v>4.8675505653430484E-3</v>
      </c>
      <c r="AW974" s="59">
        <f t="shared" si="463"/>
        <v>1.004867550565343</v>
      </c>
      <c r="AX974" s="60">
        <f>PRODUCT(AW$4:AW974)</f>
        <v>111.60053185909855</v>
      </c>
    </row>
    <row r="975" spans="45:50">
      <c r="AS975" s="55">
        <f t="shared" si="461"/>
        <v>81</v>
      </c>
      <c r="AT975" s="56">
        <f t="shared" si="464"/>
        <v>972</v>
      </c>
      <c r="AU975" s="57">
        <f t="shared" si="460"/>
        <v>8.7141122132646381E-3</v>
      </c>
      <c r="AV975" s="58">
        <f t="shared" si="462"/>
        <v>4.8675505653430484E-3</v>
      </c>
      <c r="AW975" s="59">
        <f t="shared" si="463"/>
        <v>1.004867550565343</v>
      </c>
      <c r="AX975" s="60">
        <f>PRODUCT(AW$4:AW975)</f>
        <v>112.14375309104189</v>
      </c>
    </row>
    <row r="976" spans="45:50">
      <c r="AS976" s="55">
        <f t="shared" si="461"/>
        <v>82</v>
      </c>
      <c r="AT976" s="56">
        <f t="shared" si="464"/>
        <v>973</v>
      </c>
      <c r="AU976" s="57">
        <f t="shared" si="460"/>
        <v>8.6716958314344995E-3</v>
      </c>
      <c r="AV976" s="58">
        <f t="shared" si="462"/>
        <v>4.8675505653430484E-3</v>
      </c>
      <c r="AW976" s="59">
        <f t="shared" si="463"/>
        <v>1.004867550565343</v>
      </c>
      <c r="AX976" s="60">
        <f>PRODUCT(AW$4:AW976)</f>
        <v>112.68961847979988</v>
      </c>
    </row>
    <row r="977" spans="45:50">
      <c r="AS977" s="55">
        <f t="shared" si="461"/>
        <v>82</v>
      </c>
      <c r="AT977" s="56">
        <f t="shared" si="464"/>
        <v>974</v>
      </c>
      <c r="AU977" s="57">
        <f t="shared" si="460"/>
        <v>8.629485913487717E-3</v>
      </c>
      <c r="AV977" s="58">
        <f t="shared" si="462"/>
        <v>4.8675505653430484E-3</v>
      </c>
      <c r="AW977" s="59">
        <f t="shared" si="463"/>
        <v>1.004867550565343</v>
      </c>
      <c r="AX977" s="60">
        <f>PRODUCT(AW$4:AW977)</f>
        <v>113.23814089593952</v>
      </c>
    </row>
    <row r="978" spans="45:50">
      <c r="AS978" s="55">
        <f t="shared" si="461"/>
        <v>82</v>
      </c>
      <c r="AT978" s="56">
        <f t="shared" si="464"/>
        <v>975</v>
      </c>
      <c r="AU978" s="57">
        <f t="shared" si="460"/>
        <v>8.5874814544508998E-3</v>
      </c>
      <c r="AV978" s="58">
        <f t="shared" si="462"/>
        <v>4.8675505653430484E-3</v>
      </c>
      <c r="AW978" s="59">
        <f t="shared" si="463"/>
        <v>1.004867550565343</v>
      </c>
      <c r="AX978" s="60">
        <f>PRODUCT(AW$4:AW978)</f>
        <v>113.78933327267595</v>
      </c>
    </row>
    <row r="979" spans="45:50">
      <c r="AS979" s="55">
        <f t="shared" si="461"/>
        <v>82</v>
      </c>
      <c r="AT979" s="56">
        <f t="shared" si="464"/>
        <v>976</v>
      </c>
      <c r="AU979" s="57">
        <f t="shared" si="460"/>
        <v>8.5456814542424139E-3</v>
      </c>
      <c r="AV979" s="58">
        <f t="shared" si="462"/>
        <v>4.8675505653430484E-3</v>
      </c>
      <c r="AW979" s="59">
        <f t="shared" si="463"/>
        <v>1.004867550565343</v>
      </c>
      <c r="AX979" s="60">
        <f>PRODUCT(AW$4:AW979)</f>
        <v>114.34320860617737</v>
      </c>
    </row>
    <row r="980" spans="45:50">
      <c r="AS980" s="55">
        <f t="shared" si="461"/>
        <v>82</v>
      </c>
      <c r="AT980" s="56">
        <f t="shared" si="464"/>
        <v>977</v>
      </c>
      <c r="AU980" s="57">
        <f t="shared" si="460"/>
        <v>8.5040849176485755E-3</v>
      </c>
      <c r="AV980" s="58">
        <f t="shared" si="462"/>
        <v>4.8675505653430484E-3</v>
      </c>
      <c r="AW980" s="59">
        <f t="shared" si="463"/>
        <v>1.004867550565343</v>
      </c>
      <c r="AX980" s="60">
        <f>PRODUCT(AW$4:AW980)</f>
        <v>114.89977995587151</v>
      </c>
    </row>
    <row r="981" spans="45:50">
      <c r="AS981" s="55">
        <f t="shared" si="461"/>
        <v>82</v>
      </c>
      <c r="AT981" s="56">
        <f t="shared" si="464"/>
        <v>978</v>
      </c>
      <c r="AU981" s="57">
        <f t="shared" si="460"/>
        <v>8.4626908542999504E-3</v>
      </c>
      <c r="AV981" s="58">
        <f t="shared" si="462"/>
        <v>4.8675505653430484E-3</v>
      </c>
      <c r="AW981" s="59">
        <f t="shared" si="463"/>
        <v>1.004867550565343</v>
      </c>
      <c r="AX981" s="60">
        <f>PRODUCT(AW$4:AW981)</f>
        <v>115.4590604447535</v>
      </c>
    </row>
    <row r="982" spans="45:50">
      <c r="AS982" s="55">
        <f t="shared" si="461"/>
        <v>82</v>
      </c>
      <c r="AT982" s="56">
        <f t="shared" si="464"/>
        <v>979</v>
      </c>
      <c r="AU982" s="57">
        <f t="shared" si="460"/>
        <v>8.4214982786477797E-3</v>
      </c>
      <c r="AV982" s="58">
        <f t="shared" si="462"/>
        <v>4.8675505653430484E-3</v>
      </c>
      <c r="AW982" s="59">
        <f t="shared" si="463"/>
        <v>1.004867550565343</v>
      </c>
      <c r="AX982" s="60">
        <f>PRODUCT(AW$4:AW982)</f>
        <v>116.02106325969534</v>
      </c>
    </row>
    <row r="983" spans="45:50">
      <c r="AS983" s="55">
        <f t="shared" si="461"/>
        <v>82</v>
      </c>
      <c r="AT983" s="56">
        <f t="shared" si="464"/>
        <v>980</v>
      </c>
      <c r="AU983" s="57">
        <f t="shared" ref="AU983:AU1046" si="465">(1-AV983)*AU982</f>
        <v>8.3805062099405123E-3</v>
      </c>
      <c r="AV983" s="58">
        <f t="shared" si="462"/>
        <v>4.8675505653430484E-3</v>
      </c>
      <c r="AW983" s="59">
        <f t="shared" si="463"/>
        <v>1.004867550565343</v>
      </c>
      <c r="AX983" s="60">
        <f>PRODUCT(AW$4:AW983)</f>
        <v>116.58580165175677</v>
      </c>
    </row>
    <row r="984" spans="45:50">
      <c r="AS984" s="55">
        <f t="shared" si="461"/>
        <v>82</v>
      </c>
      <c r="AT984" s="56">
        <f t="shared" si="464"/>
        <v>981</v>
      </c>
      <c r="AU984" s="57">
        <f t="shared" si="465"/>
        <v>8.3397136722004554E-3</v>
      </c>
      <c r="AV984" s="58">
        <f t="shared" si="462"/>
        <v>4.8675505653430484E-3</v>
      </c>
      <c r="AW984" s="59">
        <f t="shared" si="463"/>
        <v>1.004867550565343</v>
      </c>
      <c r="AX984" s="60">
        <f>PRODUCT(AW$4:AW984)</f>
        <v>117.15328893649774</v>
      </c>
    </row>
    <row r="985" spans="45:50">
      <c r="AS985" s="55">
        <f t="shared" si="461"/>
        <v>82</v>
      </c>
      <c r="AT985" s="56">
        <f t="shared" si="464"/>
        <v>982</v>
      </c>
      <c r="AU985" s="57">
        <f t="shared" si="465"/>
        <v>8.2991196942005362E-3</v>
      </c>
      <c r="AV985" s="58">
        <f t="shared" si="462"/>
        <v>4.8675505653430484E-3</v>
      </c>
      <c r="AW985" s="59">
        <f t="shared" si="463"/>
        <v>1.004867550565343</v>
      </c>
      <c r="AX985" s="60">
        <f>PRODUCT(AW$4:AW985)</f>
        <v>117.7235384942924</v>
      </c>
    </row>
    <row r="986" spans="45:50">
      <c r="AS986" s="55">
        <f t="shared" si="461"/>
        <v>82</v>
      </c>
      <c r="AT986" s="56">
        <f t="shared" si="464"/>
        <v>983</v>
      </c>
      <c r="AU986" s="57">
        <f t="shared" si="465"/>
        <v>8.2587233094411801E-3</v>
      </c>
      <c r="AV986" s="58">
        <f t="shared" si="462"/>
        <v>4.8675505653430484E-3</v>
      </c>
      <c r="AW986" s="59">
        <f t="shared" si="463"/>
        <v>1.004867550565343</v>
      </c>
      <c r="AX986" s="60">
        <f>PRODUCT(AW$4:AW986)</f>
        <v>118.29656377064448</v>
      </c>
    </row>
    <row r="987" spans="45:50">
      <c r="AS987" s="55">
        <f t="shared" si="461"/>
        <v>82</v>
      </c>
      <c r="AT987" s="56">
        <f t="shared" si="464"/>
        <v>984</v>
      </c>
      <c r="AU987" s="57">
        <f t="shared" si="465"/>
        <v>8.2185235561272971E-3</v>
      </c>
      <c r="AV987" s="58">
        <f t="shared" si="462"/>
        <v>4.8675505653430484E-3</v>
      </c>
      <c r="AW987" s="59">
        <f t="shared" si="463"/>
        <v>1.004867550565343</v>
      </c>
      <c r="AX987" s="60">
        <f>PRODUCT(AW$4:AW987)</f>
        <v>118.87237827650442</v>
      </c>
    </row>
    <row r="988" spans="45:50">
      <c r="AS988" s="55">
        <f t="shared" si="461"/>
        <v>83</v>
      </c>
      <c r="AT988" s="56">
        <f t="shared" si="464"/>
        <v>985</v>
      </c>
      <c r="AU988" s="57">
        <f t="shared" si="465"/>
        <v>8.1785194771453844E-3</v>
      </c>
      <c r="AV988" s="58">
        <f t="shared" si="462"/>
        <v>4.8675505653430484E-3</v>
      </c>
      <c r="AW988" s="59">
        <f t="shared" si="463"/>
        <v>1.004867550565343</v>
      </c>
      <c r="AX988" s="60">
        <f>PRODUCT(AW$4:AW988)</f>
        <v>119.45099558858789</v>
      </c>
    </row>
    <row r="989" spans="45:50">
      <c r="AS989" s="55">
        <f t="shared" si="461"/>
        <v>83</v>
      </c>
      <c r="AT989" s="56">
        <f t="shared" si="464"/>
        <v>986</v>
      </c>
      <c r="AU989" s="57">
        <f t="shared" si="465"/>
        <v>8.1387101200407364E-3</v>
      </c>
      <c r="AV989" s="58">
        <f t="shared" si="462"/>
        <v>4.8675505653430484E-3</v>
      </c>
      <c r="AW989" s="59">
        <f t="shared" si="463"/>
        <v>1.004867550565343</v>
      </c>
      <c r="AX989" s="60">
        <f>PRODUCT(AW$4:AW989)</f>
        <v>120.0324293496959</v>
      </c>
    </row>
    <row r="990" spans="45:50">
      <c r="AS990" s="55">
        <f t="shared" si="461"/>
        <v>83</v>
      </c>
      <c r="AT990" s="56">
        <f t="shared" si="464"/>
        <v>987</v>
      </c>
      <c r="AU990" s="57">
        <f t="shared" si="465"/>
        <v>8.0990945369947692E-3</v>
      </c>
      <c r="AV990" s="58">
        <f t="shared" si="462"/>
        <v>4.8675505653430484E-3</v>
      </c>
      <c r="AW990" s="59">
        <f t="shared" si="463"/>
        <v>1.004867550565343</v>
      </c>
      <c r="AX990" s="60">
        <f>PRODUCT(AW$4:AW990)</f>
        <v>120.61669326903652</v>
      </c>
    </row>
    <row r="991" spans="45:50">
      <c r="AS991" s="55">
        <f t="shared" si="461"/>
        <v>83</v>
      </c>
      <c r="AT991" s="56">
        <f t="shared" si="464"/>
        <v>988</v>
      </c>
      <c r="AU991" s="57">
        <f t="shared" si="465"/>
        <v>8.0596717848024531E-3</v>
      </c>
      <c r="AV991" s="58">
        <f t="shared" si="462"/>
        <v>4.8675505653430484E-3</v>
      </c>
      <c r="AW991" s="59">
        <f t="shared" si="463"/>
        <v>1.004867550565343</v>
      </c>
      <c r="AX991" s="60">
        <f>PRODUCT(AW$4:AW991)</f>
        <v>121.20380112254803</v>
      </c>
    </row>
    <row r="992" spans="45:50">
      <c r="AS992" s="55">
        <f t="shared" si="461"/>
        <v>83</v>
      </c>
      <c r="AT992" s="56">
        <f t="shared" si="464"/>
        <v>989</v>
      </c>
      <c r="AU992" s="57">
        <f t="shared" si="465"/>
        <v>8.0204409248498584E-3</v>
      </c>
      <c r="AV992" s="58">
        <f t="shared" si="462"/>
        <v>4.8675505653430484E-3</v>
      </c>
      <c r="AW992" s="59">
        <f t="shared" si="463"/>
        <v>1.004867550565343</v>
      </c>
      <c r="AX992" s="60">
        <f>PRODUCT(AW$4:AW992)</f>
        <v>121.79376675322382</v>
      </c>
    </row>
    <row r="993" spans="45:50">
      <c r="AS993" s="55">
        <f t="shared" si="461"/>
        <v>83</v>
      </c>
      <c r="AT993" s="56">
        <f t="shared" si="464"/>
        <v>990</v>
      </c>
      <c r="AU993" s="57">
        <f t="shared" si="465"/>
        <v>7.9814010230918053E-3</v>
      </c>
      <c r="AV993" s="58">
        <f t="shared" si="462"/>
        <v>4.8675505653430484E-3</v>
      </c>
      <c r="AW993" s="59">
        <f t="shared" si="463"/>
        <v>1.004867550565343</v>
      </c>
      <c r="AX993" s="60">
        <f>PRODUCT(AW$4:AW993)</f>
        <v>122.38660407143874</v>
      </c>
    </row>
    <row r="994" spans="45:50">
      <c r="AS994" s="55">
        <f t="shared" si="461"/>
        <v>83</v>
      </c>
      <c r="AT994" s="56">
        <f t="shared" si="464"/>
        <v>991</v>
      </c>
      <c r="AU994" s="57">
        <f t="shared" si="465"/>
        <v>7.942551150029625E-3</v>
      </c>
      <c r="AV994" s="58">
        <f t="shared" si="462"/>
        <v>4.8675505653430484E-3</v>
      </c>
      <c r="AW994" s="59">
        <f t="shared" si="463"/>
        <v>1.004867550565343</v>
      </c>
      <c r="AX994" s="60">
        <f>PRODUCT(AW$4:AW994)</f>
        <v>122.98232705527708</v>
      </c>
    </row>
    <row r="995" spans="45:50">
      <c r="AS995" s="55">
        <f t="shared" si="461"/>
        <v>83</v>
      </c>
      <c r="AT995" s="56">
        <f t="shared" si="464"/>
        <v>992</v>
      </c>
      <c r="AU995" s="57">
        <f t="shared" si="465"/>
        <v>7.9038903806890326E-3</v>
      </c>
      <c r="AV995" s="58">
        <f t="shared" si="462"/>
        <v>4.8675505653430484E-3</v>
      </c>
      <c r="AW995" s="59">
        <f t="shared" si="463"/>
        <v>1.004867550565343</v>
      </c>
      <c r="AX995" s="60">
        <f>PRODUCT(AW$4:AW995)</f>
        <v>123.5809497508622</v>
      </c>
    </row>
    <row r="996" spans="45:50">
      <c r="AS996" s="55">
        <f t="shared" si="461"/>
        <v>83</v>
      </c>
      <c r="AT996" s="56">
        <f t="shared" si="464"/>
        <v>993</v>
      </c>
      <c r="AU996" s="57">
        <f t="shared" si="465"/>
        <v>7.8654177945981004E-3</v>
      </c>
      <c r="AV996" s="58">
        <f t="shared" si="462"/>
        <v>4.8675505653430484E-3</v>
      </c>
      <c r="AW996" s="59">
        <f t="shared" si="463"/>
        <v>1.004867550565343</v>
      </c>
      <c r="AX996" s="60">
        <f>PRODUCT(AW$4:AW996)</f>
        <v>124.18248627268764</v>
      </c>
    </row>
    <row r="997" spans="45:50">
      <c r="AS997" s="55">
        <f t="shared" si="461"/>
        <v>83</v>
      </c>
      <c r="AT997" s="56">
        <f t="shared" si="464"/>
        <v>994</v>
      </c>
      <c r="AU997" s="57">
        <f t="shared" si="465"/>
        <v>7.8271324757653443E-3</v>
      </c>
      <c r="AV997" s="58">
        <f t="shared" si="462"/>
        <v>4.8675505653430484E-3</v>
      </c>
      <c r="AW997" s="59">
        <f t="shared" si="463"/>
        <v>1.004867550565343</v>
      </c>
      <c r="AX997" s="60">
        <f>PRODUCT(AW$4:AW997)</f>
        <v>124.78695080394996</v>
      </c>
    </row>
    <row r="998" spans="45:50">
      <c r="AS998" s="55">
        <f t="shared" si="461"/>
        <v>83</v>
      </c>
      <c r="AT998" s="56">
        <f t="shared" si="464"/>
        <v>995</v>
      </c>
      <c r="AU998" s="57">
        <f t="shared" si="465"/>
        <v>7.7890335126579177E-3</v>
      </c>
      <c r="AV998" s="58">
        <f t="shared" si="462"/>
        <v>4.8675505653430484E-3</v>
      </c>
      <c r="AW998" s="59">
        <f t="shared" si="463"/>
        <v>1.004867550565343</v>
      </c>
      <c r="AX998" s="60">
        <f>PRODUCT(AW$4:AW998)</f>
        <v>125.39435759688317</v>
      </c>
    </row>
    <row r="999" spans="45:50">
      <c r="AS999" s="55">
        <f t="shared" si="461"/>
        <v>83</v>
      </c>
      <c r="AT999" s="56">
        <f t="shared" si="464"/>
        <v>996</v>
      </c>
      <c r="AU999" s="57">
        <f t="shared" si="465"/>
        <v>7.7511199981799041E-3</v>
      </c>
      <c r="AV999" s="58">
        <f t="shared" si="462"/>
        <v>4.8675505653430484E-3</v>
      </c>
      <c r="AW999" s="59">
        <f t="shared" si="463"/>
        <v>1.004867550565343</v>
      </c>
      <c r="AX999" s="60">
        <f>PRODUCT(AW$4:AW999)</f>
        <v>126.00472097309471</v>
      </c>
    </row>
    <row r="1000" spans="45:50">
      <c r="AS1000" s="55">
        <f t="shared" si="461"/>
        <v>84</v>
      </c>
      <c r="AT1000" s="56">
        <f t="shared" si="464"/>
        <v>997</v>
      </c>
      <c r="AU1000" s="57">
        <f t="shared" si="465"/>
        <v>7.713391029650722E-3</v>
      </c>
      <c r="AV1000" s="58">
        <f t="shared" si="462"/>
        <v>4.8675505653430484E-3</v>
      </c>
      <c r="AW1000" s="59">
        <f t="shared" si="463"/>
        <v>1.004867550565343</v>
      </c>
      <c r="AX1000" s="60">
        <f>PRODUCT(AW$4:AW1000)</f>
        <v>126.61805532390319</v>
      </c>
    </row>
    <row r="1001" spans="45:50">
      <c r="AS1001" s="55">
        <f t="shared" si="461"/>
        <v>84</v>
      </c>
      <c r="AT1001" s="56">
        <f t="shared" si="464"/>
        <v>998</v>
      </c>
      <c r="AU1001" s="57">
        <f t="shared" si="465"/>
        <v>7.6758457087836339E-3</v>
      </c>
      <c r="AV1001" s="58">
        <f t="shared" si="462"/>
        <v>4.8675505653430484E-3</v>
      </c>
      <c r="AW1001" s="59">
        <f t="shared" si="463"/>
        <v>1.004867550565343</v>
      </c>
      <c r="AX1001" s="60">
        <f>PRODUCT(AW$4:AW1001)</f>
        <v>127.23437511067769</v>
      </c>
    </row>
    <row r="1002" spans="45:50">
      <c r="AS1002" s="55">
        <f t="shared" si="461"/>
        <v>84</v>
      </c>
      <c r="AT1002" s="56">
        <f t="shared" si="464"/>
        <v>999</v>
      </c>
      <c r="AU1002" s="57">
        <f t="shared" si="465"/>
        <v>7.6384831416643579E-3</v>
      </c>
      <c r="AV1002" s="58">
        <f t="shared" si="462"/>
        <v>4.8675505653430484E-3</v>
      </c>
      <c r="AW1002" s="59">
        <f t="shared" si="463"/>
        <v>1.004867550565343</v>
      </c>
      <c r="AX1002" s="60">
        <f>PRODUCT(AW$4:AW1002)</f>
        <v>127.85369486517874</v>
      </c>
    </row>
    <row r="1003" spans="45:50">
      <c r="AS1003" s="55">
        <f t="shared" si="461"/>
        <v>84</v>
      </c>
      <c r="AT1003" s="56">
        <f t="shared" si="464"/>
        <v>1000</v>
      </c>
      <c r="AU1003" s="57">
        <f t="shared" si="465"/>
        <v>7.6013024387297859E-3</v>
      </c>
      <c r="AV1003" s="58">
        <f t="shared" si="462"/>
        <v>4.8675505653430484E-3</v>
      </c>
      <c r="AW1003" s="59">
        <f t="shared" si="463"/>
        <v>1.004867550565343</v>
      </c>
      <c r="AX1003" s="60">
        <f>PRODUCT(AW$4:AW1003)</f>
        <v>128.47602918990094</v>
      </c>
    </row>
    <row r="1004" spans="45:50">
      <c r="AS1004" s="55">
        <f t="shared" si="461"/>
        <v>84</v>
      </c>
      <c r="AT1004" s="56">
        <f t="shared" si="464"/>
        <v>1001</v>
      </c>
      <c r="AU1004" s="57">
        <f t="shared" si="465"/>
        <v>7.5643027147468036E-3</v>
      </c>
      <c r="AV1004" s="58">
        <f t="shared" si="462"/>
        <v>4.8675505653430484E-3</v>
      </c>
      <c r="AW1004" s="59">
        <f t="shared" si="463"/>
        <v>1.004867550565343</v>
      </c>
      <c r="AX1004" s="60">
        <f>PRODUCT(AW$4:AW1004)</f>
        <v>129.10139275841726</v>
      </c>
    </row>
    <row r="1005" spans="45:50">
      <c r="AS1005" s="55">
        <f t="shared" si="461"/>
        <v>84</v>
      </c>
      <c r="AT1005" s="56">
        <f t="shared" si="464"/>
        <v>1002</v>
      </c>
      <c r="AU1005" s="57">
        <f t="shared" si="465"/>
        <v>7.527483088791212E-3</v>
      </c>
      <c r="AV1005" s="58">
        <f t="shared" si="462"/>
        <v>4.8675505653430484E-3</v>
      </c>
      <c r="AW1005" s="59">
        <f t="shared" si="463"/>
        <v>1.004867550565343</v>
      </c>
      <c r="AX1005" s="60">
        <f>PRODUCT(AW$4:AW1005)</f>
        <v>129.72980031572507</v>
      </c>
    </row>
    <row r="1006" spans="45:50">
      <c r="AS1006" s="55">
        <f t="shared" si="461"/>
        <v>84</v>
      </c>
      <c r="AT1006" s="56">
        <f t="shared" si="464"/>
        <v>1003</v>
      </c>
      <c r="AU1006" s="57">
        <f t="shared" si="465"/>
        <v>7.4908426842267561E-3</v>
      </c>
      <c r="AV1006" s="58">
        <f t="shared" si="462"/>
        <v>4.8675505653430484E-3</v>
      </c>
      <c r="AW1006" s="59">
        <f t="shared" si="463"/>
        <v>1.004867550565343</v>
      </c>
      <c r="AX1006" s="60">
        <f>PRODUCT(AW$4:AW1006)</f>
        <v>130.36126667859372</v>
      </c>
    </row>
    <row r="1007" spans="45:50">
      <c r="AS1007" s="55">
        <f t="shared" si="461"/>
        <v>84</v>
      </c>
      <c r="AT1007" s="56">
        <f t="shared" si="464"/>
        <v>1004</v>
      </c>
      <c r="AU1007" s="57">
        <f t="shared" si="465"/>
        <v>7.4543806286842523E-3</v>
      </c>
      <c r="AV1007" s="58">
        <f t="shared" si="462"/>
        <v>4.8675505653430484E-3</v>
      </c>
      <c r="AW1007" s="59">
        <f t="shared" si="463"/>
        <v>1.004867550565343</v>
      </c>
      <c r="AX1007" s="60">
        <f>PRODUCT(AW$4:AW1007)</f>
        <v>130.99580673591396</v>
      </c>
    </row>
    <row r="1008" spans="45:50">
      <c r="AS1008" s="55">
        <f t="shared" si="461"/>
        <v>84</v>
      </c>
      <c r="AT1008" s="56">
        <f t="shared" si="464"/>
        <v>1005</v>
      </c>
      <c r="AU1008" s="57">
        <f t="shared" si="465"/>
        <v>7.4180960540408177E-3</v>
      </c>
      <c r="AV1008" s="58">
        <f t="shared" si="462"/>
        <v>4.8675505653430484E-3</v>
      </c>
      <c r="AW1008" s="59">
        <f t="shared" si="463"/>
        <v>1.004867550565343</v>
      </c>
      <c r="AX1008" s="60">
        <f>PRODUCT(AW$4:AW1008)</f>
        <v>131.63343544904893</v>
      </c>
    </row>
    <row r="1009" spans="45:50">
      <c r="AS1009" s="55">
        <f t="shared" si="461"/>
        <v>84</v>
      </c>
      <c r="AT1009" s="56">
        <f t="shared" si="464"/>
        <v>1006</v>
      </c>
      <c r="AU1009" s="57">
        <f t="shared" si="465"/>
        <v>7.3819880963992019E-3</v>
      </c>
      <c r="AV1009" s="58">
        <f t="shared" si="462"/>
        <v>4.8675505653430484E-3</v>
      </c>
      <c r="AW1009" s="59">
        <f t="shared" si="463"/>
        <v>1.004867550565343</v>
      </c>
      <c r="AX1009" s="60">
        <f>PRODUCT(AW$4:AW1009)</f>
        <v>132.27416785218699</v>
      </c>
    </row>
    <row r="1010" spans="45:50">
      <c r="AS1010" s="55">
        <f t="shared" si="461"/>
        <v>84</v>
      </c>
      <c r="AT1010" s="56">
        <f t="shared" si="464"/>
        <v>1007</v>
      </c>
      <c r="AU1010" s="57">
        <f t="shared" si="465"/>
        <v>7.3460558960672185E-3</v>
      </c>
      <c r="AV1010" s="58">
        <f t="shared" si="462"/>
        <v>4.8675505653430484E-3</v>
      </c>
      <c r="AW1010" s="59">
        <f t="shared" si="463"/>
        <v>1.004867550565343</v>
      </c>
      <c r="AX1010" s="60">
        <f>PRODUCT(AW$4:AW1010)</f>
        <v>132.9180190526962</v>
      </c>
    </row>
    <row r="1011" spans="45:50">
      <c r="AS1011" s="55">
        <f t="shared" si="461"/>
        <v>84</v>
      </c>
      <c r="AT1011" s="56">
        <f t="shared" si="464"/>
        <v>1008</v>
      </c>
      <c r="AU1011" s="57">
        <f t="shared" si="465"/>
        <v>7.3102985975372747E-3</v>
      </c>
      <c r="AV1011" s="58">
        <f t="shared" si="462"/>
        <v>4.8675505653430484E-3</v>
      </c>
      <c r="AW1011" s="59">
        <f t="shared" si="463"/>
        <v>1.004867550565343</v>
      </c>
      <c r="AX1011" s="60">
        <f>PRODUCT(AW$4:AW1011)</f>
        <v>133.56500423148043</v>
      </c>
    </row>
    <row r="1012" spans="45:50">
      <c r="AS1012" s="55">
        <f t="shared" si="461"/>
        <v>85</v>
      </c>
      <c r="AT1012" s="56">
        <f t="shared" si="464"/>
        <v>1009</v>
      </c>
      <c r="AU1012" s="57">
        <f t="shared" si="465"/>
        <v>7.2747153494660058E-3</v>
      </c>
      <c r="AV1012" s="58">
        <f t="shared" si="462"/>
        <v>4.8675505653430484E-3</v>
      </c>
      <c r="AW1012" s="59">
        <f t="shared" si="463"/>
        <v>1.004867550565343</v>
      </c>
      <c r="AX1012" s="60">
        <f>PRODUCT(AW$4:AW1012)</f>
        <v>134.21513864333741</v>
      </c>
    </row>
    <row r="1013" spans="45:50">
      <c r="AS1013" s="55">
        <f t="shared" si="461"/>
        <v>85</v>
      </c>
      <c r="AT1013" s="56">
        <f t="shared" si="464"/>
        <v>1010</v>
      </c>
      <c r="AU1013" s="57">
        <f t="shared" si="465"/>
        <v>7.2393053046540031E-3</v>
      </c>
      <c r="AV1013" s="58">
        <f t="shared" si="462"/>
        <v>4.8675505653430484E-3</v>
      </c>
      <c r="AW1013" s="59">
        <f t="shared" si="463"/>
        <v>1.004867550565343</v>
      </c>
      <c r="AX1013" s="60">
        <f>PRODUCT(AW$4:AW1013)</f>
        <v>134.86843761731839</v>
      </c>
    </row>
    <row r="1014" spans="45:50">
      <c r="AS1014" s="55">
        <f t="shared" si="461"/>
        <v>85</v>
      </c>
      <c r="AT1014" s="56">
        <f t="shared" si="464"/>
        <v>1011</v>
      </c>
      <c r="AU1014" s="57">
        <f t="shared" si="465"/>
        <v>7.2040676200256434E-3</v>
      </c>
      <c r="AV1014" s="58">
        <f t="shared" si="462"/>
        <v>4.8675505653430484E-3</v>
      </c>
      <c r="AW1014" s="59">
        <f t="shared" si="463"/>
        <v>1.004867550565343</v>
      </c>
      <c r="AX1014" s="60">
        <f>PRODUCT(AW$4:AW1014)</f>
        <v>135.52491655708951</v>
      </c>
    </row>
    <row r="1015" spans="45:50">
      <c r="AS1015" s="55">
        <f t="shared" si="461"/>
        <v>85</v>
      </c>
      <c r="AT1015" s="56">
        <f t="shared" si="464"/>
        <v>1012</v>
      </c>
      <c r="AU1015" s="57">
        <f t="shared" si="465"/>
        <v>7.1690014566090183E-3</v>
      </c>
      <c r="AV1015" s="58">
        <f t="shared" si="462"/>
        <v>4.8675505653430484E-3</v>
      </c>
      <c r="AW1015" s="59">
        <f t="shared" si="463"/>
        <v>1.004867550565343</v>
      </c>
      <c r="AX1015" s="60">
        <f>PRODUCT(AW$4:AW1015)</f>
        <v>136.18459094129506</v>
      </c>
    </row>
    <row r="1016" spans="45:50">
      <c r="AS1016" s="55">
        <f t="shared" si="461"/>
        <v>85</v>
      </c>
      <c r="AT1016" s="56">
        <f t="shared" si="464"/>
        <v>1013</v>
      </c>
      <c r="AU1016" s="57">
        <f t="shared" si="465"/>
        <v>7.1341059795159562E-3</v>
      </c>
      <c r="AV1016" s="58">
        <f t="shared" si="462"/>
        <v>4.8675505653430484E-3</v>
      </c>
      <c r="AW1016" s="59">
        <f t="shared" si="463"/>
        <v>1.004867550565343</v>
      </c>
      <c r="AX1016" s="60">
        <f>PRODUCT(AW$4:AW1016)</f>
        <v>136.84747632392236</v>
      </c>
    </row>
    <row r="1017" spans="45:50">
      <c r="AS1017" s="55">
        <f t="shared" si="461"/>
        <v>85</v>
      </c>
      <c r="AT1017" s="56">
        <f t="shared" si="464"/>
        <v>1014</v>
      </c>
      <c r="AU1017" s="57">
        <f t="shared" si="465"/>
        <v>7.0993803579221457E-3</v>
      </c>
      <c r="AV1017" s="58">
        <f t="shared" si="462"/>
        <v>4.8675505653430484E-3</v>
      </c>
      <c r="AW1017" s="59">
        <f t="shared" si="463"/>
        <v>1.004867550565343</v>
      </c>
      <c r="AX1017" s="60">
        <f>PRODUCT(AW$4:AW1017)</f>
        <v>137.51358833466864</v>
      </c>
    </row>
    <row r="1018" spans="45:50">
      <c r="AS1018" s="55">
        <f t="shared" si="461"/>
        <v>85</v>
      </c>
      <c r="AT1018" s="56">
        <f t="shared" si="464"/>
        <v>1015</v>
      </c>
      <c r="AU1018" s="57">
        <f t="shared" si="465"/>
        <v>7.0648237650473567E-3</v>
      </c>
      <c r="AV1018" s="58">
        <f t="shared" si="462"/>
        <v>4.8675505653430484E-3</v>
      </c>
      <c r="AW1018" s="59">
        <f t="shared" si="463"/>
        <v>1.004867550565343</v>
      </c>
      <c r="AX1018" s="60">
        <f>PRODUCT(AW$4:AW1018)</f>
        <v>138.18294267930941</v>
      </c>
    </row>
    <row r="1019" spans="45:50">
      <c r="AS1019" s="55">
        <f t="shared" si="461"/>
        <v>85</v>
      </c>
      <c r="AT1019" s="56">
        <f t="shared" si="464"/>
        <v>1016</v>
      </c>
      <c r="AU1019" s="57">
        <f t="shared" si="465"/>
        <v>7.0304353781357517E-3</v>
      </c>
      <c r="AV1019" s="58">
        <f t="shared" si="462"/>
        <v>4.8675505653430484E-3</v>
      </c>
      <c r="AW1019" s="59">
        <f t="shared" si="463"/>
        <v>1.004867550565343</v>
      </c>
      <c r="AX1019" s="60">
        <f>PRODUCT(AW$4:AW1019)</f>
        <v>138.85555514006884</v>
      </c>
    </row>
    <row r="1020" spans="45:50">
      <c r="AS1020" s="55">
        <f t="shared" si="461"/>
        <v>85</v>
      </c>
      <c r="AT1020" s="56">
        <f t="shared" si="464"/>
        <v>1017</v>
      </c>
      <c r="AU1020" s="57">
        <f t="shared" si="465"/>
        <v>6.9962143784362994E-3</v>
      </c>
      <c r="AV1020" s="58">
        <f t="shared" si="462"/>
        <v>4.8675505653430484E-3</v>
      </c>
      <c r="AW1020" s="59">
        <f t="shared" si="463"/>
        <v>1.004867550565343</v>
      </c>
      <c r="AX1020" s="60">
        <f>PRODUCT(AW$4:AW1020)</f>
        <v>139.53144157599192</v>
      </c>
    </row>
    <row r="1021" spans="45:50">
      <c r="AS1021" s="55">
        <f t="shared" si="461"/>
        <v>85</v>
      </c>
      <c r="AT1021" s="56">
        <f t="shared" si="464"/>
        <v>1018</v>
      </c>
      <c r="AU1021" s="57">
        <f t="shared" si="465"/>
        <v>6.9621599511832805E-3</v>
      </c>
      <c r="AV1021" s="58">
        <f t="shared" si="462"/>
        <v>4.8675505653430484E-3</v>
      </c>
      <c r="AW1021" s="59">
        <f t="shared" si="463"/>
        <v>1.004867550565343</v>
      </c>
      <c r="AX1021" s="60">
        <f>PRODUCT(AW$4:AW1021)</f>
        <v>140.21061792331827</v>
      </c>
    </row>
    <row r="1022" spans="45:50">
      <c r="AS1022" s="55">
        <f t="shared" si="461"/>
        <v>85</v>
      </c>
      <c r="AT1022" s="56">
        <f t="shared" si="464"/>
        <v>1019</v>
      </c>
      <c r="AU1022" s="57">
        <f t="shared" si="465"/>
        <v>6.9282712855768891E-3</v>
      </c>
      <c r="AV1022" s="58">
        <f t="shared" si="462"/>
        <v>4.8675505653430484E-3</v>
      </c>
      <c r="AW1022" s="59">
        <f t="shared" si="463"/>
        <v>1.004867550565343</v>
      </c>
      <c r="AX1022" s="60">
        <f>PRODUCT(AW$4:AW1022)</f>
        <v>140.89310019585801</v>
      </c>
    </row>
    <row r="1023" spans="45:50">
      <c r="AS1023" s="55">
        <f t="shared" si="461"/>
        <v>85</v>
      </c>
      <c r="AT1023" s="56">
        <f t="shared" si="464"/>
        <v>1020</v>
      </c>
      <c r="AU1023" s="57">
        <f t="shared" si="465"/>
        <v>6.8945475747639292E-3</v>
      </c>
      <c r="AV1023" s="58">
        <f t="shared" si="462"/>
        <v>4.8675505653430484E-3</v>
      </c>
      <c r="AW1023" s="59">
        <f t="shared" si="463"/>
        <v>1.004867550565343</v>
      </c>
      <c r="AX1023" s="60">
        <f>PRODUCT(AW$4:AW1023)</f>
        <v>141.57890448536929</v>
      </c>
    </row>
    <row r="1024" spans="45:50">
      <c r="AS1024" s="55">
        <f t="shared" si="461"/>
        <v>86</v>
      </c>
      <c r="AT1024" s="56">
        <f t="shared" si="464"/>
        <v>1021</v>
      </c>
      <c r="AU1024" s="57">
        <f t="shared" si="465"/>
        <v>6.8609880158186027E-3</v>
      </c>
      <c r="AV1024" s="58">
        <f t="shared" si="462"/>
        <v>4.8675505653430484E-3</v>
      </c>
      <c r="AW1024" s="59">
        <f t="shared" si="463"/>
        <v>1.004867550565343</v>
      </c>
      <c r="AX1024" s="60">
        <f>PRODUCT(AW$4:AW1024)</f>
        <v>142.2680469619377</v>
      </c>
    </row>
    <row r="1025" spans="45:50">
      <c r="AS1025" s="55">
        <f t="shared" si="461"/>
        <v>86</v>
      </c>
      <c r="AT1025" s="56">
        <f t="shared" si="464"/>
        <v>1022</v>
      </c>
      <c r="AU1025" s="57">
        <f t="shared" si="465"/>
        <v>6.8275918097233925E-3</v>
      </c>
      <c r="AV1025" s="58">
        <f t="shared" si="462"/>
        <v>4.8675505653430484E-3</v>
      </c>
      <c r="AW1025" s="59">
        <f t="shared" si="463"/>
        <v>1.004867550565343</v>
      </c>
      <c r="AX1025" s="60">
        <f>PRODUCT(AW$4:AW1025)</f>
        <v>142.96054387435754</v>
      </c>
    </row>
    <row r="1026" spans="45:50">
      <c r="AS1026" s="55">
        <f t="shared" si="461"/>
        <v>86</v>
      </c>
      <c r="AT1026" s="56">
        <f t="shared" si="464"/>
        <v>1023</v>
      </c>
      <c r="AU1026" s="57">
        <f t="shared" si="465"/>
        <v>6.7943581613500422E-3</v>
      </c>
      <c r="AV1026" s="58">
        <f t="shared" si="462"/>
        <v>4.8675505653430484E-3</v>
      </c>
      <c r="AW1026" s="59">
        <f t="shared" si="463"/>
        <v>1.004867550565343</v>
      </c>
      <c r="AX1026" s="60">
        <f>PRODUCT(AW$4:AW1026)</f>
        <v>143.65641155051492</v>
      </c>
    </row>
    <row r="1027" spans="45:50">
      <c r="AS1027" s="55">
        <f t="shared" si="461"/>
        <v>86</v>
      </c>
      <c r="AT1027" s="56">
        <f t="shared" si="464"/>
        <v>1024</v>
      </c>
      <c r="AU1027" s="57">
        <f t="shared" si="465"/>
        <v>6.76128627944062E-3</v>
      </c>
      <c r="AV1027" s="58">
        <f t="shared" si="462"/>
        <v>4.8675505653430484E-3</v>
      </c>
      <c r="AW1027" s="59">
        <f t="shared" si="463"/>
        <v>1.004867550565343</v>
      </c>
      <c r="AX1027" s="60">
        <f>PRODUCT(AW$4:AW1027)</f>
        <v>144.35566639777278</v>
      </c>
    </row>
    <row r="1028" spans="45:50">
      <c r="AS1028" s="55">
        <f t="shared" si="461"/>
        <v>86</v>
      </c>
      <c r="AT1028" s="56">
        <f t="shared" si="464"/>
        <v>1025</v>
      </c>
      <c r="AU1028" s="57">
        <f t="shared" si="465"/>
        <v>6.728375376588683E-3</v>
      </c>
      <c r="AV1028" s="58">
        <f t="shared" si="462"/>
        <v>4.8675505653430484E-3</v>
      </c>
      <c r="AW1028" s="59">
        <f t="shared" si="463"/>
        <v>1.004867550565343</v>
      </c>
      <c r="AX1028" s="60">
        <f>PRODUCT(AW$4:AW1028)</f>
        <v>145.05832490335774</v>
      </c>
    </row>
    <row r="1029" spans="45:50">
      <c r="AS1029" s="55">
        <f t="shared" ref="AS1029:AS1092" si="466">ROUNDDOWN((AT1029-1)/12,0)+1</f>
        <v>86</v>
      </c>
      <c r="AT1029" s="56">
        <f t="shared" si="464"/>
        <v>1026</v>
      </c>
      <c r="AU1029" s="57">
        <f t="shared" si="465"/>
        <v>6.6956246692205287E-3</v>
      </c>
      <c r="AV1029" s="58">
        <f t="shared" ref="AV1029:AV1092" si="467">((1+$AV$1)^(1/12))-1</f>
        <v>4.8675505653430484E-3</v>
      </c>
      <c r="AW1029" s="59">
        <f t="shared" ref="AW1029:AW1092" si="468">(1+AV1029)</f>
        <v>1.004867550565343</v>
      </c>
      <c r="AX1029" s="60">
        <f>PRODUCT(AW$4:AW1029)</f>
        <v>145.76440363474879</v>
      </c>
    </row>
    <row r="1030" spans="45:50">
      <c r="AS1030" s="55">
        <f t="shared" si="466"/>
        <v>86</v>
      </c>
      <c r="AT1030" s="56">
        <f t="shared" ref="AT1030:AT1093" si="469">AT1029+1</f>
        <v>1027</v>
      </c>
      <c r="AU1030" s="57">
        <f t="shared" si="465"/>
        <v>6.6630333775765391E-3</v>
      </c>
      <c r="AV1030" s="58">
        <f t="shared" si="467"/>
        <v>4.8675505653430484E-3</v>
      </c>
      <c r="AW1030" s="59">
        <f t="shared" si="468"/>
        <v>1.004867550565343</v>
      </c>
      <c r="AX1030" s="60">
        <f>PRODUCT(AW$4:AW1030)</f>
        <v>146.473919240068</v>
      </c>
    </row>
    <row r="1031" spans="45:50">
      <c r="AS1031" s="55">
        <f t="shared" si="466"/>
        <v>86</v>
      </c>
      <c r="AT1031" s="56">
        <f t="shared" si="469"/>
        <v>1028</v>
      </c>
      <c r="AU1031" s="57">
        <f t="shared" si="465"/>
        <v>6.6306007256926166E-3</v>
      </c>
      <c r="AV1031" s="58">
        <f t="shared" si="467"/>
        <v>4.8675505653430484E-3</v>
      </c>
      <c r="AW1031" s="59">
        <f t="shared" si="468"/>
        <v>1.004867550565343</v>
      </c>
      <c r="AX1031" s="60">
        <f>PRODUCT(AW$4:AW1031)</f>
        <v>147.18688844847301</v>
      </c>
    </row>
    <row r="1032" spans="45:50">
      <c r="AS1032" s="55">
        <f t="shared" si="466"/>
        <v>86</v>
      </c>
      <c r="AT1032" s="56">
        <f t="shared" si="469"/>
        <v>1029</v>
      </c>
      <c r="AU1032" s="57">
        <f t="shared" si="465"/>
        <v>6.5983259413817073E-3</v>
      </c>
      <c r="AV1032" s="58">
        <f t="shared" si="467"/>
        <v>4.8675505653430484E-3</v>
      </c>
      <c r="AW1032" s="59">
        <f t="shared" si="468"/>
        <v>1.004867550565343</v>
      </c>
      <c r="AX1032" s="60">
        <f>PRODUCT(AW$4:AW1032)</f>
        <v>147.90332807055145</v>
      </c>
    </row>
    <row r="1033" spans="45:50">
      <c r="AS1033" s="55">
        <f t="shared" si="466"/>
        <v>86</v>
      </c>
      <c r="AT1033" s="56">
        <f t="shared" si="469"/>
        <v>1030</v>
      </c>
      <c r="AU1033" s="57">
        <f t="shared" si="465"/>
        <v>6.5662082562154174E-3</v>
      </c>
      <c r="AV1033" s="58">
        <f t="shared" si="467"/>
        <v>4.8675505653430484E-3</v>
      </c>
      <c r="AW1033" s="59">
        <f t="shared" si="468"/>
        <v>1.004867550565343</v>
      </c>
      <c r="AX1033" s="60">
        <f>PRODUCT(AW$4:AW1033)</f>
        <v>148.62325499871739</v>
      </c>
    </row>
    <row r="1034" spans="45:50">
      <c r="AS1034" s="55">
        <f t="shared" si="466"/>
        <v>86</v>
      </c>
      <c r="AT1034" s="56">
        <f t="shared" si="469"/>
        <v>1031</v>
      </c>
      <c r="AU1034" s="57">
        <f t="shared" si="465"/>
        <v>6.534246905505716E-3</v>
      </c>
      <c r="AV1034" s="58">
        <f t="shared" si="467"/>
        <v>4.8675505653430484E-3</v>
      </c>
      <c r="AW1034" s="59">
        <f t="shared" si="468"/>
        <v>1.004867550565343</v>
      </c>
      <c r="AX1034" s="60">
        <f>PRODUCT(AW$4:AW1034)</f>
        <v>149.34668620760951</v>
      </c>
    </row>
    <row r="1035" spans="45:50">
      <c r="AS1035" s="55">
        <f t="shared" si="466"/>
        <v>86</v>
      </c>
      <c r="AT1035" s="56">
        <f t="shared" si="469"/>
        <v>1032</v>
      </c>
      <c r="AU1035" s="57">
        <f t="shared" si="465"/>
        <v>6.5024411282867305E-3</v>
      </c>
      <c r="AV1035" s="58">
        <f t="shared" si="467"/>
        <v>4.8675505653430484E-3</v>
      </c>
      <c r="AW1035" s="59">
        <f t="shared" si="468"/>
        <v>1.004867550565343</v>
      </c>
      <c r="AX1035" s="60">
        <f>PRODUCT(AW$4:AW1035)</f>
        <v>150.07363875449147</v>
      </c>
    </row>
    <row r="1036" spans="45:50">
      <c r="AS1036" s="55">
        <f t="shared" si="466"/>
        <v>87</v>
      </c>
      <c r="AT1036" s="56">
        <f t="shared" si="469"/>
        <v>1033</v>
      </c>
      <c r="AU1036" s="57">
        <f t="shared" si="465"/>
        <v>6.4707901672966285E-3</v>
      </c>
      <c r="AV1036" s="58">
        <f t="shared" si="467"/>
        <v>4.8675505653430484E-3</v>
      </c>
      <c r="AW1036" s="59">
        <f t="shared" si="468"/>
        <v>1.004867550565343</v>
      </c>
      <c r="AX1036" s="60">
        <f>PRODUCT(AW$4:AW1036)</f>
        <v>150.80412977965398</v>
      </c>
    </row>
    <row r="1037" spans="45:50">
      <c r="AS1037" s="55">
        <f t="shared" si="466"/>
        <v>87</v>
      </c>
      <c r="AT1037" s="56">
        <f t="shared" si="469"/>
        <v>1034</v>
      </c>
      <c r="AU1037" s="57">
        <f t="shared" si="465"/>
        <v>6.4392932689595877E-3</v>
      </c>
      <c r="AV1037" s="58">
        <f t="shared" si="467"/>
        <v>4.8675505653430484E-3</v>
      </c>
      <c r="AW1037" s="59">
        <f t="shared" si="468"/>
        <v>1.004867550565343</v>
      </c>
      <c r="AX1037" s="60">
        <f>PRODUCT(AW$4:AW1037)</f>
        <v>151.53817650681898</v>
      </c>
    </row>
    <row r="1038" spans="45:50">
      <c r="AS1038" s="55">
        <f t="shared" si="466"/>
        <v>87</v>
      </c>
      <c r="AT1038" s="56">
        <f t="shared" si="469"/>
        <v>1035</v>
      </c>
      <c r="AU1038" s="57">
        <f t="shared" si="465"/>
        <v>6.4079496833678541E-3</v>
      </c>
      <c r="AV1038" s="58">
        <f t="shared" si="467"/>
        <v>4.8675505653430484E-3</v>
      </c>
      <c r="AW1038" s="59">
        <f t="shared" si="468"/>
        <v>1.004867550565343</v>
      </c>
      <c r="AX1038" s="60">
        <f>PRODUCT(AW$4:AW1038)</f>
        <v>152.27579624354581</v>
      </c>
    </row>
    <row r="1039" spans="45:50">
      <c r="AS1039" s="55">
        <f t="shared" si="466"/>
        <v>87</v>
      </c>
      <c r="AT1039" s="56">
        <f t="shared" si="469"/>
        <v>1036</v>
      </c>
      <c r="AU1039" s="57">
        <f t="shared" si="465"/>
        <v>6.3767586642638867E-3</v>
      </c>
      <c r="AV1039" s="58">
        <f t="shared" si="467"/>
        <v>4.8675505653430484E-3</v>
      </c>
      <c r="AW1039" s="59">
        <f t="shared" si="468"/>
        <v>1.004867550565343</v>
      </c>
      <c r="AX1039" s="60">
        <f>PRODUCT(AW$4:AW1039)</f>
        <v>153.01700638163913</v>
      </c>
    </row>
    <row r="1040" spans="45:50">
      <c r="AS1040" s="55">
        <f t="shared" si="466"/>
        <v>87</v>
      </c>
      <c r="AT1040" s="56">
        <f t="shared" si="469"/>
        <v>1037</v>
      </c>
      <c r="AU1040" s="57">
        <f t="shared" si="465"/>
        <v>6.345719469022593E-3</v>
      </c>
      <c r="AV1040" s="58">
        <f t="shared" si="467"/>
        <v>4.8675505653430484E-3</v>
      </c>
      <c r="AW1040" s="59">
        <f t="shared" si="468"/>
        <v>1.004867550565343</v>
      </c>
      <c r="AX1040" s="60">
        <f>PRODUCT(AW$4:AW1040)</f>
        <v>153.7618243975592</v>
      </c>
    </row>
    <row r="1041" spans="45:50">
      <c r="AS1041" s="55">
        <f t="shared" si="466"/>
        <v>87</v>
      </c>
      <c r="AT1041" s="56">
        <f t="shared" si="469"/>
        <v>1038</v>
      </c>
      <c r="AU1041" s="57">
        <f t="shared" si="465"/>
        <v>6.3148313586336435E-3</v>
      </c>
      <c r="AV1041" s="58">
        <f t="shared" si="467"/>
        <v>4.8675505653430484E-3</v>
      </c>
      <c r="AW1041" s="59">
        <f t="shared" si="468"/>
        <v>1.004867550565343</v>
      </c>
      <c r="AX1041" s="60">
        <f>PRODUCT(AW$4:AW1041)</f>
        <v>154.51026785283372</v>
      </c>
    </row>
    <row r="1042" spans="45:50">
      <c r="AS1042" s="55">
        <f t="shared" si="466"/>
        <v>87</v>
      </c>
      <c r="AT1042" s="56">
        <f t="shared" si="469"/>
        <v>1039</v>
      </c>
      <c r="AU1042" s="57">
        <f t="shared" si="465"/>
        <v>6.28409359768388E-3</v>
      </c>
      <c r="AV1042" s="58">
        <f t="shared" si="467"/>
        <v>4.8675505653430484E-3</v>
      </c>
      <c r="AW1042" s="59">
        <f t="shared" si="468"/>
        <v>1.004867550565343</v>
      </c>
      <c r="AX1042" s="60">
        <f>PRODUCT(AW$4:AW1042)</f>
        <v>155.26235439447208</v>
      </c>
    </row>
    <row r="1043" spans="45:50">
      <c r="AS1043" s="55">
        <f t="shared" si="466"/>
        <v>87</v>
      </c>
      <c r="AT1043" s="56">
        <f t="shared" si="469"/>
        <v>1040</v>
      </c>
      <c r="AU1043" s="57">
        <f t="shared" si="465"/>
        <v>6.2535054543398048E-3</v>
      </c>
      <c r="AV1043" s="58">
        <f t="shared" si="467"/>
        <v>4.8675505653430484E-3</v>
      </c>
      <c r="AW1043" s="59">
        <f t="shared" si="468"/>
        <v>1.004867550565343</v>
      </c>
      <c r="AX1043" s="60">
        <f>PRODUCT(AW$4:AW1043)</f>
        <v>156.01810175538139</v>
      </c>
    </row>
    <row r="1044" spans="45:50">
      <c r="AS1044" s="55">
        <f t="shared" si="466"/>
        <v>87</v>
      </c>
      <c r="AT1044" s="56">
        <f t="shared" si="469"/>
        <v>1041</v>
      </c>
      <c r="AU1044" s="57">
        <f t="shared" si="465"/>
        <v>6.2230662003301572E-3</v>
      </c>
      <c r="AV1044" s="58">
        <f t="shared" si="467"/>
        <v>4.8675505653430484E-3</v>
      </c>
      <c r="AW1044" s="59">
        <f t="shared" si="468"/>
        <v>1.004867550565343</v>
      </c>
      <c r="AX1044" s="60">
        <f>PRODUCT(AW$4:AW1044)</f>
        <v>156.77752775478456</v>
      </c>
    </row>
    <row r="1045" spans="45:50">
      <c r="AS1045" s="55">
        <f t="shared" si="466"/>
        <v>87</v>
      </c>
      <c r="AT1045" s="56">
        <f t="shared" si="469"/>
        <v>1042</v>
      </c>
      <c r="AU1045" s="57">
        <f t="shared" si="465"/>
        <v>6.1927751109285729E-3</v>
      </c>
      <c r="AV1045" s="58">
        <f t="shared" si="467"/>
        <v>4.8675505653430484E-3</v>
      </c>
      <c r="AW1045" s="59">
        <f t="shared" si="468"/>
        <v>1.004867550565343</v>
      </c>
      <c r="AX1045" s="60">
        <f>PRODUCT(AW$4:AW1045)</f>
        <v>157.54065029864046</v>
      </c>
    </row>
    <row r="1046" spans="45:50">
      <c r="AS1046" s="55">
        <f t="shared" si="466"/>
        <v>87</v>
      </c>
      <c r="AT1046" s="56">
        <f t="shared" si="469"/>
        <v>1043</v>
      </c>
      <c r="AU1046" s="57">
        <f t="shared" si="465"/>
        <v>6.1626314649363299E-3</v>
      </c>
      <c r="AV1046" s="58">
        <f t="shared" si="467"/>
        <v>4.8675505653430484E-3</v>
      </c>
      <c r="AW1046" s="59">
        <f t="shared" si="468"/>
        <v>1.004867550565343</v>
      </c>
      <c r="AX1046" s="60">
        <f>PRODUCT(AW$4:AW1046)</f>
        <v>158.30748738006611</v>
      </c>
    </row>
    <row r="1047" spans="45:50">
      <c r="AS1047" s="55">
        <f t="shared" si="466"/>
        <v>87</v>
      </c>
      <c r="AT1047" s="56">
        <f t="shared" si="469"/>
        <v>1044</v>
      </c>
      <c r="AU1047" s="57">
        <f t="shared" ref="AU1047:AU1110" si="470">(1-AV1047)*AU1046</f>
        <v>6.1326345446651781E-3</v>
      </c>
      <c r="AV1047" s="58">
        <f t="shared" si="467"/>
        <v>4.8675505653430484E-3</v>
      </c>
      <c r="AW1047" s="59">
        <f t="shared" si="468"/>
        <v>1.004867550565343</v>
      </c>
      <c r="AX1047" s="60">
        <f>PRODUCT(AW$4:AW1047)</f>
        <v>159.07805707976098</v>
      </c>
    </row>
    <row r="1048" spans="45:50">
      <c r="AS1048" s="55">
        <f t="shared" si="466"/>
        <v>88</v>
      </c>
      <c r="AT1048" s="56">
        <f t="shared" si="469"/>
        <v>1045</v>
      </c>
      <c r="AU1048" s="57">
        <f t="shared" si="470"/>
        <v>6.102783635920251E-3</v>
      </c>
      <c r="AV1048" s="58">
        <f t="shared" si="467"/>
        <v>4.8675505653430484E-3</v>
      </c>
      <c r="AW1048" s="59">
        <f t="shared" si="468"/>
        <v>1.004867550565343</v>
      </c>
      <c r="AX1048" s="60">
        <f>PRODUCT(AW$4:AW1048)</f>
        <v>159.85237756643323</v>
      </c>
    </row>
    <row r="1049" spans="45:50">
      <c r="AS1049" s="55">
        <f t="shared" si="466"/>
        <v>88</v>
      </c>
      <c r="AT1049" s="56">
        <f t="shared" si="469"/>
        <v>1046</v>
      </c>
      <c r="AU1049" s="57">
        <f t="shared" si="470"/>
        <v>6.0730780279830612E-3</v>
      </c>
      <c r="AV1049" s="58">
        <f t="shared" si="467"/>
        <v>4.8675505653430484E-3</v>
      </c>
      <c r="AW1049" s="59">
        <f t="shared" si="468"/>
        <v>1.004867550565343</v>
      </c>
      <c r="AX1049" s="60">
        <f>PRODUCT(AW$4:AW1049)</f>
        <v>160.63046709722815</v>
      </c>
    </row>
    <row r="1050" spans="45:50">
      <c r="AS1050" s="55">
        <f t="shared" si="466"/>
        <v>88</v>
      </c>
      <c r="AT1050" s="56">
        <f t="shared" si="469"/>
        <v>1047</v>
      </c>
      <c r="AU1050" s="57">
        <f t="shared" si="470"/>
        <v>6.0435170135945794E-3</v>
      </c>
      <c r="AV1050" s="58">
        <f t="shared" si="467"/>
        <v>4.8675505653430484E-3</v>
      </c>
      <c r="AW1050" s="59">
        <f t="shared" si="468"/>
        <v>1.004867550565343</v>
      </c>
      <c r="AX1050" s="60">
        <f>PRODUCT(AW$4:AW1050)</f>
        <v>161.41234401815859</v>
      </c>
    </row>
    <row r="1051" spans="45:50">
      <c r="AS1051" s="55">
        <f t="shared" si="466"/>
        <v>88</v>
      </c>
      <c r="AT1051" s="56">
        <f t="shared" si="469"/>
        <v>1048</v>
      </c>
      <c r="AU1051" s="57">
        <f t="shared" si="470"/>
        <v>6.014099888938397E-3</v>
      </c>
      <c r="AV1051" s="58">
        <f t="shared" si="467"/>
        <v>4.8675505653430484E-3</v>
      </c>
      <c r="AW1051" s="59">
        <f t="shared" si="468"/>
        <v>1.004867550565343</v>
      </c>
      <c r="AX1051" s="60">
        <f>PRODUCT(AW$4:AW1051)</f>
        <v>162.19802676453753</v>
      </c>
    </row>
    <row r="1052" spans="45:50">
      <c r="AS1052" s="55">
        <f t="shared" si="466"/>
        <v>88</v>
      </c>
      <c r="AT1052" s="56">
        <f t="shared" si="469"/>
        <v>1049</v>
      </c>
      <c r="AU1052" s="57">
        <f t="shared" si="470"/>
        <v>5.9848259536239654E-3</v>
      </c>
      <c r="AV1052" s="58">
        <f t="shared" si="467"/>
        <v>4.8675505653430484E-3</v>
      </c>
      <c r="AW1052" s="59">
        <f t="shared" si="468"/>
        <v>1.004867550565343</v>
      </c>
      <c r="AX1052" s="60">
        <f>PRODUCT(AW$4:AW1052)</f>
        <v>162.98753386141277</v>
      </c>
    </row>
    <row r="1053" spans="45:50">
      <c r="AS1053" s="55">
        <f t="shared" si="466"/>
        <v>88</v>
      </c>
      <c r="AT1053" s="56">
        <f t="shared" si="469"/>
        <v>1050</v>
      </c>
      <c r="AU1053" s="57">
        <f t="shared" si="470"/>
        <v>5.9556945106699231E-3</v>
      </c>
      <c r="AV1053" s="58">
        <f t="shared" si="467"/>
        <v>4.8675505653430484E-3</v>
      </c>
      <c r="AW1053" s="59">
        <f t="shared" si="468"/>
        <v>1.004867550565343</v>
      </c>
      <c r="AX1053" s="60">
        <f>PRODUCT(AW$4:AW1053)</f>
        <v>163.78088392400377</v>
      </c>
    </row>
    <row r="1054" spans="45:50">
      <c r="AS1054" s="55">
        <f t="shared" si="466"/>
        <v>88</v>
      </c>
      <c r="AT1054" s="56">
        <f t="shared" si="469"/>
        <v>1051</v>
      </c>
      <c r="AU1054" s="57">
        <f t="shared" si="470"/>
        <v>5.9267048664875012E-3</v>
      </c>
      <c r="AV1054" s="58">
        <f t="shared" si="467"/>
        <v>4.8675505653430484E-3</v>
      </c>
      <c r="AW1054" s="59">
        <f t="shared" si="468"/>
        <v>1.004867550565343</v>
      </c>
      <c r="AX1054" s="60">
        <f>PRODUCT(AW$4:AW1054)</f>
        <v>164.57809565814046</v>
      </c>
    </row>
    <row r="1055" spans="45:50">
      <c r="AS1055" s="55">
        <f t="shared" si="466"/>
        <v>88</v>
      </c>
      <c r="AT1055" s="56">
        <f t="shared" si="469"/>
        <v>1052</v>
      </c>
      <c r="AU1055" s="57">
        <f t="shared" si="470"/>
        <v>5.8978563308640089E-3</v>
      </c>
      <c r="AV1055" s="58">
        <f t="shared" si="467"/>
        <v>4.8675505653430484E-3</v>
      </c>
      <c r="AW1055" s="59">
        <f t="shared" si="468"/>
        <v>1.004867550565343</v>
      </c>
      <c r="AX1055" s="60">
        <f>PRODUCT(AW$4:AW1055)</f>
        <v>165.37918786070432</v>
      </c>
    </row>
    <row r="1056" spans="45:50">
      <c r="AS1056" s="55">
        <f t="shared" si="466"/>
        <v>88</v>
      </c>
      <c r="AT1056" s="56">
        <f t="shared" si="469"/>
        <v>1053</v>
      </c>
      <c r="AU1056" s="57">
        <f t="shared" si="470"/>
        <v>5.8691482169463995E-3</v>
      </c>
      <c r="AV1056" s="58">
        <f t="shared" si="467"/>
        <v>4.8675505653430484E-3</v>
      </c>
      <c r="AW1056" s="59">
        <f t="shared" si="468"/>
        <v>1.004867550565343</v>
      </c>
      <c r="AX1056" s="60">
        <f>PRODUCT(AW$4:AW1056)</f>
        <v>166.18417942007167</v>
      </c>
    </row>
    <row r="1057" spans="45:50">
      <c r="AS1057" s="55">
        <f t="shared" si="466"/>
        <v>88</v>
      </c>
      <c r="AT1057" s="56">
        <f t="shared" si="469"/>
        <v>1054</v>
      </c>
      <c r="AU1057" s="57">
        <f t="shared" si="470"/>
        <v>5.8405798412249198E-3</v>
      </c>
      <c r="AV1057" s="58">
        <f t="shared" si="467"/>
        <v>4.8675505653430484E-3</v>
      </c>
      <c r="AW1057" s="59">
        <f t="shared" si="468"/>
        <v>1.004867550565343</v>
      </c>
      <c r="AX1057" s="60">
        <f>PRODUCT(AW$4:AW1057)</f>
        <v>166.99308931655892</v>
      </c>
    </row>
    <row r="1058" spans="45:50">
      <c r="AS1058" s="55">
        <f t="shared" si="466"/>
        <v>88</v>
      </c>
      <c r="AT1058" s="56">
        <f t="shared" si="469"/>
        <v>1055</v>
      </c>
      <c r="AU1058" s="57">
        <f t="shared" si="470"/>
        <v>5.8121505235168344E-3</v>
      </c>
      <c r="AV1058" s="58">
        <f t="shared" si="467"/>
        <v>4.8675505653430484E-3</v>
      </c>
      <c r="AW1058" s="59">
        <f t="shared" si="468"/>
        <v>1.004867550565343</v>
      </c>
      <c r="AX1058" s="60">
        <f>PRODUCT(AW$4:AW1058)</f>
        <v>167.80593662287012</v>
      </c>
    </row>
    <row r="1059" spans="45:50">
      <c r="AS1059" s="55">
        <f t="shared" si="466"/>
        <v>88</v>
      </c>
      <c r="AT1059" s="56">
        <f t="shared" si="469"/>
        <v>1056</v>
      </c>
      <c r="AU1059" s="57">
        <f t="shared" si="470"/>
        <v>5.7838595869502312E-3</v>
      </c>
      <c r="AV1059" s="58">
        <f t="shared" si="467"/>
        <v>4.8675505653430484E-3</v>
      </c>
      <c r="AW1059" s="59">
        <f t="shared" si="468"/>
        <v>1.004867550565343</v>
      </c>
      <c r="AX1059" s="60">
        <f>PRODUCT(AW$4:AW1059)</f>
        <v>168.6227405045467</v>
      </c>
    </row>
    <row r="1060" spans="45:50">
      <c r="AS1060" s="55">
        <f t="shared" si="466"/>
        <v>89</v>
      </c>
      <c r="AT1060" s="56">
        <f t="shared" si="469"/>
        <v>1057</v>
      </c>
      <c r="AU1060" s="57">
        <f t="shared" si="470"/>
        <v>5.7557063579479067E-3</v>
      </c>
      <c r="AV1060" s="58">
        <f t="shared" si="467"/>
        <v>4.8675505653430484E-3</v>
      </c>
      <c r="AW1060" s="59">
        <f t="shared" si="468"/>
        <v>1.004867550565343</v>
      </c>
      <c r="AX1060" s="60">
        <f>PRODUCT(AW$4:AW1060)</f>
        <v>169.44352022041929</v>
      </c>
    </row>
    <row r="1061" spans="45:50">
      <c r="AS1061" s="55">
        <f t="shared" si="466"/>
        <v>89</v>
      </c>
      <c r="AT1061" s="56">
        <f t="shared" si="469"/>
        <v>1058</v>
      </c>
      <c r="AU1061" s="57">
        <f t="shared" si="470"/>
        <v>5.7276901662113291E-3</v>
      </c>
      <c r="AV1061" s="58">
        <f t="shared" si="467"/>
        <v>4.8675505653430484E-3</v>
      </c>
      <c r="AW1061" s="59">
        <f t="shared" si="468"/>
        <v>1.004867550565343</v>
      </c>
      <c r="AX1061" s="60">
        <f>PRODUCT(AW$4:AW1061)</f>
        <v>170.2682951230619</v>
      </c>
    </row>
    <row r="1062" spans="45:50">
      <c r="AS1062" s="55">
        <f t="shared" si="466"/>
        <v>89</v>
      </c>
      <c r="AT1062" s="56">
        <f t="shared" si="469"/>
        <v>1059</v>
      </c>
      <c r="AU1062" s="57">
        <f t="shared" si="470"/>
        <v>5.6998103447046776E-3</v>
      </c>
      <c r="AV1062" s="58">
        <f t="shared" si="467"/>
        <v>4.8675505653430484E-3</v>
      </c>
      <c r="AW1062" s="59">
        <f t="shared" si="468"/>
        <v>1.004867550565343</v>
      </c>
      <c r="AX1062" s="60">
        <f>PRODUCT(AW$4:AW1062)</f>
        <v>171.09708465924817</v>
      </c>
    </row>
    <row r="1063" spans="45:50">
      <c r="AS1063" s="55">
        <f t="shared" si="466"/>
        <v>89</v>
      </c>
      <c r="AT1063" s="56">
        <f t="shared" si="469"/>
        <v>1060</v>
      </c>
      <c r="AU1063" s="57">
        <f t="shared" si="470"/>
        <v>5.6720662296389623E-3</v>
      </c>
      <c r="AV1063" s="58">
        <f t="shared" si="467"/>
        <v>4.8675505653430484E-3</v>
      </c>
      <c r="AW1063" s="59">
        <f t="shared" si="468"/>
        <v>1.004867550565343</v>
      </c>
      <c r="AX1063" s="60">
        <f>PRODUCT(AW$4:AW1063)</f>
        <v>171.92990837040983</v>
      </c>
    </row>
    <row r="1064" spans="45:50">
      <c r="AS1064" s="55">
        <f t="shared" si="466"/>
        <v>89</v>
      </c>
      <c r="AT1064" s="56">
        <f t="shared" si="469"/>
        <v>1061</v>
      </c>
      <c r="AU1064" s="57">
        <f t="shared" si="470"/>
        <v>5.6444571604562198E-3</v>
      </c>
      <c r="AV1064" s="58">
        <f t="shared" si="467"/>
        <v>4.8675505653430484E-3</v>
      </c>
      <c r="AW1064" s="59">
        <f t="shared" si="468"/>
        <v>1.004867550565343</v>
      </c>
      <c r="AX1064" s="60">
        <f>PRODUCT(AW$4:AW1064)</f>
        <v>172.76678589309759</v>
      </c>
    </row>
    <row r="1065" spans="45:50">
      <c r="AS1065" s="55">
        <f t="shared" si="466"/>
        <v>89</v>
      </c>
      <c r="AT1065" s="56">
        <f t="shared" si="469"/>
        <v>1062</v>
      </c>
      <c r="AU1065" s="57">
        <f t="shared" si="470"/>
        <v>5.6169824798137863E-3</v>
      </c>
      <c r="AV1065" s="58">
        <f t="shared" si="467"/>
        <v>4.8675505653430484E-3</v>
      </c>
      <c r="AW1065" s="59">
        <f t="shared" si="468"/>
        <v>1.004867550565343</v>
      </c>
      <c r="AX1065" s="60">
        <f>PRODUCT(AW$4:AW1065)</f>
        <v>173.60773695944403</v>
      </c>
    </row>
    <row r="1066" spans="45:50">
      <c r="AS1066" s="55">
        <f t="shared" si="466"/>
        <v>89</v>
      </c>
      <c r="AT1066" s="56">
        <f t="shared" si="469"/>
        <v>1063</v>
      </c>
      <c r="AU1066" s="57">
        <f t="shared" si="470"/>
        <v>5.589641533568647E-3</v>
      </c>
      <c r="AV1066" s="58">
        <f t="shared" si="467"/>
        <v>4.8675505653430484E-3</v>
      </c>
      <c r="AW1066" s="59">
        <f t="shared" si="468"/>
        <v>1.004867550565343</v>
      </c>
      <c r="AX1066" s="60">
        <f>PRODUCT(AW$4:AW1066)</f>
        <v>174.45278139762888</v>
      </c>
    </row>
    <row r="1067" spans="45:50">
      <c r="AS1067" s="55">
        <f t="shared" si="466"/>
        <v>89</v>
      </c>
      <c r="AT1067" s="56">
        <f t="shared" si="469"/>
        <v>1064</v>
      </c>
      <c r="AU1067" s="57">
        <f t="shared" si="470"/>
        <v>5.5624336707618596E-3</v>
      </c>
      <c r="AV1067" s="58">
        <f t="shared" si="467"/>
        <v>4.8675505653430484E-3</v>
      </c>
      <c r="AW1067" s="59">
        <f t="shared" si="468"/>
        <v>1.004867550565343</v>
      </c>
      <c r="AX1067" s="60">
        <f>PRODUCT(AW$4:AW1067)</f>
        <v>175.30193913234658</v>
      </c>
    </row>
    <row r="1068" spans="45:50">
      <c r="AS1068" s="55">
        <f t="shared" si="466"/>
        <v>89</v>
      </c>
      <c r="AT1068" s="56">
        <f t="shared" si="469"/>
        <v>1065</v>
      </c>
      <c r="AU1068" s="57">
        <f t="shared" si="470"/>
        <v>5.5353582436030594E-3</v>
      </c>
      <c r="AV1068" s="58">
        <f t="shared" si="467"/>
        <v>4.8675505653430484E-3</v>
      </c>
      <c r="AW1068" s="59">
        <f t="shared" si="468"/>
        <v>1.004867550565343</v>
      </c>
      <c r="AX1068" s="60">
        <f>PRODUCT(AW$4:AW1068)</f>
        <v>176.15523018527597</v>
      </c>
    </row>
    <row r="1069" spans="45:50">
      <c r="AS1069" s="55">
        <f t="shared" si="466"/>
        <v>89</v>
      </c>
      <c r="AT1069" s="56">
        <f t="shared" si="469"/>
        <v>1066</v>
      </c>
      <c r="AU1069" s="57">
        <f t="shared" si="470"/>
        <v>5.508414607455033E-3</v>
      </c>
      <c r="AV1069" s="58">
        <f t="shared" si="467"/>
        <v>4.8675505653430484E-3</v>
      </c>
      <c r="AW1069" s="59">
        <f t="shared" si="468"/>
        <v>1.004867550565343</v>
      </c>
      <c r="AX1069" s="60">
        <f>PRODUCT(AW$4:AW1069)</f>
        <v>177.01267467555243</v>
      </c>
    </row>
    <row r="1070" spans="45:50">
      <c r="AS1070" s="55">
        <f t="shared" si="466"/>
        <v>89</v>
      </c>
      <c r="AT1070" s="56">
        <f t="shared" si="469"/>
        <v>1067</v>
      </c>
      <c r="AU1070" s="57">
        <f t="shared" si="470"/>
        <v>5.4816021208183713E-3</v>
      </c>
      <c r="AV1070" s="58">
        <f t="shared" si="467"/>
        <v>4.8675505653430484E-3</v>
      </c>
      <c r="AW1070" s="59">
        <f t="shared" si="468"/>
        <v>1.004867550565343</v>
      </c>
      <c r="AX1070" s="60">
        <f>PRODUCT(AW$4:AW1070)</f>
        <v>177.87429282024229</v>
      </c>
    </row>
    <row r="1071" spans="45:50">
      <c r="AS1071" s="55">
        <f t="shared" si="466"/>
        <v>89</v>
      </c>
      <c r="AT1071" s="56">
        <f t="shared" si="469"/>
        <v>1068</v>
      </c>
      <c r="AU1071" s="57">
        <f t="shared" si="470"/>
        <v>5.454920145316196E-3</v>
      </c>
      <c r="AV1071" s="58">
        <f t="shared" si="467"/>
        <v>4.8675505653430484E-3</v>
      </c>
      <c r="AW1071" s="59">
        <f t="shared" si="468"/>
        <v>1.004867550565343</v>
      </c>
      <c r="AX1071" s="60">
        <f>PRODUCT(AW$4:AW1071)</f>
        <v>178.74010493481944</v>
      </c>
    </row>
    <row r="1072" spans="45:50">
      <c r="AS1072" s="55">
        <f t="shared" si="466"/>
        <v>90</v>
      </c>
      <c r="AT1072" s="56">
        <f t="shared" si="469"/>
        <v>1069</v>
      </c>
      <c r="AU1072" s="57">
        <f t="shared" si="470"/>
        <v>5.4283680456789609E-3</v>
      </c>
      <c r="AV1072" s="58">
        <f t="shared" si="467"/>
        <v>4.8675505653430484E-3</v>
      </c>
      <c r="AW1072" s="59">
        <f t="shared" si="468"/>
        <v>1.004867550565343</v>
      </c>
      <c r="AX1072" s="60">
        <f>PRODUCT(AW$4:AW1072)</f>
        <v>179.6101314336444</v>
      </c>
    </row>
    <row r="1073" spans="45:50">
      <c r="AS1073" s="55">
        <f t="shared" si="466"/>
        <v>90</v>
      </c>
      <c r="AT1073" s="56">
        <f t="shared" si="469"/>
        <v>1070</v>
      </c>
      <c r="AU1073" s="57">
        <f t="shared" si="470"/>
        <v>5.401945189729326E-3</v>
      </c>
      <c r="AV1073" s="58">
        <f t="shared" si="467"/>
        <v>4.8675505653430484E-3</v>
      </c>
      <c r="AW1073" s="59">
        <f t="shared" si="468"/>
        <v>1.004867550565343</v>
      </c>
      <c r="AX1073" s="60">
        <f>PRODUCT(AW$4:AW1073)</f>
        <v>180.48439283044559</v>
      </c>
    </row>
    <row r="1074" spans="45:50">
      <c r="AS1074" s="55">
        <f t="shared" si="466"/>
        <v>90</v>
      </c>
      <c r="AT1074" s="56">
        <f t="shared" si="469"/>
        <v>1071</v>
      </c>
      <c r="AU1074" s="57">
        <f t="shared" si="470"/>
        <v>5.3756509483671071E-3</v>
      </c>
      <c r="AV1074" s="58">
        <f t="shared" si="467"/>
        <v>4.8675505653430484E-3</v>
      </c>
      <c r="AW1074" s="59">
        <f t="shared" si="468"/>
        <v>1.004867550565343</v>
      </c>
      <c r="AX1074" s="60">
        <f>PRODUCT(AW$4:AW1074)</f>
        <v>181.36290973880301</v>
      </c>
    </row>
    <row r="1075" spans="45:50">
      <c r="AS1075" s="55">
        <f t="shared" si="466"/>
        <v>90</v>
      </c>
      <c r="AT1075" s="56">
        <f t="shared" si="469"/>
        <v>1072</v>
      </c>
      <c r="AU1075" s="57">
        <f t="shared" si="470"/>
        <v>5.3494846955542963E-3</v>
      </c>
      <c r="AV1075" s="58">
        <f t="shared" si="467"/>
        <v>4.8675505653430484E-3</v>
      </c>
      <c r="AW1075" s="59">
        <f t="shared" si="468"/>
        <v>1.004867550565343</v>
      </c>
      <c r="AX1075" s="60">
        <f>PRODUCT(AW$4:AW1075)</f>
        <v>182.24570287263438</v>
      </c>
    </row>
    <row r="1076" spans="45:50">
      <c r="AS1076" s="55">
        <f t="shared" si="466"/>
        <v>90</v>
      </c>
      <c r="AT1076" s="56">
        <f t="shared" si="469"/>
        <v>1073</v>
      </c>
      <c r="AU1076" s="57">
        <f t="shared" si="470"/>
        <v>5.3234458083001573E-3</v>
      </c>
      <c r="AV1076" s="58">
        <f t="shared" si="467"/>
        <v>4.8675505653430484E-3</v>
      </c>
      <c r="AW1076" s="59">
        <f t="shared" si="468"/>
        <v>1.004867550565343</v>
      </c>
      <c r="AX1076" s="60">
        <f>PRODUCT(AW$4:AW1076)</f>
        <v>183.13279304668342</v>
      </c>
    </row>
    <row r="1077" spans="45:50">
      <c r="AS1077" s="55">
        <f t="shared" si="466"/>
        <v>90</v>
      </c>
      <c r="AT1077" s="56">
        <f t="shared" si="469"/>
        <v>1074</v>
      </c>
      <c r="AU1077" s="57">
        <f t="shared" si="470"/>
        <v>5.2975336666463927E-3</v>
      </c>
      <c r="AV1077" s="58">
        <f t="shared" si="467"/>
        <v>4.8675505653430484E-3</v>
      </c>
      <c r="AW1077" s="59">
        <f t="shared" si="468"/>
        <v>1.004867550565343</v>
      </c>
      <c r="AX1077" s="60">
        <f>PRODUCT(AW$4:AW1077)</f>
        <v>184.02420117701064</v>
      </c>
    </row>
    <row r="1078" spans="45:50">
      <c r="AS1078" s="55">
        <f t="shared" si="466"/>
        <v>90</v>
      </c>
      <c r="AT1078" s="56">
        <f t="shared" si="469"/>
        <v>1075</v>
      </c>
      <c r="AU1078" s="57">
        <f t="shared" si="470"/>
        <v>5.2717476536523842E-3</v>
      </c>
      <c r="AV1078" s="58">
        <f t="shared" si="467"/>
        <v>4.8675505653430484E-3</v>
      </c>
      <c r="AW1078" s="59">
        <f t="shared" si="468"/>
        <v>1.004867550565343</v>
      </c>
      <c r="AX1078" s="60">
        <f>PRODUCT(AW$4:AW1078)</f>
        <v>184.9199482814866</v>
      </c>
    </row>
    <row r="1079" spans="45:50">
      <c r="AS1079" s="55">
        <f t="shared" si="466"/>
        <v>90</v>
      </c>
      <c r="AT1079" s="56">
        <f t="shared" si="469"/>
        <v>1076</v>
      </c>
      <c r="AU1079" s="57">
        <f t="shared" si="470"/>
        <v>5.2460871553805027E-3</v>
      </c>
      <c r="AV1079" s="58">
        <f t="shared" si="467"/>
        <v>4.8675505653430484E-3</v>
      </c>
      <c r="AW1079" s="59">
        <f t="shared" si="468"/>
        <v>1.004867550565343</v>
      </c>
      <c r="AX1079" s="60">
        <f>PRODUCT(AW$4:AW1079)</f>
        <v>185.82005548028735</v>
      </c>
    </row>
    <row r="1080" spans="45:50">
      <c r="AS1080" s="55">
        <f t="shared" si="466"/>
        <v>90</v>
      </c>
      <c r="AT1080" s="56">
        <f t="shared" si="469"/>
        <v>1077</v>
      </c>
      <c r="AU1080" s="57">
        <f t="shared" si="470"/>
        <v>5.2205515608814918E-3</v>
      </c>
      <c r="AV1080" s="58">
        <f t="shared" si="467"/>
        <v>4.8675505653430484E-3</v>
      </c>
      <c r="AW1080" s="59">
        <f t="shared" si="468"/>
        <v>1.004867550565343</v>
      </c>
      <c r="AX1080" s="60">
        <f>PRODUCT(AW$4:AW1080)</f>
        <v>186.7245439963925</v>
      </c>
    </row>
    <row r="1081" spans="45:50">
      <c r="AS1081" s="55">
        <f t="shared" si="466"/>
        <v>90</v>
      </c>
      <c r="AT1081" s="56">
        <f t="shared" si="469"/>
        <v>1078</v>
      </c>
      <c r="AU1081" s="57">
        <f t="shared" si="470"/>
        <v>5.1951402621799201E-3</v>
      </c>
      <c r="AV1081" s="58">
        <f t="shared" si="467"/>
        <v>4.8675505653430484E-3</v>
      </c>
      <c r="AW1081" s="59">
        <f t="shared" si="468"/>
        <v>1.004867550565343</v>
      </c>
      <c r="AX1081" s="60">
        <f>PRODUCT(AW$4:AW1081)</f>
        <v>187.63343515608557</v>
      </c>
    </row>
    <row r="1082" spans="45:50">
      <c r="AS1082" s="55">
        <f t="shared" si="466"/>
        <v>90</v>
      </c>
      <c r="AT1082" s="56">
        <f t="shared" si="469"/>
        <v>1079</v>
      </c>
      <c r="AU1082" s="57">
        <f t="shared" si="470"/>
        <v>5.1698526542597097E-3</v>
      </c>
      <c r="AV1082" s="58">
        <f t="shared" si="467"/>
        <v>4.8675505653430484E-3</v>
      </c>
      <c r="AW1082" s="59">
        <f t="shared" si="468"/>
        <v>1.004867550565343</v>
      </c>
      <c r="AX1082" s="60">
        <f>PRODUCT(AW$4:AW1082)</f>
        <v>188.54675038945683</v>
      </c>
    </row>
    <row r="1083" spans="45:50">
      <c r="AS1083" s="55">
        <f t="shared" si="466"/>
        <v>90</v>
      </c>
      <c r="AT1083" s="56">
        <f t="shared" si="469"/>
        <v>1080</v>
      </c>
      <c r="AU1083" s="57">
        <f t="shared" si="470"/>
        <v>5.144688135049728E-3</v>
      </c>
      <c r="AV1083" s="58">
        <f t="shared" si="467"/>
        <v>4.8675505653430484E-3</v>
      </c>
      <c r="AW1083" s="59">
        <f t="shared" si="468"/>
        <v>1.004867550565343</v>
      </c>
      <c r="AX1083" s="60">
        <f>PRODUCT(AW$4:AW1083)</f>
        <v>189.46451123090864</v>
      </c>
    </row>
    <row r="1084" spans="45:50">
      <c r="AS1084" s="55">
        <f t="shared" si="466"/>
        <v>91</v>
      </c>
      <c r="AT1084" s="56">
        <f t="shared" si="469"/>
        <v>1081</v>
      </c>
      <c r="AU1084" s="57">
        <f t="shared" si="470"/>
        <v>5.1196461054094531E-3</v>
      </c>
      <c r="AV1084" s="58">
        <f t="shared" si="467"/>
        <v>4.8675505653430484E-3</v>
      </c>
      <c r="AW1084" s="59">
        <f t="shared" si="468"/>
        <v>1.004867550565343</v>
      </c>
      <c r="AX1084" s="60">
        <f>PRODUCT(AW$4:AW1084)</f>
        <v>190.38673931966309</v>
      </c>
    </row>
    <row r="1085" spans="45:50">
      <c r="AS1085" s="55">
        <f t="shared" si="466"/>
        <v>91</v>
      </c>
      <c r="AT1085" s="56">
        <f t="shared" si="469"/>
        <v>1082</v>
      </c>
      <c r="AU1085" s="57">
        <f t="shared" si="470"/>
        <v>5.0947259691147108E-3</v>
      </c>
      <c r="AV1085" s="58">
        <f t="shared" si="467"/>
        <v>4.8675505653430484E-3</v>
      </c>
      <c r="AW1085" s="59">
        <f t="shared" si="468"/>
        <v>1.004867550565343</v>
      </c>
      <c r="AX1085" s="60">
        <f>PRODUCT(AW$4:AW1085)</f>
        <v>191.31345640027234</v>
      </c>
    </row>
    <row r="1086" spans="45:50">
      <c r="AS1086" s="55">
        <f t="shared" si="466"/>
        <v>91</v>
      </c>
      <c r="AT1086" s="56">
        <f t="shared" si="469"/>
        <v>1083</v>
      </c>
      <c r="AU1086" s="57">
        <f t="shared" si="470"/>
        <v>5.0699271328434785E-3</v>
      </c>
      <c r="AV1086" s="58">
        <f t="shared" si="467"/>
        <v>4.8675505653430484E-3</v>
      </c>
      <c r="AW1086" s="59">
        <f t="shared" si="468"/>
        <v>1.004867550565343</v>
      </c>
      <c r="AX1086" s="60">
        <f>PRODUCT(AW$4:AW1086)</f>
        <v>192.24468432313122</v>
      </c>
    </row>
    <row r="1087" spans="45:50">
      <c r="AS1087" s="55">
        <f t="shared" si="466"/>
        <v>91</v>
      </c>
      <c r="AT1087" s="56">
        <f t="shared" si="469"/>
        <v>1084</v>
      </c>
      <c r="AU1087" s="57">
        <f t="shared" si="470"/>
        <v>5.0452490061617585E-3</v>
      </c>
      <c r="AV1087" s="58">
        <f t="shared" si="467"/>
        <v>4.8675505653430484E-3</v>
      </c>
      <c r="AW1087" s="59">
        <f t="shared" si="468"/>
        <v>1.004867550565343</v>
      </c>
      <c r="AX1087" s="60">
        <f>PRODUCT(AW$4:AW1087)</f>
        <v>193.18044504499247</v>
      </c>
    </row>
    <row r="1088" spans="45:50">
      <c r="AS1088" s="55">
        <f t="shared" si="466"/>
        <v>91</v>
      </c>
      <c r="AT1088" s="56">
        <f t="shared" si="469"/>
        <v>1085</v>
      </c>
      <c r="AU1088" s="57">
        <f t="shared" si="470"/>
        <v>5.0206910015095198E-3</v>
      </c>
      <c r="AV1088" s="58">
        <f t="shared" si="467"/>
        <v>4.8675505653430484E-3</v>
      </c>
      <c r="AW1088" s="59">
        <f t="shared" si="468"/>
        <v>1.004867550565343</v>
      </c>
      <c r="AX1088" s="60">
        <f>PRODUCT(AW$4:AW1088)</f>
        <v>194.12076062948444</v>
      </c>
    </row>
    <row r="1089" spans="45:50">
      <c r="AS1089" s="55">
        <f t="shared" si="466"/>
        <v>91</v>
      </c>
      <c r="AT1089" s="56">
        <f t="shared" si="469"/>
        <v>1086</v>
      </c>
      <c r="AU1089" s="57">
        <f t="shared" si="470"/>
        <v>4.9962525341867093E-3</v>
      </c>
      <c r="AV1089" s="58">
        <f t="shared" si="467"/>
        <v>4.8675505653430484E-3</v>
      </c>
      <c r="AW1089" s="59">
        <f t="shared" si="468"/>
        <v>1.004867550565343</v>
      </c>
      <c r="AX1089" s="60">
        <f>PRODUCT(AW$4:AW1089)</f>
        <v>195.0656532476313</v>
      </c>
    </row>
    <row r="1090" spans="45:50">
      <c r="AS1090" s="55">
        <f t="shared" si="466"/>
        <v>91</v>
      </c>
      <c r="AT1090" s="56">
        <f t="shared" si="469"/>
        <v>1087</v>
      </c>
      <c r="AU1090" s="57">
        <f t="shared" si="470"/>
        <v>4.9719330223393322E-3</v>
      </c>
      <c r="AV1090" s="58">
        <f t="shared" si="467"/>
        <v>4.8675505653430484E-3</v>
      </c>
      <c r="AW1090" s="59">
        <f t="shared" si="468"/>
        <v>1.004867550565343</v>
      </c>
      <c r="AX1090" s="60">
        <f>PRODUCT(AW$4:AW1090)</f>
        <v>196.01514517837583</v>
      </c>
    </row>
    <row r="1091" spans="45:50">
      <c r="AS1091" s="55">
        <f t="shared" si="466"/>
        <v>91</v>
      </c>
      <c r="AT1091" s="56">
        <f t="shared" si="469"/>
        <v>1088</v>
      </c>
      <c r="AU1091" s="57">
        <f t="shared" si="470"/>
        <v>4.9477318869455963E-3</v>
      </c>
      <c r="AV1091" s="58">
        <f t="shared" si="467"/>
        <v>4.8675505653430484E-3</v>
      </c>
      <c r="AW1091" s="59">
        <f t="shared" si="468"/>
        <v>1.004867550565343</v>
      </c>
      <c r="AX1091" s="60">
        <f>PRODUCT(AW$4:AW1091)</f>
        <v>196.96925880910464</v>
      </c>
    </row>
    <row r="1092" spans="45:50">
      <c r="AS1092" s="55">
        <f t="shared" si="466"/>
        <v>91</v>
      </c>
      <c r="AT1092" s="56">
        <f t="shared" si="469"/>
        <v>1089</v>
      </c>
      <c r="AU1092" s="57">
        <f t="shared" si="470"/>
        <v>4.9236485518021284E-3</v>
      </c>
      <c r="AV1092" s="58">
        <f t="shared" si="467"/>
        <v>4.8675505653430484E-3</v>
      </c>
      <c r="AW1092" s="59">
        <f t="shared" si="468"/>
        <v>1.004867550565343</v>
      </c>
      <c r="AX1092" s="60">
        <f>PRODUCT(AW$4:AW1092)</f>
        <v>197.9280166361761</v>
      </c>
    </row>
    <row r="1093" spans="45:50">
      <c r="AS1093" s="55">
        <f t="shared" ref="AS1093:AS1156" si="471">ROUNDDOWN((AT1093-1)/12,0)+1</f>
        <v>91</v>
      </c>
      <c r="AT1093" s="56">
        <f t="shared" si="469"/>
        <v>1090</v>
      </c>
      <c r="AU1093" s="57">
        <f t="shared" si="470"/>
        <v>4.8996824435102535E-3</v>
      </c>
      <c r="AV1093" s="58">
        <f t="shared" ref="AV1093:AV1156" si="472">((1+$AV$1)^(1/12))-1</f>
        <v>4.8675505653430484E-3</v>
      </c>
      <c r="AW1093" s="59">
        <f t="shared" ref="AW1093:AW1156" si="473">(1+AV1093)</f>
        <v>1.004867550565343</v>
      </c>
      <c r="AX1093" s="60">
        <f>PRODUCT(AW$4:AW1093)</f>
        <v>198.89144126545074</v>
      </c>
    </row>
    <row r="1094" spans="45:50">
      <c r="AS1094" s="55">
        <f t="shared" si="471"/>
        <v>91</v>
      </c>
      <c r="AT1094" s="56">
        <f t="shared" ref="AT1094:AT1157" si="474">AT1093+1</f>
        <v>1091</v>
      </c>
      <c r="AU1094" s="57">
        <f t="shared" si="470"/>
        <v>4.8758329914623437E-3</v>
      </c>
      <c r="AV1094" s="58">
        <f t="shared" si="472"/>
        <v>4.8675505653430484E-3</v>
      </c>
      <c r="AW1094" s="59">
        <f t="shared" si="473"/>
        <v>1.004867550565343</v>
      </c>
      <c r="AX1094" s="60">
        <f>PRODUCT(AW$4:AW1094)</f>
        <v>199.85955541282428</v>
      </c>
    </row>
    <row r="1095" spans="45:50">
      <c r="AS1095" s="55">
        <f t="shared" si="471"/>
        <v>91</v>
      </c>
      <c r="AT1095" s="56">
        <f t="shared" si="474"/>
        <v>1092</v>
      </c>
      <c r="AU1095" s="57">
        <f t="shared" si="470"/>
        <v>4.8520996278282333E-3</v>
      </c>
      <c r="AV1095" s="58">
        <f t="shared" si="472"/>
        <v>4.8675505653430484E-3</v>
      </c>
      <c r="AW1095" s="59">
        <f t="shared" si="473"/>
        <v>1.004867550565343</v>
      </c>
      <c r="AX1095" s="60">
        <f>PRODUCT(AW$4:AW1095)</f>
        <v>200.83238190476317</v>
      </c>
    </row>
    <row r="1096" spans="45:50">
      <c r="AS1096" s="55">
        <f t="shared" si="471"/>
        <v>92</v>
      </c>
      <c r="AT1096" s="56">
        <f t="shared" si="474"/>
        <v>1093</v>
      </c>
      <c r="AU1096" s="57">
        <f t="shared" si="470"/>
        <v>4.8284817875416976E-3</v>
      </c>
      <c r="AV1096" s="58">
        <f t="shared" si="472"/>
        <v>4.8675505653430484E-3</v>
      </c>
      <c r="AW1096" s="59">
        <f t="shared" si="473"/>
        <v>1.004867550565343</v>
      </c>
      <c r="AX1096" s="60">
        <f>PRODUCT(AW$4:AW1096)</f>
        <v>201.8099436788429</v>
      </c>
    </row>
    <row r="1097" spans="45:50">
      <c r="AS1097" s="55">
        <f t="shared" si="471"/>
        <v>92</v>
      </c>
      <c r="AT1097" s="56">
        <f t="shared" si="474"/>
        <v>1094</v>
      </c>
      <c r="AU1097" s="57">
        <f t="shared" si="470"/>
        <v>4.804978908287E-3</v>
      </c>
      <c r="AV1097" s="58">
        <f t="shared" si="472"/>
        <v>4.8675505653430484E-3</v>
      </c>
      <c r="AW1097" s="59">
        <f t="shared" si="473"/>
        <v>1.004867550565343</v>
      </c>
      <c r="AX1097" s="60">
        <f>PRODUCT(AW$4:AW1097)</f>
        <v>202.79226378428871</v>
      </c>
    </row>
    <row r="1098" spans="45:50">
      <c r="AS1098" s="55">
        <f t="shared" si="471"/>
        <v>92</v>
      </c>
      <c r="AT1098" s="56">
        <f t="shared" si="474"/>
        <v>1095</v>
      </c>
      <c r="AU1098" s="57">
        <f t="shared" si="470"/>
        <v>4.7815904304855062E-3</v>
      </c>
      <c r="AV1098" s="58">
        <f t="shared" si="472"/>
        <v>4.8675505653430484E-3</v>
      </c>
      <c r="AW1098" s="59">
        <f t="shared" si="473"/>
        <v>1.004867550565343</v>
      </c>
      <c r="AX1098" s="60">
        <f>PRODUCT(AW$4:AW1098)</f>
        <v>203.77936538251913</v>
      </c>
    </row>
    <row r="1099" spans="45:50">
      <c r="AS1099" s="55">
        <f t="shared" si="471"/>
        <v>92</v>
      </c>
      <c r="AT1099" s="56">
        <f t="shared" si="474"/>
        <v>1096</v>
      </c>
      <c r="AU1099" s="57">
        <f t="shared" si="470"/>
        <v>4.7583157972823573E-3</v>
      </c>
      <c r="AV1099" s="58">
        <f t="shared" si="472"/>
        <v>4.8675505653430484E-3</v>
      </c>
      <c r="AW1099" s="59">
        <f t="shared" si="473"/>
        <v>1.004867550565343</v>
      </c>
      <c r="AX1099" s="60">
        <f>PRODUCT(AW$4:AW1099)</f>
        <v>204.77127174769205</v>
      </c>
    </row>
    <row r="1100" spans="45:50">
      <c r="AS1100" s="55">
        <f t="shared" si="471"/>
        <v>92</v>
      </c>
      <c r="AT1100" s="56">
        <f t="shared" si="474"/>
        <v>1097</v>
      </c>
      <c r="AU1100" s="57">
        <f t="shared" si="470"/>
        <v>4.735154454533215E-3</v>
      </c>
      <c r="AV1100" s="58">
        <f t="shared" si="472"/>
        <v>4.8675505653430484E-3</v>
      </c>
      <c r="AW1100" s="59">
        <f t="shared" si="473"/>
        <v>1.004867550565343</v>
      </c>
      <c r="AX1100" s="60">
        <f>PRODUCT(AW$4:AW1100)</f>
        <v>205.76800626725355</v>
      </c>
    </row>
    <row r="1101" spans="45:50">
      <c r="AS1101" s="55">
        <f t="shared" si="471"/>
        <v>92</v>
      </c>
      <c r="AT1101" s="56">
        <f t="shared" si="474"/>
        <v>1098</v>
      </c>
      <c r="AU1101" s="57">
        <f t="shared" si="470"/>
        <v>4.7121058507910655E-3</v>
      </c>
      <c r="AV1101" s="58">
        <f t="shared" si="472"/>
        <v>4.8675505653430484E-3</v>
      </c>
      <c r="AW1101" s="59">
        <f t="shared" si="473"/>
        <v>1.004867550565343</v>
      </c>
      <c r="AX1101" s="60">
        <f>PRODUCT(AW$4:AW1101)</f>
        <v>206.76959244248923</v>
      </c>
    </row>
    <row r="1102" spans="45:50">
      <c r="AS1102" s="55">
        <f t="shared" si="471"/>
        <v>92</v>
      </c>
      <c r="AT1102" s="56">
        <f t="shared" si="474"/>
        <v>1099</v>
      </c>
      <c r="AU1102" s="57">
        <f t="shared" si="470"/>
        <v>4.6891694372930915E-3</v>
      </c>
      <c r="AV1102" s="58">
        <f t="shared" si="472"/>
        <v>4.8675505653430484E-3</v>
      </c>
      <c r="AW1102" s="59">
        <f t="shared" si="473"/>
        <v>1.004867550565343</v>
      </c>
      <c r="AX1102" s="60">
        <f>PRODUCT(AW$4:AW1102)</f>
        <v>207.77605388907841</v>
      </c>
    </row>
    <row r="1103" spans="45:50">
      <c r="AS1103" s="55">
        <f t="shared" si="471"/>
        <v>92</v>
      </c>
      <c r="AT1103" s="56">
        <f t="shared" si="474"/>
        <v>1100</v>
      </c>
      <c r="AU1103" s="57">
        <f t="shared" si="470"/>
        <v>4.6663446679476063E-3</v>
      </c>
      <c r="AV1103" s="58">
        <f t="shared" si="472"/>
        <v>4.8675505653430484E-3</v>
      </c>
      <c r="AW1103" s="59">
        <f t="shared" si="473"/>
        <v>1.004867550565343</v>
      </c>
      <c r="AX1103" s="60">
        <f>PRODUCT(AW$4:AW1103)</f>
        <v>208.78741433765094</v>
      </c>
    </row>
    <row r="1104" spans="45:50">
      <c r="AS1104" s="55">
        <f t="shared" si="471"/>
        <v>92</v>
      </c>
      <c r="AT1104" s="56">
        <f t="shared" si="474"/>
        <v>1101</v>
      </c>
      <c r="AU1104" s="57">
        <f t="shared" si="470"/>
        <v>4.6436309993210523E-3</v>
      </c>
      <c r="AV1104" s="58">
        <f t="shared" si="472"/>
        <v>4.8675505653430484E-3</v>
      </c>
      <c r="AW1104" s="59">
        <f t="shared" si="473"/>
        <v>1.004867550565343</v>
      </c>
      <c r="AX1104" s="60">
        <f>PRODUCT(AW$4:AW1104)</f>
        <v>209.80369763434669</v>
      </c>
    </row>
    <row r="1105" spans="45:50">
      <c r="AS1105" s="55">
        <f t="shared" si="471"/>
        <v>92</v>
      </c>
      <c r="AT1105" s="56">
        <f t="shared" si="474"/>
        <v>1102</v>
      </c>
      <c r="AU1105" s="57">
        <f t="shared" si="470"/>
        <v>4.6210278906250622E-3</v>
      </c>
      <c r="AV1105" s="58">
        <f t="shared" si="472"/>
        <v>4.8675505653430484E-3</v>
      </c>
      <c r="AW1105" s="59">
        <f t="shared" si="473"/>
        <v>1.004867550565343</v>
      </c>
      <c r="AX1105" s="60">
        <f>PRODUCT(AW$4:AW1105)</f>
        <v>210.82492774137782</v>
      </c>
    </row>
    <row r="1106" spans="45:50">
      <c r="AS1106" s="55">
        <f t="shared" si="471"/>
        <v>92</v>
      </c>
      <c r="AT1106" s="56">
        <f t="shared" si="474"/>
        <v>1103</v>
      </c>
      <c r="AU1106" s="57">
        <f t="shared" si="470"/>
        <v>4.5985348037035842E-3</v>
      </c>
      <c r="AV1106" s="58">
        <f t="shared" si="472"/>
        <v>4.8675505653430484E-3</v>
      </c>
      <c r="AW1106" s="59">
        <f t="shared" si="473"/>
        <v>1.004867550565343</v>
      </c>
      <c r="AX1106" s="60">
        <f>PRODUCT(AW$4:AW1106)</f>
        <v>211.85112873759377</v>
      </c>
    </row>
    <row r="1107" spans="45:50">
      <c r="AS1107" s="55">
        <f t="shared" si="471"/>
        <v>92</v>
      </c>
      <c r="AT1107" s="56">
        <f t="shared" si="474"/>
        <v>1104</v>
      </c>
      <c r="AU1107" s="57">
        <f t="shared" si="470"/>
        <v>4.5761512030200674E-3</v>
      </c>
      <c r="AV1107" s="58">
        <f t="shared" si="472"/>
        <v>4.8675505653430484E-3</v>
      </c>
      <c r="AW1107" s="59">
        <f t="shared" si="473"/>
        <v>1.004867550565343</v>
      </c>
      <c r="AX1107" s="60">
        <f>PRODUCT(AW$4:AW1107)</f>
        <v>212.88232481904902</v>
      </c>
    </row>
    <row r="1108" spans="45:50">
      <c r="AS1108" s="55">
        <f t="shared" si="471"/>
        <v>93</v>
      </c>
      <c r="AT1108" s="56">
        <f t="shared" si="474"/>
        <v>1105</v>
      </c>
      <c r="AU1108" s="57">
        <f t="shared" si="470"/>
        <v>4.5538765556447118E-3</v>
      </c>
      <c r="AV1108" s="58">
        <f t="shared" si="472"/>
        <v>4.8675505653430484E-3</v>
      </c>
      <c r="AW1108" s="59">
        <f t="shared" si="473"/>
        <v>1.004867550565343</v>
      </c>
      <c r="AX1108" s="60">
        <f>PRODUCT(AW$4:AW1108)</f>
        <v>213.91854029957352</v>
      </c>
    </row>
    <row r="1109" spans="45:50">
      <c r="AS1109" s="55">
        <f t="shared" si="471"/>
        <v>93</v>
      </c>
      <c r="AT1109" s="56">
        <f t="shared" si="474"/>
        <v>1106</v>
      </c>
      <c r="AU1109" s="57">
        <f t="shared" si="470"/>
        <v>4.531710331241781E-3</v>
      </c>
      <c r="AV1109" s="58">
        <f t="shared" si="472"/>
        <v>4.8675505653430484E-3</v>
      </c>
      <c r="AW1109" s="59">
        <f t="shared" si="473"/>
        <v>1.004867550565343</v>
      </c>
      <c r="AX1109" s="60">
        <f>PRODUCT(AW$4:AW1109)</f>
        <v>214.95979961134606</v>
      </c>
    </row>
    <row r="1110" spans="45:50">
      <c r="AS1110" s="55">
        <f t="shared" si="471"/>
        <v>93</v>
      </c>
      <c r="AT1110" s="56">
        <f t="shared" si="474"/>
        <v>1107</v>
      </c>
      <c r="AU1110" s="57">
        <f t="shared" si="470"/>
        <v>4.5096520020569738E-3</v>
      </c>
      <c r="AV1110" s="58">
        <f t="shared" si="472"/>
        <v>4.8675505653430484E-3</v>
      </c>
      <c r="AW1110" s="59">
        <f t="shared" si="473"/>
        <v>1.004867550565343</v>
      </c>
      <c r="AX1110" s="60">
        <f>PRODUCT(AW$4:AW1110)</f>
        <v>216.0061273054703</v>
      </c>
    </row>
    <row r="1111" spans="45:50">
      <c r="AS1111" s="55">
        <f t="shared" si="471"/>
        <v>93</v>
      </c>
      <c r="AT1111" s="56">
        <f t="shared" si="474"/>
        <v>1108</v>
      </c>
      <c r="AU1111" s="57">
        <f t="shared" ref="AU1111:AU1174" si="475">(1-AV1111)*AU1110</f>
        <v>4.4877010429048613E-3</v>
      </c>
      <c r="AV1111" s="58">
        <f t="shared" si="472"/>
        <v>4.8675505653430484E-3</v>
      </c>
      <c r="AW1111" s="59">
        <f t="shared" si="473"/>
        <v>1.004867550565343</v>
      </c>
      <c r="AX1111" s="60">
        <f>PRODUCT(AW$4:AW1111)</f>
        <v>217.05754805255361</v>
      </c>
    </row>
    <row r="1112" spans="45:50">
      <c r="AS1112" s="55">
        <f t="shared" si="471"/>
        <v>93</v>
      </c>
      <c r="AT1112" s="56">
        <f t="shared" si="474"/>
        <v>1109</v>
      </c>
      <c r="AU1112" s="57">
        <f t="shared" si="475"/>
        <v>4.4658569311563793E-3</v>
      </c>
      <c r="AV1112" s="58">
        <f t="shared" si="472"/>
        <v>4.8675505653430484E-3</v>
      </c>
      <c r="AW1112" s="59">
        <f t="shared" si="473"/>
        <v>1.004867550565343</v>
      </c>
      <c r="AX1112" s="60">
        <f>PRODUCT(AW$4:AW1112)</f>
        <v>218.1140866432888</v>
      </c>
    </row>
    <row r="1113" spans="45:50">
      <c r="AS1113" s="55">
        <f t="shared" si="471"/>
        <v>93</v>
      </c>
      <c r="AT1113" s="56">
        <f t="shared" si="474"/>
        <v>1110</v>
      </c>
      <c r="AU1113" s="57">
        <f t="shared" si="475"/>
        <v>4.4441191467263878E-3</v>
      </c>
      <c r="AV1113" s="58">
        <f t="shared" si="472"/>
        <v>4.8675505653430484E-3</v>
      </c>
      <c r="AW1113" s="59">
        <f t="shared" si="473"/>
        <v>1.004867550565343</v>
      </c>
      <c r="AX1113" s="60">
        <f>PRODUCT(AW$4:AW1113)</f>
        <v>219.17576798903863</v>
      </c>
    </row>
    <row r="1114" spans="45:50">
      <c r="AS1114" s="55">
        <f t="shared" si="471"/>
        <v>93</v>
      </c>
      <c r="AT1114" s="56">
        <f t="shared" si="474"/>
        <v>1111</v>
      </c>
      <c r="AU1114" s="57">
        <f t="shared" si="475"/>
        <v>4.4224871720612881E-3</v>
      </c>
      <c r="AV1114" s="58">
        <f t="shared" si="472"/>
        <v>4.8675505653430484E-3</v>
      </c>
      <c r="AW1114" s="59">
        <f t="shared" si="473"/>
        <v>1.004867550565343</v>
      </c>
      <c r="AX1114" s="60">
        <f>PRODUCT(AW$4:AW1114)</f>
        <v>220.24261712242318</v>
      </c>
    </row>
    <row r="1115" spans="45:50">
      <c r="AS1115" s="55">
        <f t="shared" si="471"/>
        <v>93</v>
      </c>
      <c r="AT1115" s="56">
        <f t="shared" si="474"/>
        <v>1112</v>
      </c>
      <c r="AU1115" s="57">
        <f t="shared" si="475"/>
        <v>4.4009604921266985E-3</v>
      </c>
      <c r="AV1115" s="58">
        <f t="shared" si="472"/>
        <v>4.8675505653430484E-3</v>
      </c>
      <c r="AW1115" s="59">
        <f t="shared" si="473"/>
        <v>1.004867550565343</v>
      </c>
      <c r="AX1115" s="60">
        <f>PRODUCT(AW$4:AW1115)</f>
        <v>221.31465919791006</v>
      </c>
    </row>
    <row r="1116" spans="45:50">
      <c r="AS1116" s="55">
        <f t="shared" si="471"/>
        <v>93</v>
      </c>
      <c r="AT1116" s="56">
        <f t="shared" si="474"/>
        <v>1113</v>
      </c>
      <c r="AU1116" s="57">
        <f t="shared" si="475"/>
        <v>4.3795385943951951E-3</v>
      </c>
      <c r="AV1116" s="58">
        <f t="shared" si="472"/>
        <v>4.8675505653430484E-3</v>
      </c>
      <c r="AW1116" s="59">
        <f t="shared" si="473"/>
        <v>1.004867550565343</v>
      </c>
      <c r="AX1116" s="60">
        <f>PRODUCT(AW$4:AW1116)</f>
        <v>222.39191949240754</v>
      </c>
    </row>
    <row r="1117" spans="45:50">
      <c r="AS1117" s="55">
        <f t="shared" si="471"/>
        <v>93</v>
      </c>
      <c r="AT1117" s="56">
        <f t="shared" si="474"/>
        <v>1114</v>
      </c>
      <c r="AU1117" s="57">
        <f t="shared" si="475"/>
        <v>4.3582209688341053E-3</v>
      </c>
      <c r="AV1117" s="58">
        <f t="shared" si="472"/>
        <v>4.8675505653430484E-3</v>
      </c>
      <c r="AW1117" s="59">
        <f t="shared" si="473"/>
        <v>1.004867550565343</v>
      </c>
      <c r="AX1117" s="60">
        <f>PRODUCT(AW$4:AW1117)</f>
        <v>223.47442340586053</v>
      </c>
    </row>
    <row r="1118" spans="45:50">
      <c r="AS1118" s="55">
        <f t="shared" si="471"/>
        <v>93</v>
      </c>
      <c r="AT1118" s="56">
        <f t="shared" si="474"/>
        <v>1115</v>
      </c>
      <c r="AU1118" s="57">
        <f t="shared" si="475"/>
        <v>4.3370071078933665E-3</v>
      </c>
      <c r="AV1118" s="58">
        <f t="shared" si="472"/>
        <v>4.8675505653430484E-3</v>
      </c>
      <c r="AW1118" s="59">
        <f t="shared" si="473"/>
        <v>1.004867550565343</v>
      </c>
      <c r="AX1118" s="60">
        <f>PRODUCT(AW$4:AW1118)</f>
        <v>224.56219646184945</v>
      </c>
    </row>
    <row r="1119" spans="45:50">
      <c r="AS1119" s="55">
        <f t="shared" si="471"/>
        <v>93</v>
      </c>
      <c r="AT1119" s="56">
        <f t="shared" si="474"/>
        <v>1116</v>
      </c>
      <c r="AU1119" s="57">
        <f t="shared" si="475"/>
        <v>4.3158965064934432E-3</v>
      </c>
      <c r="AV1119" s="58">
        <f t="shared" si="472"/>
        <v>4.8675505653430484E-3</v>
      </c>
      <c r="AW1119" s="59">
        <f t="shared" si="473"/>
        <v>1.004867550565343</v>
      </c>
      <c r="AX1119" s="60">
        <f>PRODUCT(AW$4:AW1119)</f>
        <v>225.65526430819202</v>
      </c>
    </row>
    <row r="1120" spans="45:50">
      <c r="AS1120" s="55">
        <f t="shared" si="471"/>
        <v>94</v>
      </c>
      <c r="AT1120" s="56">
        <f t="shared" si="474"/>
        <v>1117</v>
      </c>
      <c r="AU1120" s="57">
        <f t="shared" si="475"/>
        <v>4.2948886620132985E-3</v>
      </c>
      <c r="AV1120" s="58">
        <f t="shared" si="472"/>
        <v>4.8675505653430484E-3</v>
      </c>
      <c r="AW1120" s="59">
        <f t="shared" si="473"/>
        <v>1.004867550565343</v>
      </c>
      <c r="AX1120" s="60">
        <f>PRODUCT(AW$4:AW1120)</f>
        <v>226.75365271754799</v>
      </c>
    </row>
    <row r="1121" spans="45:50">
      <c r="AS1121" s="55">
        <f t="shared" si="471"/>
        <v>94</v>
      </c>
      <c r="AT1121" s="56">
        <f t="shared" si="474"/>
        <v>1118</v>
      </c>
      <c r="AU1121" s="57">
        <f t="shared" si="475"/>
        <v>4.2739830742784301E-3</v>
      </c>
      <c r="AV1121" s="58">
        <f t="shared" si="472"/>
        <v>4.8675505653430484E-3</v>
      </c>
      <c r="AW1121" s="59">
        <f t="shared" si="473"/>
        <v>1.004867550565343</v>
      </c>
      <c r="AX1121" s="60">
        <f>PRODUCT(AW$4:AW1121)</f>
        <v>227.85738758802688</v>
      </c>
    </row>
    <row r="1122" spans="45:50">
      <c r="AS1122" s="55">
        <f t="shared" si="471"/>
        <v>94</v>
      </c>
      <c r="AT1122" s="56">
        <f t="shared" si="474"/>
        <v>1119</v>
      </c>
      <c r="AU1122" s="57">
        <f t="shared" si="475"/>
        <v>4.2531792455489598E-3</v>
      </c>
      <c r="AV1122" s="58">
        <f t="shared" si="472"/>
        <v>4.8675505653430484E-3</v>
      </c>
      <c r="AW1122" s="59">
        <f t="shared" si="473"/>
        <v>1.004867550565343</v>
      </c>
      <c r="AX1122" s="60">
        <f>PRODUCT(AW$4:AW1122)</f>
        <v>228.96649494379858</v>
      </c>
    </row>
    <row r="1123" spans="45:50">
      <c r="AS1123" s="55">
        <f t="shared" si="471"/>
        <v>94</v>
      </c>
      <c r="AT1123" s="56">
        <f t="shared" si="474"/>
        <v>1120</v>
      </c>
      <c r="AU1123" s="57">
        <f t="shared" si="475"/>
        <v>4.2324766805077827E-3</v>
      </c>
      <c r="AV1123" s="58">
        <f t="shared" si="472"/>
        <v>4.8675505653430484E-3</v>
      </c>
      <c r="AW1123" s="59">
        <f t="shared" si="473"/>
        <v>1.004867550565343</v>
      </c>
      <c r="AX1123" s="60">
        <f>PRODUCT(AW$4:AW1123)</f>
        <v>230.0810009357069</v>
      </c>
    </row>
    <row r="1124" spans="45:50">
      <c r="AS1124" s="55">
        <f t="shared" si="471"/>
        <v>94</v>
      </c>
      <c r="AT1124" s="56">
        <f t="shared" si="474"/>
        <v>1121</v>
      </c>
      <c r="AU1124" s="57">
        <f t="shared" si="475"/>
        <v>4.2118748862487758E-3</v>
      </c>
      <c r="AV1124" s="58">
        <f t="shared" si="472"/>
        <v>4.8675505653430484E-3</v>
      </c>
      <c r="AW1124" s="59">
        <f t="shared" si="473"/>
        <v>1.004867550565343</v>
      </c>
      <c r="AX1124" s="60">
        <f>PRODUCT(AW$4:AW1124)</f>
        <v>231.20093184188619</v>
      </c>
    </row>
    <row r="1125" spans="45:50">
      <c r="AS1125" s="55">
        <f t="shared" si="471"/>
        <v>94</v>
      </c>
      <c r="AT1125" s="56">
        <f t="shared" si="474"/>
        <v>1122</v>
      </c>
      <c r="AU1125" s="57">
        <f t="shared" si="475"/>
        <v>4.1913733722650616E-3</v>
      </c>
      <c r="AV1125" s="58">
        <f t="shared" si="472"/>
        <v>4.8675505653430484E-3</v>
      </c>
      <c r="AW1125" s="59">
        <f t="shared" si="473"/>
        <v>1.004867550565343</v>
      </c>
      <c r="AX1125" s="60">
        <f>PRODUCT(AW$4:AW1125)</f>
        <v>232.32631406838101</v>
      </c>
    </row>
    <row r="1126" spans="45:50">
      <c r="AS1126" s="55">
        <f t="shared" si="471"/>
        <v>94</v>
      </c>
      <c r="AT1126" s="56">
        <f t="shared" si="474"/>
        <v>1123</v>
      </c>
      <c r="AU1126" s="57">
        <f t="shared" si="475"/>
        <v>4.1709716504373289E-3</v>
      </c>
      <c r="AV1126" s="58">
        <f t="shared" si="472"/>
        <v>4.8675505653430484E-3</v>
      </c>
      <c r="AW1126" s="59">
        <f t="shared" si="473"/>
        <v>1.004867550565343</v>
      </c>
      <c r="AX1126" s="60">
        <f>PRODUCT(AW$4:AW1126)</f>
        <v>233.45717414976863</v>
      </c>
    </row>
    <row r="1127" spans="45:50">
      <c r="AS1127" s="55">
        <f t="shared" si="471"/>
        <v>94</v>
      </c>
      <c r="AT1127" s="56">
        <f t="shared" si="474"/>
        <v>1124</v>
      </c>
      <c r="AU1127" s="57">
        <f t="shared" si="475"/>
        <v>4.1506692350222127E-3</v>
      </c>
      <c r="AV1127" s="58">
        <f t="shared" si="472"/>
        <v>4.8675505653430484E-3</v>
      </c>
      <c r="AW1127" s="59">
        <f t="shared" si="473"/>
        <v>1.004867550565343</v>
      </c>
      <c r="AX1127" s="60">
        <f>PRODUCT(AW$4:AW1127)</f>
        <v>234.59353874978473</v>
      </c>
    </row>
    <row r="1128" spans="45:50">
      <c r="AS1128" s="55">
        <f t="shared" si="471"/>
        <v>94</v>
      </c>
      <c r="AT1128" s="56">
        <f t="shared" si="474"/>
        <v>1125</v>
      </c>
      <c r="AU1128" s="57">
        <f t="shared" si="475"/>
        <v>4.1304656426407287E-3</v>
      </c>
      <c r="AV1128" s="58">
        <f t="shared" si="472"/>
        <v>4.8675505653430484E-3</v>
      </c>
      <c r="AW1128" s="59">
        <f t="shared" si="473"/>
        <v>1.004867550565343</v>
      </c>
      <c r="AX1128" s="60">
        <f>PRODUCT(AW$4:AW1128)</f>
        <v>235.73543466195207</v>
      </c>
    </row>
    <row r="1129" spans="45:50">
      <c r="AS1129" s="55">
        <f t="shared" si="471"/>
        <v>94</v>
      </c>
      <c r="AT1129" s="56">
        <f t="shared" si="474"/>
        <v>1126</v>
      </c>
      <c r="AU1129" s="57">
        <f t="shared" si="475"/>
        <v>4.1103603922667629E-3</v>
      </c>
      <c r="AV1129" s="58">
        <f t="shared" si="472"/>
        <v>4.8675505653430484E-3</v>
      </c>
      <c r="AW1129" s="59">
        <f t="shared" si="473"/>
        <v>1.004867550565343</v>
      </c>
      <c r="AX1129" s="60">
        <f>PRODUCT(AW$4:AW1129)</f>
        <v>236.88288881021225</v>
      </c>
    </row>
    <row r="1130" spans="45:50">
      <c r="AS1130" s="55">
        <f t="shared" si="471"/>
        <v>94</v>
      </c>
      <c r="AT1130" s="56">
        <f t="shared" si="474"/>
        <v>1127</v>
      </c>
      <c r="AU1130" s="57">
        <f t="shared" si="475"/>
        <v>4.090353005215621E-3</v>
      </c>
      <c r="AV1130" s="58">
        <f t="shared" si="472"/>
        <v>4.8675505653430484E-3</v>
      </c>
      <c r="AW1130" s="59">
        <f t="shared" si="473"/>
        <v>1.004867550565343</v>
      </c>
      <c r="AX1130" s="60">
        <f>PRODUCT(AW$4:AW1130)</f>
        <v>238.0359282495605</v>
      </c>
    </row>
    <row r="1131" spans="45:50">
      <c r="AS1131" s="55">
        <f t="shared" si="471"/>
        <v>94</v>
      </c>
      <c r="AT1131" s="56">
        <f t="shared" si="474"/>
        <v>1128</v>
      </c>
      <c r="AU1131" s="57">
        <f t="shared" si="475"/>
        <v>4.0704430051326313E-3</v>
      </c>
      <c r="AV1131" s="58">
        <f t="shared" si="472"/>
        <v>4.8675505653430484E-3</v>
      </c>
      <c r="AW1131" s="59">
        <f t="shared" si="473"/>
        <v>1.004867550565343</v>
      </c>
      <c r="AX1131" s="60">
        <f>PRODUCT(AW$4:AW1131)</f>
        <v>239.19458016668361</v>
      </c>
    </row>
    <row r="1132" spans="45:50">
      <c r="AS1132" s="55">
        <f t="shared" si="471"/>
        <v>95</v>
      </c>
      <c r="AT1132" s="56">
        <f t="shared" si="474"/>
        <v>1129</v>
      </c>
      <c r="AU1132" s="57">
        <f t="shared" si="475"/>
        <v>4.0506299179818009E-3</v>
      </c>
      <c r="AV1132" s="58">
        <f t="shared" si="472"/>
        <v>4.8675505653430484E-3</v>
      </c>
      <c r="AW1132" s="59">
        <f t="shared" si="473"/>
        <v>1.004867550565343</v>
      </c>
      <c r="AX1132" s="60">
        <f>PRODUCT(AW$4:AW1132)</f>
        <v>240.35887188060093</v>
      </c>
    </row>
    <row r="1133" spans="45:50">
      <c r="AS1133" s="55">
        <f t="shared" si="471"/>
        <v>95</v>
      </c>
      <c r="AT1133" s="56">
        <f t="shared" si="474"/>
        <v>1130</v>
      </c>
      <c r="AU1133" s="57">
        <f t="shared" si="475"/>
        <v>4.0309132720345335E-3</v>
      </c>
      <c r="AV1133" s="58">
        <f t="shared" si="472"/>
        <v>4.8675505653430484E-3</v>
      </c>
      <c r="AW1133" s="59">
        <f t="shared" si="473"/>
        <v>1.004867550565343</v>
      </c>
      <c r="AX1133" s="60">
        <f>PRODUCT(AW$4:AW1133)</f>
        <v>241.52883084330855</v>
      </c>
    </row>
    <row r="1134" spans="45:50">
      <c r="AS1134" s="55">
        <f t="shared" si="471"/>
        <v>95</v>
      </c>
      <c r="AT1134" s="56">
        <f t="shared" si="474"/>
        <v>1131</v>
      </c>
      <c r="AU1134" s="57">
        <f t="shared" si="475"/>
        <v>4.0112925978583926E-3</v>
      </c>
      <c r="AV1134" s="58">
        <f t="shared" si="472"/>
        <v>4.8675505653430484E-3</v>
      </c>
      <c r="AW1134" s="59">
        <f t="shared" si="473"/>
        <v>1.004867550565343</v>
      </c>
      <c r="AX1134" s="60">
        <f>PRODUCT(AW$4:AW1134)</f>
        <v>242.70448464042656</v>
      </c>
    </row>
    <row r="1135" spans="45:50">
      <c r="AS1135" s="55">
        <f t="shared" si="471"/>
        <v>95</v>
      </c>
      <c r="AT1135" s="56">
        <f t="shared" si="474"/>
        <v>1132</v>
      </c>
      <c r="AU1135" s="57">
        <f t="shared" si="475"/>
        <v>3.9917674283059309E-3</v>
      </c>
      <c r="AV1135" s="58">
        <f t="shared" si="472"/>
        <v>4.8675505653430484E-3</v>
      </c>
      <c r="AW1135" s="59">
        <f t="shared" si="473"/>
        <v>1.004867550565343</v>
      </c>
      <c r="AX1135" s="60">
        <f>PRODUCT(AW$4:AW1135)</f>
        <v>243.88586099184937</v>
      </c>
    </row>
    <row r="1136" spans="45:50">
      <c r="AS1136" s="55">
        <f t="shared" si="471"/>
        <v>95</v>
      </c>
      <c r="AT1136" s="56">
        <f t="shared" si="474"/>
        <v>1133</v>
      </c>
      <c r="AU1136" s="57">
        <f t="shared" si="475"/>
        <v>3.9723372985035624E-3</v>
      </c>
      <c r="AV1136" s="58">
        <f t="shared" si="472"/>
        <v>4.8675505653430484E-3</v>
      </c>
      <c r="AW1136" s="59">
        <f t="shared" si="473"/>
        <v>1.004867550565343</v>
      </c>
      <c r="AX1136" s="60">
        <f>PRODUCT(AW$4:AW1136)</f>
        <v>245.07298775239943</v>
      </c>
    </row>
    <row r="1137" spans="45:50">
      <c r="AS1137" s="55">
        <f t="shared" si="471"/>
        <v>95</v>
      </c>
      <c r="AT1137" s="56">
        <f t="shared" si="474"/>
        <v>1134</v>
      </c>
      <c r="AU1137" s="57">
        <f t="shared" si="475"/>
        <v>3.9530017458404981E-3</v>
      </c>
      <c r="AV1137" s="58">
        <f t="shared" si="472"/>
        <v>4.8675505653430484E-3</v>
      </c>
      <c r="AW1137" s="59">
        <f t="shared" si="473"/>
        <v>1.004867550565343</v>
      </c>
      <c r="AX1137" s="60">
        <f>PRODUCT(AW$4:AW1137)</f>
        <v>246.26589291248393</v>
      </c>
    </row>
    <row r="1138" spans="45:50">
      <c r="AS1138" s="55">
        <f t="shared" si="471"/>
        <v>95</v>
      </c>
      <c r="AT1138" s="56">
        <f t="shared" si="474"/>
        <v>1135</v>
      </c>
      <c r="AU1138" s="57">
        <f t="shared" si="475"/>
        <v>3.9337603099577302E-3</v>
      </c>
      <c r="AV1138" s="58">
        <f t="shared" si="472"/>
        <v>4.8675505653430484E-3</v>
      </c>
      <c r="AW1138" s="59">
        <f t="shared" si="473"/>
        <v>1.004867550565343</v>
      </c>
      <c r="AX1138" s="60">
        <f>PRODUCT(AW$4:AW1138)</f>
        <v>247.46460459875482</v>
      </c>
    </row>
    <row r="1139" spans="45:50">
      <c r="AS1139" s="55">
        <f t="shared" si="471"/>
        <v>95</v>
      </c>
      <c r="AT1139" s="56">
        <f t="shared" si="474"/>
        <v>1136</v>
      </c>
      <c r="AU1139" s="57">
        <f t="shared" si="475"/>
        <v>3.9146125327370711E-3</v>
      </c>
      <c r="AV1139" s="58">
        <f t="shared" si="472"/>
        <v>4.8675505653430484E-3</v>
      </c>
      <c r="AW1139" s="59">
        <f t="shared" si="473"/>
        <v>1.004867550565343</v>
      </c>
      <c r="AX1139" s="60">
        <f>PRODUCT(AW$4:AW1139)</f>
        <v>248.66915107477189</v>
      </c>
    </row>
    <row r="1140" spans="45:50">
      <c r="AS1140" s="55">
        <f t="shared" si="471"/>
        <v>95</v>
      </c>
      <c r="AT1140" s="56">
        <f t="shared" si="474"/>
        <v>1137</v>
      </c>
      <c r="AU1140" s="57">
        <f t="shared" si="475"/>
        <v>3.8955579582902479E-3</v>
      </c>
      <c r="AV1140" s="58">
        <f t="shared" si="472"/>
        <v>4.8675505653430484E-3</v>
      </c>
      <c r="AW1140" s="59">
        <f t="shared" si="473"/>
        <v>1.004867550565343</v>
      </c>
      <c r="AX1140" s="60">
        <f>PRODUCT(AW$4:AW1140)</f>
        <v>249.87956074166928</v>
      </c>
    </row>
    <row r="1141" spans="45:50">
      <c r="AS1141" s="55">
        <f t="shared" si="471"/>
        <v>95</v>
      </c>
      <c r="AT1141" s="56">
        <f t="shared" si="474"/>
        <v>1138</v>
      </c>
      <c r="AU1141" s="57">
        <f t="shared" si="475"/>
        <v>3.8765961329480457E-3</v>
      </c>
      <c r="AV1141" s="58">
        <f t="shared" si="472"/>
        <v>4.8675505653430484E-3</v>
      </c>
      <c r="AW1141" s="59">
        <f t="shared" si="473"/>
        <v>1.004867550565343</v>
      </c>
      <c r="AX1141" s="60">
        <f>PRODUCT(AW$4:AW1141)</f>
        <v>251.09586213882505</v>
      </c>
    </row>
    <row r="1142" spans="45:50">
      <c r="AS1142" s="55">
        <f t="shared" si="471"/>
        <v>95</v>
      </c>
      <c r="AT1142" s="56">
        <f t="shared" si="474"/>
        <v>1139</v>
      </c>
      <c r="AU1142" s="57">
        <f t="shared" si="475"/>
        <v>3.8577266052495078E-3</v>
      </c>
      <c r="AV1142" s="58">
        <f t="shared" si="472"/>
        <v>4.8675505653430484E-3</v>
      </c>
      <c r="AW1142" s="59">
        <f t="shared" si="473"/>
        <v>1.004867550565343</v>
      </c>
      <c r="AX1142" s="60">
        <f>PRODUCT(AW$4:AW1142)</f>
        <v>252.31808394453418</v>
      </c>
    </row>
    <row r="1143" spans="45:50">
      <c r="AS1143" s="55">
        <f t="shared" si="471"/>
        <v>95</v>
      </c>
      <c r="AT1143" s="56">
        <f t="shared" si="474"/>
        <v>1140</v>
      </c>
      <c r="AU1143" s="57">
        <f t="shared" si="475"/>
        <v>3.8389489259311868E-3</v>
      </c>
      <c r="AV1143" s="58">
        <f t="shared" si="472"/>
        <v>4.8675505653430484E-3</v>
      </c>
      <c r="AW1143" s="59">
        <f t="shared" si="473"/>
        <v>1.004867550565343</v>
      </c>
      <c r="AX1143" s="60">
        <f>PRODUCT(AW$4:AW1143)</f>
        <v>253.54625497668468</v>
      </c>
    </row>
    <row r="1144" spans="45:50">
      <c r="AS1144" s="55">
        <f t="shared" si="471"/>
        <v>96</v>
      </c>
      <c r="AT1144" s="56">
        <f t="shared" si="474"/>
        <v>1141</v>
      </c>
      <c r="AU1144" s="57">
        <f t="shared" si="475"/>
        <v>3.8202626479164475E-3</v>
      </c>
      <c r="AV1144" s="58">
        <f t="shared" si="472"/>
        <v>4.8675505653430484E-3</v>
      </c>
      <c r="AW1144" s="59">
        <f t="shared" si="473"/>
        <v>1.004867550565343</v>
      </c>
      <c r="AX1144" s="60">
        <f>PRODUCT(AW$4:AW1144)</f>
        <v>254.78040419343705</v>
      </c>
    </row>
    <row r="1145" spans="45:50">
      <c r="AS1145" s="55">
        <f t="shared" si="471"/>
        <v>96</v>
      </c>
      <c r="AT1145" s="56">
        <f t="shared" si="474"/>
        <v>1142</v>
      </c>
      <c r="AU1145" s="57">
        <f t="shared" si="475"/>
        <v>3.8016673263048229E-3</v>
      </c>
      <c r="AV1145" s="58">
        <f t="shared" si="472"/>
        <v>4.8675505653430484E-3</v>
      </c>
      <c r="AW1145" s="59">
        <f t="shared" si="473"/>
        <v>1.004867550565343</v>
      </c>
      <c r="AX1145" s="60">
        <f>PRODUCT(AW$4:AW1145)</f>
        <v>256.02056069390716</v>
      </c>
    </row>
    <row r="1146" spans="45:50">
      <c r="AS1146" s="55">
        <f t="shared" si="471"/>
        <v>96</v>
      </c>
      <c r="AT1146" s="56">
        <f t="shared" si="474"/>
        <v>1143</v>
      </c>
      <c r="AU1146" s="57">
        <f t="shared" si="475"/>
        <v>3.7831625183614216E-3</v>
      </c>
      <c r="AV1146" s="58">
        <f t="shared" si="472"/>
        <v>4.8675505653430484E-3</v>
      </c>
      <c r="AW1146" s="59">
        <f t="shared" si="473"/>
        <v>1.004867550565343</v>
      </c>
      <c r="AX1146" s="60">
        <f>PRODUCT(AW$4:AW1146)</f>
        <v>257.26675371885221</v>
      </c>
    </row>
    <row r="1147" spans="45:50">
      <c r="AS1147" s="55">
        <f t="shared" si="471"/>
        <v>96</v>
      </c>
      <c r="AT1147" s="56">
        <f t="shared" si="474"/>
        <v>1144</v>
      </c>
      <c r="AU1147" s="57">
        <f t="shared" si="475"/>
        <v>3.7647477835063867E-3</v>
      </c>
      <c r="AV1147" s="58">
        <f t="shared" si="472"/>
        <v>4.8675505653430484E-3</v>
      </c>
      <c r="AW1147" s="59">
        <f t="shared" si="473"/>
        <v>1.004867550565343</v>
      </c>
      <c r="AX1147" s="60">
        <f>PRODUCT(AW$4:AW1147)</f>
        <v>258.51901265136041</v>
      </c>
    </row>
    <row r="1148" spans="45:50">
      <c r="AS1148" s="55">
        <f t="shared" si="471"/>
        <v>96</v>
      </c>
      <c r="AT1148" s="56">
        <f t="shared" si="474"/>
        <v>1145</v>
      </c>
      <c r="AU1148" s="57">
        <f t="shared" si="475"/>
        <v>3.7464226833044062E-3</v>
      </c>
      <c r="AV1148" s="58">
        <f t="shared" si="472"/>
        <v>4.8675505653430484E-3</v>
      </c>
      <c r="AW1148" s="59">
        <f t="shared" si="473"/>
        <v>1.004867550565343</v>
      </c>
      <c r="AX1148" s="60">
        <f>PRODUCT(AW$4:AW1148)</f>
        <v>259.7773670175435</v>
      </c>
    </row>
    <row r="1149" spans="45:50">
      <c r="AS1149" s="55">
        <f t="shared" si="471"/>
        <v>96</v>
      </c>
      <c r="AT1149" s="56">
        <f t="shared" si="474"/>
        <v>1146</v>
      </c>
      <c r="AU1149" s="57">
        <f t="shared" si="475"/>
        <v>3.7281867814542738E-3</v>
      </c>
      <c r="AV1149" s="58">
        <f t="shared" si="472"/>
        <v>4.8675505653430484E-3</v>
      </c>
      <c r="AW1149" s="59">
        <f t="shared" si="473"/>
        <v>1.004867550565343</v>
      </c>
      <c r="AX1149" s="60">
        <f>PRODUCT(AW$4:AW1149)</f>
        <v>261.04184648723304</v>
      </c>
    </row>
    <row r="1150" spans="45:50">
      <c r="AS1150" s="55">
        <f t="shared" si="471"/>
        <v>96</v>
      </c>
      <c r="AT1150" s="56">
        <f t="shared" si="474"/>
        <v>1147</v>
      </c>
      <c r="AU1150" s="57">
        <f t="shared" si="475"/>
        <v>3.7100396437785015E-3</v>
      </c>
      <c r="AV1150" s="58">
        <f t="shared" si="472"/>
        <v>4.8675505653430484E-3</v>
      </c>
      <c r="AW1150" s="59">
        <f t="shared" si="473"/>
        <v>1.004867550565343</v>
      </c>
      <c r="AX1150" s="60">
        <f>PRODUCT(AW$4:AW1150)</f>
        <v>262.31248087468015</v>
      </c>
    </row>
    <row r="1151" spans="45:50">
      <c r="AS1151" s="55">
        <f t="shared" si="471"/>
        <v>96</v>
      </c>
      <c r="AT1151" s="56">
        <f t="shared" si="474"/>
        <v>1148</v>
      </c>
      <c r="AU1151" s="57">
        <f t="shared" si="475"/>
        <v>3.6919808382129822E-3</v>
      </c>
      <c r="AV1151" s="58">
        <f t="shared" si="472"/>
        <v>4.8675505653430484E-3</v>
      </c>
      <c r="AW1151" s="59">
        <f t="shared" si="473"/>
        <v>1.004867550565343</v>
      </c>
      <c r="AX1151" s="60">
        <f>PRODUCT(AW$4:AW1151)</f>
        <v>263.58930013925823</v>
      </c>
    </row>
    <row r="1152" spans="45:50">
      <c r="AS1152" s="55">
        <f t="shared" si="471"/>
        <v>96</v>
      </c>
      <c r="AT1152" s="56">
        <f t="shared" si="474"/>
        <v>1149</v>
      </c>
      <c r="AU1152" s="57">
        <f t="shared" si="475"/>
        <v>3.6740099347967029E-3</v>
      </c>
      <c r="AV1152" s="58">
        <f t="shared" si="472"/>
        <v>4.8675505653430484E-3</v>
      </c>
      <c r="AW1152" s="59">
        <f t="shared" si="473"/>
        <v>1.004867550565343</v>
      </c>
      <c r="AX1152" s="60">
        <f>PRODUCT(AW$4:AW1152)</f>
        <v>264.87233438616943</v>
      </c>
    </row>
    <row r="1153" spans="45:50">
      <c r="AS1153" s="55">
        <f t="shared" si="471"/>
        <v>96</v>
      </c>
      <c r="AT1153" s="56">
        <f t="shared" si="474"/>
        <v>1150</v>
      </c>
      <c r="AU1153" s="57">
        <f t="shared" si="475"/>
        <v>3.6561265056615075E-3</v>
      </c>
      <c r="AV1153" s="58">
        <f t="shared" si="472"/>
        <v>4.8675505653430484E-3</v>
      </c>
      <c r="AW1153" s="59">
        <f t="shared" si="473"/>
        <v>1.004867550565343</v>
      </c>
      <c r="AX1153" s="60">
        <f>PRODUCT(AW$4:AW1153)</f>
        <v>266.16161386715459</v>
      </c>
    </row>
    <row r="1154" spans="45:50">
      <c r="AS1154" s="55">
        <f t="shared" si="471"/>
        <v>96</v>
      </c>
      <c r="AT1154" s="56">
        <f t="shared" si="474"/>
        <v>1151</v>
      </c>
      <c r="AU1154" s="57">
        <f t="shared" si="475"/>
        <v>3.638330125021909E-3</v>
      </c>
      <c r="AV1154" s="58">
        <f t="shared" si="472"/>
        <v>4.8675505653430484E-3</v>
      </c>
      <c r="AW1154" s="59">
        <f t="shared" si="473"/>
        <v>1.004867550565343</v>
      </c>
      <c r="AX1154" s="60">
        <f>PRODUCT(AW$4:AW1154)</f>
        <v>267.45716898120628</v>
      </c>
    </row>
    <row r="1155" spans="45:50">
      <c r="AS1155" s="55">
        <f t="shared" si="471"/>
        <v>96</v>
      </c>
      <c r="AT1155" s="56">
        <f t="shared" si="474"/>
        <v>1152</v>
      </c>
      <c r="AU1155" s="57">
        <f t="shared" si="475"/>
        <v>3.620620369164954E-3</v>
      </c>
      <c r="AV1155" s="58">
        <f t="shared" si="472"/>
        <v>4.8675505653430484E-3</v>
      </c>
      <c r="AW1155" s="59">
        <f t="shared" si="473"/>
        <v>1.004867550565343</v>
      </c>
      <c r="AX1155" s="60">
        <f>PRODUCT(AW$4:AW1155)</f>
        <v>268.7590302752858</v>
      </c>
    </row>
    <row r="1156" spans="45:50">
      <c r="AS1156" s="55">
        <f t="shared" si="471"/>
        <v>97</v>
      </c>
      <c r="AT1156" s="56">
        <f t="shared" si="474"/>
        <v>1153</v>
      </c>
      <c r="AU1156" s="57">
        <f t="shared" si="475"/>
        <v>3.6029968164401328E-3</v>
      </c>
      <c r="AV1156" s="58">
        <f t="shared" si="472"/>
        <v>4.8675505653430484E-3</v>
      </c>
      <c r="AW1156" s="59">
        <f t="shared" si="473"/>
        <v>1.004867550565343</v>
      </c>
      <c r="AX1156" s="60">
        <f>PRODUCT(AW$4:AW1156)</f>
        <v>270.06722844504333</v>
      </c>
    </row>
    <row r="1157" spans="45:50">
      <c r="AS1157" s="55">
        <f t="shared" ref="AS1157:AS1220" si="476">ROUNDDOWN((AT1157-1)/12,0)+1</f>
        <v>97</v>
      </c>
      <c r="AT1157" s="56">
        <f t="shared" si="474"/>
        <v>1154</v>
      </c>
      <c r="AU1157" s="57">
        <f t="shared" si="475"/>
        <v>3.5854590472493403E-3</v>
      </c>
      <c r="AV1157" s="58">
        <f t="shared" ref="AV1157:AV1220" si="477">((1+$AV$1)^(1/12))-1</f>
        <v>4.8675505653430484E-3</v>
      </c>
      <c r="AW1157" s="59">
        <f t="shared" ref="AW1157:AW1220" si="478">(1+AV1157)</f>
        <v>1.004867550565343</v>
      </c>
      <c r="AX1157" s="60">
        <f>PRODUCT(AW$4:AW1157)</f>
        <v>271.3817943355416</v>
      </c>
    </row>
    <row r="1158" spans="45:50">
      <c r="AS1158" s="55">
        <f t="shared" si="476"/>
        <v>97</v>
      </c>
      <c r="AT1158" s="56">
        <f t="shared" ref="AT1158:AT1221" si="479">AT1157+1</f>
        <v>1155</v>
      </c>
      <c r="AU1158" s="57">
        <f t="shared" si="475"/>
        <v>3.5680066440368875E-3</v>
      </c>
      <c r="AV1158" s="58">
        <f t="shared" si="477"/>
        <v>4.8675505653430484E-3</v>
      </c>
      <c r="AW1158" s="59">
        <f t="shared" si="478"/>
        <v>1.004867550565343</v>
      </c>
      <c r="AX1158" s="60">
        <f>PRODUCT(AW$4:AW1158)</f>
        <v>272.70275894198335</v>
      </c>
    </row>
    <row r="1159" spans="45:50">
      <c r="AS1159" s="55">
        <f t="shared" si="476"/>
        <v>97</v>
      </c>
      <c r="AT1159" s="56">
        <f t="shared" si="479"/>
        <v>1156</v>
      </c>
      <c r="AU1159" s="57">
        <f t="shared" si="475"/>
        <v>3.5506391912795581E-3</v>
      </c>
      <c r="AV1159" s="58">
        <f t="shared" si="477"/>
        <v>4.8675505653430484E-3</v>
      </c>
      <c r="AW1159" s="59">
        <f t="shared" si="478"/>
        <v>1.004867550565343</v>
      </c>
      <c r="AX1159" s="60">
        <f>PRODUCT(AW$4:AW1159)</f>
        <v>274.03015341044198</v>
      </c>
    </row>
    <row r="1160" spans="45:50">
      <c r="AS1160" s="55">
        <f t="shared" si="476"/>
        <v>97</v>
      </c>
      <c r="AT1160" s="56">
        <f t="shared" si="479"/>
        <v>1157</v>
      </c>
      <c r="AU1160" s="57">
        <f t="shared" si="475"/>
        <v>3.5333562754767162E-3</v>
      </c>
      <c r="AV1160" s="58">
        <f t="shared" si="477"/>
        <v>4.8675505653430484E-3</v>
      </c>
      <c r="AW1160" s="59">
        <f t="shared" si="478"/>
        <v>1.004867550565343</v>
      </c>
      <c r="AX1160" s="60">
        <f>PRODUCT(AW$4:AW1160)</f>
        <v>275.36400903859601</v>
      </c>
    </row>
    <row r="1161" spans="45:50">
      <c r="AS1161" s="55">
        <f t="shared" si="476"/>
        <v>97</v>
      </c>
      <c r="AT1161" s="56">
        <f t="shared" si="479"/>
        <v>1158</v>
      </c>
      <c r="AU1161" s="57">
        <f t="shared" si="475"/>
        <v>3.516157485140461E-3</v>
      </c>
      <c r="AV1161" s="58">
        <f t="shared" si="477"/>
        <v>4.8675505653430484E-3</v>
      </c>
      <c r="AW1161" s="59">
        <f t="shared" si="478"/>
        <v>1.004867550565343</v>
      </c>
      <c r="AX1161" s="60">
        <f>PRODUCT(AW$4:AW1161)</f>
        <v>276.70435727646696</v>
      </c>
    </row>
    <row r="1162" spans="45:50">
      <c r="AS1162" s="55">
        <f t="shared" si="476"/>
        <v>97</v>
      </c>
      <c r="AT1162" s="56">
        <f t="shared" si="479"/>
        <v>1159</v>
      </c>
      <c r="AU1162" s="57">
        <f t="shared" si="475"/>
        <v>3.4990424107858302E-3</v>
      </c>
      <c r="AV1162" s="58">
        <f t="shared" si="477"/>
        <v>4.8675505653430484E-3</v>
      </c>
      <c r="AW1162" s="59">
        <f t="shared" si="478"/>
        <v>1.004867550565343</v>
      </c>
      <c r="AX1162" s="60">
        <f>PRODUCT(AW$4:AW1162)</f>
        <v>278.05122972716094</v>
      </c>
    </row>
    <row r="1163" spans="45:50">
      <c r="AS1163" s="55">
        <f t="shared" si="476"/>
        <v>97</v>
      </c>
      <c r="AT1163" s="56">
        <f t="shared" si="479"/>
        <v>1160</v>
      </c>
      <c r="AU1163" s="57">
        <f t="shared" si="475"/>
        <v>3.4820106449210504E-3</v>
      </c>
      <c r="AV1163" s="58">
        <f t="shared" si="477"/>
        <v>4.8675505653430484E-3</v>
      </c>
      <c r="AW1163" s="59">
        <f t="shared" si="478"/>
        <v>1.004867550565343</v>
      </c>
      <c r="AX1163" s="60">
        <f>PRODUCT(AW$4:AW1163)</f>
        <v>279.4046581476137</v>
      </c>
    </row>
    <row r="1164" spans="45:50">
      <c r="AS1164" s="55">
        <f t="shared" si="476"/>
        <v>97</v>
      </c>
      <c r="AT1164" s="56">
        <f t="shared" si="479"/>
        <v>1161</v>
      </c>
      <c r="AU1164" s="57">
        <f t="shared" si="475"/>
        <v>3.4650617820378344E-3</v>
      </c>
      <c r="AV1164" s="58">
        <f t="shared" si="477"/>
        <v>4.8675505653430484E-3</v>
      </c>
      <c r="AW1164" s="59">
        <f t="shared" si="478"/>
        <v>1.004867550565343</v>
      </c>
      <c r="AX1164" s="60">
        <f>PRODUCT(AW$4:AW1164)</f>
        <v>280.76467444933962</v>
      </c>
    </row>
    <row r="1165" spans="45:50">
      <c r="AS1165" s="55">
        <f t="shared" si="476"/>
        <v>97</v>
      </c>
      <c r="AT1165" s="56">
        <f t="shared" si="479"/>
        <v>1162</v>
      </c>
      <c r="AU1165" s="57">
        <f t="shared" si="475"/>
        <v>3.4481954186017278E-3</v>
      </c>
      <c r="AV1165" s="58">
        <f t="shared" si="477"/>
        <v>4.8675505653430484E-3</v>
      </c>
      <c r="AW1165" s="59">
        <f t="shared" si="478"/>
        <v>1.004867550565343</v>
      </c>
      <c r="AX1165" s="60">
        <f>PRODUCT(AW$4:AW1165)</f>
        <v>282.13131069918387</v>
      </c>
    </row>
    <row r="1166" spans="45:50">
      <c r="AS1166" s="55">
        <f t="shared" si="476"/>
        <v>97</v>
      </c>
      <c r="AT1166" s="56">
        <f t="shared" si="479"/>
        <v>1163</v>
      </c>
      <c r="AU1166" s="57">
        <f t="shared" si="475"/>
        <v>3.4314111530424998E-3</v>
      </c>
      <c r="AV1166" s="58">
        <f t="shared" si="477"/>
        <v>4.8675505653430484E-3</v>
      </c>
      <c r="AW1166" s="59">
        <f t="shared" si="478"/>
        <v>1.004867550565343</v>
      </c>
      <c r="AX1166" s="60">
        <f>PRODUCT(AW$4:AW1166)</f>
        <v>283.50459912007864</v>
      </c>
    </row>
    <row r="1167" spans="45:50">
      <c r="AS1167" s="55">
        <f t="shared" si="476"/>
        <v>97</v>
      </c>
      <c r="AT1167" s="56">
        <f t="shared" si="479"/>
        <v>1164</v>
      </c>
      <c r="AU1167" s="57">
        <f t="shared" si="475"/>
        <v>3.4147085857445833E-3</v>
      </c>
      <c r="AV1167" s="58">
        <f t="shared" si="477"/>
        <v>4.8675505653430484E-3</v>
      </c>
      <c r="AW1167" s="59">
        <f t="shared" si="478"/>
        <v>1.004867550565343</v>
      </c>
      <c r="AX1167" s="60">
        <f>PRODUCT(AW$4:AW1167)</f>
        <v>284.88457209180291</v>
      </c>
    </row>
    <row r="1168" spans="45:50">
      <c r="AS1168" s="55">
        <f t="shared" si="476"/>
        <v>98</v>
      </c>
      <c r="AT1168" s="56">
        <f t="shared" si="479"/>
        <v>1165</v>
      </c>
      <c r="AU1168" s="57">
        <f t="shared" si="475"/>
        <v>3.3980873190375604E-3</v>
      </c>
      <c r="AV1168" s="58">
        <f t="shared" si="477"/>
        <v>4.8675505653430484E-3</v>
      </c>
      <c r="AW1168" s="59">
        <f t="shared" si="478"/>
        <v>1.004867550565343</v>
      </c>
      <c r="AX1168" s="60">
        <f>PRODUCT(AW$4:AW1168)</f>
        <v>286.27126215174587</v>
      </c>
    </row>
    <row r="1169" spans="45:50">
      <c r="AS1169" s="55">
        <f t="shared" si="476"/>
        <v>98</v>
      </c>
      <c r="AT1169" s="56">
        <f t="shared" si="479"/>
        <v>1166</v>
      </c>
      <c r="AU1169" s="57">
        <f t="shared" si="475"/>
        <v>3.3815469571866941E-3</v>
      </c>
      <c r="AV1169" s="58">
        <f t="shared" si="477"/>
        <v>4.8675505653430484E-3</v>
      </c>
      <c r="AW1169" s="59">
        <f t="shared" si="478"/>
        <v>1.004867550565343</v>
      </c>
      <c r="AX1169" s="60">
        <f>PRODUCT(AW$4:AW1169)</f>
        <v>287.66470199567408</v>
      </c>
    </row>
    <row r="1170" spans="45:50">
      <c r="AS1170" s="55">
        <f t="shared" si="476"/>
        <v>98</v>
      </c>
      <c r="AT1170" s="56">
        <f t="shared" si="479"/>
        <v>1167</v>
      </c>
      <c r="AU1170" s="57">
        <f t="shared" si="475"/>
        <v>3.3650871063835059E-3</v>
      </c>
      <c r="AV1170" s="58">
        <f t="shared" si="477"/>
        <v>4.8675505653430484E-3</v>
      </c>
      <c r="AW1170" s="59">
        <f t="shared" si="478"/>
        <v>1.004867550565343</v>
      </c>
      <c r="AX1170" s="60">
        <f>PRODUCT(AW$4:AW1170)</f>
        <v>289.06492447850235</v>
      </c>
    </row>
    <row r="1171" spans="45:50">
      <c r="AS1171" s="55">
        <f t="shared" si="476"/>
        <v>98</v>
      </c>
      <c r="AT1171" s="56">
        <f t="shared" si="479"/>
        <v>1168</v>
      </c>
      <c r="AU1171" s="57">
        <f t="shared" si="475"/>
        <v>3.3487073747364001E-3</v>
      </c>
      <c r="AV1171" s="58">
        <f t="shared" si="477"/>
        <v>4.8675505653430484E-3</v>
      </c>
      <c r="AW1171" s="59">
        <f t="shared" si="478"/>
        <v>1.004867550565343</v>
      </c>
      <c r="AX1171" s="60">
        <f>PRODUCT(AW$4:AW1171)</f>
        <v>290.47196261506855</v>
      </c>
    </row>
    <row r="1172" spans="45:50">
      <c r="AS1172" s="55">
        <f t="shared" si="476"/>
        <v>98</v>
      </c>
      <c r="AT1172" s="56">
        <f t="shared" si="479"/>
        <v>1169</v>
      </c>
      <c r="AU1172" s="57">
        <f t="shared" si="475"/>
        <v>3.3324073722613336E-3</v>
      </c>
      <c r="AV1172" s="58">
        <f t="shared" si="477"/>
        <v>4.8675505653430484E-3</v>
      </c>
      <c r="AW1172" s="59">
        <f t="shared" si="478"/>
        <v>1.004867550565343</v>
      </c>
      <c r="AX1172" s="60">
        <f>PRODUCT(AW$4:AW1172)</f>
        <v>291.88584958091184</v>
      </c>
    </row>
    <row r="1173" spans="45:50">
      <c r="AS1173" s="55">
        <f t="shared" si="476"/>
        <v>98</v>
      </c>
      <c r="AT1173" s="56">
        <f t="shared" si="479"/>
        <v>1170</v>
      </c>
      <c r="AU1173" s="57">
        <f t="shared" si="475"/>
        <v>3.3161867108725297E-3</v>
      </c>
      <c r="AV1173" s="58">
        <f t="shared" si="477"/>
        <v>4.8675505653430484E-3</v>
      </c>
      <c r="AW1173" s="59">
        <f t="shared" si="478"/>
        <v>1.004867550565343</v>
      </c>
      <c r="AX1173" s="60">
        <f>PRODUCT(AW$4:AW1173)</f>
        <v>293.30661871305506</v>
      </c>
    </row>
    <row r="1174" spans="45:50">
      <c r="AS1174" s="55">
        <f t="shared" si="476"/>
        <v>98</v>
      </c>
      <c r="AT1174" s="56">
        <f t="shared" si="479"/>
        <v>1171</v>
      </c>
      <c r="AU1174" s="57">
        <f t="shared" si="475"/>
        <v>3.3000450043732389E-3</v>
      </c>
      <c r="AV1174" s="58">
        <f t="shared" si="477"/>
        <v>4.8675505653430484E-3</v>
      </c>
      <c r="AW1174" s="59">
        <f t="shared" si="478"/>
        <v>1.004867550565343</v>
      </c>
      <c r="AX1174" s="60">
        <f>PRODUCT(AW$4:AW1174)</f>
        <v>294.73430351079065</v>
      </c>
    </row>
    <row r="1175" spans="45:50">
      <c r="AS1175" s="55">
        <f t="shared" si="476"/>
        <v>98</v>
      </c>
      <c r="AT1175" s="56">
        <f t="shared" si="479"/>
        <v>1172</v>
      </c>
      <c r="AU1175" s="57">
        <f t="shared" ref="AU1175:AU1238" si="480">(1-AV1175)*AU1174</f>
        <v>3.2839818684465443E-3</v>
      </c>
      <c r="AV1175" s="58">
        <f t="shared" si="477"/>
        <v>4.8675505653430484E-3</v>
      </c>
      <c r="AW1175" s="59">
        <f t="shared" si="478"/>
        <v>1.004867550565343</v>
      </c>
      <c r="AX1175" s="60">
        <f>PRODUCT(AW$4:AW1175)</f>
        <v>296.16893763647062</v>
      </c>
    </row>
    <row r="1176" spans="45:50">
      <c r="AS1176" s="55">
        <f t="shared" si="476"/>
        <v>98</v>
      </c>
      <c r="AT1176" s="56">
        <f t="shared" si="479"/>
        <v>1173</v>
      </c>
      <c r="AU1176" s="57">
        <f t="shared" si="480"/>
        <v>3.2679969206462112E-3</v>
      </c>
      <c r="AV1176" s="58">
        <f t="shared" si="477"/>
        <v>4.8675505653430484E-3</v>
      </c>
      <c r="AW1176" s="59">
        <f t="shared" si="478"/>
        <v>1.004867550565343</v>
      </c>
      <c r="AX1176" s="60">
        <f>PRODUCT(AW$4:AW1176)</f>
        <v>297.61055491630009</v>
      </c>
    </row>
    <row r="1177" spans="45:50">
      <c r="AS1177" s="55">
        <f t="shared" si="476"/>
        <v>98</v>
      </c>
      <c r="AT1177" s="56">
        <f t="shared" si="479"/>
        <v>1174</v>
      </c>
      <c r="AU1177" s="57">
        <f t="shared" si="480"/>
        <v>3.2520897803875802E-3</v>
      </c>
      <c r="AV1177" s="58">
        <f t="shared" si="477"/>
        <v>4.8675505653430484E-3</v>
      </c>
      <c r="AW1177" s="59">
        <f t="shared" si="478"/>
        <v>1.004867550565343</v>
      </c>
      <c r="AX1177" s="60">
        <f>PRODUCT(AW$4:AW1177)</f>
        <v>299.05918934113498</v>
      </c>
    </row>
    <row r="1178" spans="45:50">
      <c r="AS1178" s="55">
        <f t="shared" si="476"/>
        <v>98</v>
      </c>
      <c r="AT1178" s="56">
        <f t="shared" si="479"/>
        <v>1175</v>
      </c>
      <c r="AU1178" s="57">
        <f t="shared" si="480"/>
        <v>3.2362600689385085E-3</v>
      </c>
      <c r="AV1178" s="58">
        <f t="shared" si="477"/>
        <v>4.8675505653430484E-3</v>
      </c>
      <c r="AW1178" s="59">
        <f t="shared" si="478"/>
        <v>1.004867550565343</v>
      </c>
      <c r="AX1178" s="60">
        <f>PRODUCT(AW$4:AW1178)</f>
        <v>300.51487506728347</v>
      </c>
    </row>
    <row r="1179" spans="45:50">
      <c r="AS1179" s="55">
        <f t="shared" si="476"/>
        <v>98</v>
      </c>
      <c r="AT1179" s="56">
        <f t="shared" si="479"/>
        <v>1176</v>
      </c>
      <c r="AU1179" s="57">
        <f t="shared" si="480"/>
        <v>3.2205074094103499E-3</v>
      </c>
      <c r="AV1179" s="58">
        <f t="shared" si="477"/>
        <v>4.8675505653430484E-3</v>
      </c>
      <c r="AW1179" s="59">
        <f t="shared" si="478"/>
        <v>1.004867550565343</v>
      </c>
      <c r="AX1179" s="60">
        <f>PRODUCT(AW$4:AW1179)</f>
        <v>301.97764641731123</v>
      </c>
    </row>
    <row r="1180" spans="45:50">
      <c r="AS1180" s="55">
        <f t="shared" si="476"/>
        <v>99</v>
      </c>
      <c r="AT1180" s="56">
        <f t="shared" si="479"/>
        <v>1177</v>
      </c>
      <c r="AU1180" s="57">
        <f t="shared" si="480"/>
        <v>3.2048314267489829E-3</v>
      </c>
      <c r="AV1180" s="58">
        <f t="shared" si="477"/>
        <v>4.8675505653430484E-3</v>
      </c>
      <c r="AW1180" s="59">
        <f t="shared" si="478"/>
        <v>1.004867550565343</v>
      </c>
      <c r="AX1180" s="60">
        <f>PRODUCT(AW$4:AW1180)</f>
        <v>303.4475378808508</v>
      </c>
    </row>
    <row r="1181" spans="45:50">
      <c r="AS1181" s="55">
        <f t="shared" si="476"/>
        <v>99</v>
      </c>
      <c r="AT1181" s="56">
        <f t="shared" si="479"/>
        <v>1178</v>
      </c>
      <c r="AU1181" s="57">
        <f t="shared" si="480"/>
        <v>3.1892317477258819E-3</v>
      </c>
      <c r="AV1181" s="58">
        <f t="shared" si="477"/>
        <v>4.8675505653430484E-3</v>
      </c>
      <c r="AW1181" s="59">
        <f t="shared" si="478"/>
        <v>1.004867550565343</v>
      </c>
      <c r="AX1181" s="60">
        <f>PRODUCT(AW$4:AW1181)</f>
        <v>304.92458411541469</v>
      </c>
    </row>
    <row r="1182" spans="45:50">
      <c r="AS1182" s="55">
        <f t="shared" si="476"/>
        <v>99</v>
      </c>
      <c r="AT1182" s="56">
        <f t="shared" si="479"/>
        <v>1179</v>
      </c>
      <c r="AU1182" s="57">
        <f t="shared" si="480"/>
        <v>3.1737080009292288E-3</v>
      </c>
      <c r="AV1182" s="58">
        <f t="shared" si="477"/>
        <v>4.8675505653430484E-3</v>
      </c>
      <c r="AW1182" s="59">
        <f t="shared" si="478"/>
        <v>1.004867550565343</v>
      </c>
      <c r="AX1182" s="60">
        <f>PRODUCT(AW$4:AW1182)</f>
        <v>306.40881994721269</v>
      </c>
    </row>
    <row r="1183" spans="45:50">
      <c r="AS1183" s="55">
        <f t="shared" si="476"/>
        <v>99</v>
      </c>
      <c r="AT1183" s="56">
        <f t="shared" si="479"/>
        <v>1180</v>
      </c>
      <c r="AU1183" s="57">
        <f t="shared" si="480"/>
        <v>3.1582598167550721E-3</v>
      </c>
      <c r="AV1183" s="58">
        <f t="shared" si="477"/>
        <v>4.8675505653430484E-3</v>
      </c>
      <c r="AW1183" s="59">
        <f t="shared" si="478"/>
        <v>1.004867550565343</v>
      </c>
      <c r="AX1183" s="60">
        <f>PRODUCT(AW$4:AW1183)</f>
        <v>307.90028037197283</v>
      </c>
    </row>
    <row r="1184" spans="45:50">
      <c r="AS1184" s="55">
        <f t="shared" si="476"/>
        <v>99</v>
      </c>
      <c r="AT1184" s="56">
        <f t="shared" si="479"/>
        <v>1181</v>
      </c>
      <c r="AU1184" s="57">
        <f t="shared" si="480"/>
        <v>3.1428868273985257E-3</v>
      </c>
      <c r="AV1184" s="58">
        <f t="shared" si="477"/>
        <v>4.8675505653430484E-3</v>
      </c>
      <c r="AW1184" s="59">
        <f t="shared" si="478"/>
        <v>1.004867550565343</v>
      </c>
      <c r="AX1184" s="60">
        <f>PRODUCT(AW$4:AW1184)</f>
        <v>309.39900055576669</v>
      </c>
    </row>
    <row r="1185" spans="45:50">
      <c r="AS1185" s="55">
        <f t="shared" si="476"/>
        <v>99</v>
      </c>
      <c r="AT1185" s="56">
        <f t="shared" si="479"/>
        <v>1182</v>
      </c>
      <c r="AU1185" s="57">
        <f t="shared" si="480"/>
        <v>3.127588666845013E-3</v>
      </c>
      <c r="AV1185" s="58">
        <f t="shared" si="477"/>
        <v>4.8675505653430484E-3</v>
      </c>
      <c r="AW1185" s="59">
        <f t="shared" si="478"/>
        <v>1.004867550565343</v>
      </c>
      <c r="AX1185" s="60">
        <f>PRODUCT(AW$4:AW1185)</f>
        <v>310.90501583583847</v>
      </c>
    </row>
    <row r="1186" spans="45:50">
      <c r="AS1186" s="55">
        <f t="shared" si="476"/>
        <v>99</v>
      </c>
      <c r="AT1186" s="56">
        <f t="shared" si="479"/>
        <v>1183</v>
      </c>
      <c r="AU1186" s="57">
        <f t="shared" si="480"/>
        <v>3.1123649708615512E-3</v>
      </c>
      <c r="AV1186" s="58">
        <f t="shared" si="477"/>
        <v>4.8675505653430484E-3</v>
      </c>
      <c r="AW1186" s="59">
        <f t="shared" si="478"/>
        <v>1.004867550565343</v>
      </c>
      <c r="AX1186" s="60">
        <f>PRODUCT(AW$4:AW1186)</f>
        <v>312.4183617214382</v>
      </c>
    </row>
    <row r="1187" spans="45:50">
      <c r="AS1187" s="55">
        <f t="shared" si="476"/>
        <v>99</v>
      </c>
      <c r="AT1187" s="56">
        <f t="shared" si="479"/>
        <v>1184</v>
      </c>
      <c r="AU1187" s="57">
        <f t="shared" si="480"/>
        <v>3.09721537698808E-3</v>
      </c>
      <c r="AV1187" s="58">
        <f t="shared" si="477"/>
        <v>4.8675505653430484E-3</v>
      </c>
      <c r="AW1187" s="59">
        <f t="shared" si="478"/>
        <v>1.004867550565343</v>
      </c>
      <c r="AX1187" s="60">
        <f>PRODUCT(AW$4:AW1187)</f>
        <v>313.93907389465892</v>
      </c>
    </row>
    <row r="1188" spans="45:50">
      <c r="AS1188" s="55">
        <f t="shared" si="476"/>
        <v>99</v>
      </c>
      <c r="AT1188" s="56">
        <f t="shared" si="479"/>
        <v>1185</v>
      </c>
      <c r="AU1188" s="57">
        <f t="shared" si="480"/>
        <v>3.0821395245288325E-3</v>
      </c>
      <c r="AV1188" s="58">
        <f t="shared" si="477"/>
        <v>4.8675505653430484E-3</v>
      </c>
      <c r="AW1188" s="59">
        <f t="shared" si="478"/>
        <v>1.004867550565343</v>
      </c>
      <c r="AX1188" s="60">
        <f>PRODUCT(AW$4:AW1188)</f>
        <v>315.46718821127814</v>
      </c>
    </row>
    <row r="1189" spans="45:50">
      <c r="AS1189" s="55">
        <f t="shared" si="476"/>
        <v>99</v>
      </c>
      <c r="AT1189" s="56">
        <f t="shared" si="479"/>
        <v>1186</v>
      </c>
      <c r="AU1189" s="57">
        <f t="shared" si="480"/>
        <v>3.067137054543746E-3</v>
      </c>
      <c r="AV1189" s="58">
        <f t="shared" si="477"/>
        <v>4.8675505653430484E-3</v>
      </c>
      <c r="AW1189" s="59">
        <f t="shared" si="478"/>
        <v>1.004867550565343</v>
      </c>
      <c r="AX1189" s="60">
        <f>PRODUCT(AW$4:AW1189)</f>
        <v>317.00274070160316</v>
      </c>
    </row>
    <row r="1190" spans="45:50">
      <c r="AS1190" s="55">
        <f t="shared" si="476"/>
        <v>99</v>
      </c>
      <c r="AT1190" s="56">
        <f t="shared" si="479"/>
        <v>1187</v>
      </c>
      <c r="AU1190" s="57">
        <f t="shared" si="480"/>
        <v>3.0522076098399168E-3</v>
      </c>
      <c r="AV1190" s="58">
        <f t="shared" si="477"/>
        <v>4.8675505653430484E-3</v>
      </c>
      <c r="AW1190" s="59">
        <f t="shared" si="478"/>
        <v>1.004867550565343</v>
      </c>
      <c r="AX1190" s="60">
        <f>PRODUCT(AW$4:AW1190)</f>
        <v>318.54576757132054</v>
      </c>
    </row>
    <row r="1191" spans="45:50">
      <c r="AS1191" s="55">
        <f t="shared" si="476"/>
        <v>99</v>
      </c>
      <c r="AT1191" s="56">
        <f t="shared" si="479"/>
        <v>1188</v>
      </c>
      <c r="AU1191" s="57">
        <f t="shared" si="480"/>
        <v>3.0373508349630959E-3</v>
      </c>
      <c r="AV1191" s="58">
        <f t="shared" si="477"/>
        <v>4.8675505653430484E-3</v>
      </c>
      <c r="AW1191" s="59">
        <f t="shared" si="478"/>
        <v>1.004867550565343</v>
      </c>
      <c r="AX1191" s="60">
        <f>PRODUCT(AW$4:AW1191)</f>
        <v>320.09630520234998</v>
      </c>
    </row>
    <row r="1192" spans="45:50">
      <c r="AS1192" s="55">
        <f t="shared" si="476"/>
        <v>100</v>
      </c>
      <c r="AT1192" s="56">
        <f t="shared" si="479"/>
        <v>1189</v>
      </c>
      <c r="AU1192" s="57">
        <f t="shared" si="480"/>
        <v>3.022566376189226E-3</v>
      </c>
      <c r="AV1192" s="58">
        <f t="shared" si="477"/>
        <v>4.8675505653430484E-3</v>
      </c>
      <c r="AW1192" s="59">
        <f t="shared" si="478"/>
        <v>1.004867550565343</v>
      </c>
      <c r="AX1192" s="60">
        <f>PRODUCT(AW$4:AW1192)</f>
        <v>321.65439015370191</v>
      </c>
    </row>
    <row r="1193" spans="45:50">
      <c r="AS1193" s="55">
        <f t="shared" si="476"/>
        <v>100</v>
      </c>
      <c r="AT1193" s="56">
        <f t="shared" si="479"/>
        <v>1190</v>
      </c>
      <c r="AU1193" s="57">
        <f t="shared" si="480"/>
        <v>3.007853881516019E-3</v>
      </c>
      <c r="AV1193" s="58">
        <f t="shared" si="477"/>
        <v>4.8675505653430484E-3</v>
      </c>
      <c r="AW1193" s="59">
        <f t="shared" si="478"/>
        <v>1.004867550565343</v>
      </c>
      <c r="AX1193" s="60">
        <f>PRODUCT(AW$4:AW1193)</f>
        <v>323.22005916233962</v>
      </c>
    </row>
    <row r="1194" spans="45:50">
      <c r="AS1194" s="55">
        <f t="shared" si="476"/>
        <v>100</v>
      </c>
      <c r="AT1194" s="56">
        <f t="shared" si="479"/>
        <v>1191</v>
      </c>
      <c r="AU1194" s="57">
        <f t="shared" si="480"/>
        <v>2.9932130006545764E-3</v>
      </c>
      <c r="AV1194" s="58">
        <f t="shared" si="477"/>
        <v>4.8675505653430484E-3</v>
      </c>
      <c r="AW1194" s="59">
        <f t="shared" si="478"/>
        <v>1.004867550565343</v>
      </c>
      <c r="AX1194" s="60">
        <f>PRODUCT(AW$4:AW1194)</f>
        <v>324.79334914404546</v>
      </c>
    </row>
    <row r="1195" spans="45:50">
      <c r="AS1195" s="55">
        <f t="shared" si="476"/>
        <v>100</v>
      </c>
      <c r="AT1195" s="56">
        <f t="shared" si="479"/>
        <v>1192</v>
      </c>
      <c r="AU1195" s="57">
        <f t="shared" si="480"/>
        <v>2.978643385021048E-3</v>
      </c>
      <c r="AV1195" s="58">
        <f t="shared" si="477"/>
        <v>4.8675505653430484E-3</v>
      </c>
      <c r="AW1195" s="59">
        <f t="shared" si="478"/>
        <v>1.004867550565343</v>
      </c>
      <c r="AX1195" s="60">
        <f>PRODUCT(AW$4:AW1195)</f>
        <v>326.37429719429122</v>
      </c>
    </row>
    <row r="1196" spans="45:50">
      <c r="AS1196" s="55">
        <f t="shared" si="476"/>
        <v>100</v>
      </c>
      <c r="AT1196" s="56">
        <f t="shared" si="479"/>
        <v>1193</v>
      </c>
      <c r="AU1196" s="57">
        <f t="shared" si="480"/>
        <v>2.9641446877283336E-3</v>
      </c>
      <c r="AV1196" s="58">
        <f t="shared" si="477"/>
        <v>4.8675505653430484E-3</v>
      </c>
      <c r="AW1196" s="59">
        <f t="shared" si="478"/>
        <v>1.004867550565343</v>
      </c>
      <c r="AX1196" s="60">
        <f>PRODUCT(AW$4:AW1196)</f>
        <v>327.96294058911275</v>
      </c>
    </row>
    <row r="1197" spans="45:50">
      <c r="AS1197" s="55">
        <f t="shared" si="476"/>
        <v>100</v>
      </c>
      <c r="AT1197" s="56">
        <f t="shared" si="479"/>
        <v>1194</v>
      </c>
      <c r="AU1197" s="57">
        <f t="shared" si="480"/>
        <v>2.9497165635778231E-3</v>
      </c>
      <c r="AV1197" s="58">
        <f t="shared" si="477"/>
        <v>4.8675505653430484E-3</v>
      </c>
      <c r="AW1197" s="59">
        <f t="shared" si="478"/>
        <v>1.004867550565343</v>
      </c>
      <c r="AX1197" s="60">
        <f>PRODUCT(AW$4:AW1197)</f>
        <v>329.55931678598887</v>
      </c>
    </row>
    <row r="1198" spans="45:50">
      <c r="AS1198" s="55">
        <f t="shared" si="476"/>
        <v>100</v>
      </c>
      <c r="AT1198" s="56">
        <f t="shared" si="479"/>
        <v>1195</v>
      </c>
      <c r="AU1198" s="57">
        <f t="shared" si="480"/>
        <v>2.9353586690511781E-3</v>
      </c>
      <c r="AV1198" s="58">
        <f t="shared" si="477"/>
        <v>4.8675505653430484E-3</v>
      </c>
      <c r="AW1198" s="59">
        <f t="shared" si="478"/>
        <v>1.004867550565343</v>
      </c>
      <c r="AX1198" s="60">
        <f>PRODUCT(AW$4:AW1198)</f>
        <v>331.16346342472457</v>
      </c>
    </row>
    <row r="1199" spans="45:50">
      <c r="AS1199" s="55">
        <f t="shared" si="476"/>
        <v>100</v>
      </c>
      <c r="AT1199" s="56">
        <f t="shared" si="479"/>
        <v>1196</v>
      </c>
      <c r="AU1199" s="57">
        <f t="shared" si="480"/>
        <v>2.9210706623021532E-3</v>
      </c>
      <c r="AV1199" s="58">
        <f t="shared" si="477"/>
        <v>4.8675505653430484E-3</v>
      </c>
      <c r="AW1199" s="59">
        <f t="shared" si="478"/>
        <v>1.004867550565343</v>
      </c>
      <c r="AX1199" s="60">
        <f>PRODUCT(AW$4:AW1199)</f>
        <v>332.77541832833856</v>
      </c>
    </row>
    <row r="1200" spans="45:50">
      <c r="AS1200" s="55">
        <f t="shared" si="476"/>
        <v>100</v>
      </c>
      <c r="AT1200" s="56">
        <f t="shared" si="479"/>
        <v>1197</v>
      </c>
      <c r="AU1200" s="57">
        <f t="shared" si="480"/>
        <v>2.9068522031484574E-3</v>
      </c>
      <c r="AV1200" s="58">
        <f t="shared" si="477"/>
        <v>4.8675505653430484E-3</v>
      </c>
      <c r="AW1200" s="59">
        <f t="shared" si="478"/>
        <v>1.004867550565343</v>
      </c>
      <c r="AX1200" s="60">
        <f>PRODUCT(AW$4:AW1200)</f>
        <v>334.39521950395493</v>
      </c>
    </row>
    <row r="1201" spans="45:50">
      <c r="AS1201" s="55">
        <f t="shared" si="476"/>
        <v>100</v>
      </c>
      <c r="AT1201" s="56">
        <f t="shared" si="479"/>
        <v>1198</v>
      </c>
      <c r="AU1201" s="57">
        <f t="shared" si="480"/>
        <v>2.8927029530636536E-3</v>
      </c>
      <c r="AV1201" s="58">
        <f t="shared" si="477"/>
        <v>4.8675505653430484E-3</v>
      </c>
      <c r="AW1201" s="59">
        <f t="shared" si="478"/>
        <v>1.004867550565343</v>
      </c>
      <c r="AX1201" s="60">
        <f>PRODUCT(AW$4:AW1201)</f>
        <v>336.0229051436994</v>
      </c>
    </row>
    <row r="1202" spans="45:50">
      <c r="AS1202" s="55">
        <f t="shared" si="476"/>
        <v>100</v>
      </c>
      <c r="AT1202" s="56">
        <f t="shared" si="479"/>
        <v>1199</v>
      </c>
      <c r="AU1202" s="57">
        <f t="shared" si="480"/>
        <v>2.8786225751690989E-3</v>
      </c>
      <c r="AV1202" s="58">
        <f t="shared" si="477"/>
        <v>4.8675505653430484E-3</v>
      </c>
      <c r="AW1202" s="59">
        <f t="shared" si="478"/>
        <v>1.004867550565343</v>
      </c>
      <c r="AX1202" s="60">
        <f>PRODUCT(AW$4:AW1202)</f>
        <v>337.65851362559982</v>
      </c>
    </row>
    <row r="1203" spans="45:50">
      <c r="AS1203" s="55">
        <f t="shared" si="476"/>
        <v>100</v>
      </c>
      <c r="AT1203" s="56">
        <f t="shared" si="479"/>
        <v>1200</v>
      </c>
      <c r="AU1203" s="57">
        <f t="shared" si="480"/>
        <v>2.8646107342259254E-3</v>
      </c>
      <c r="AV1203" s="58">
        <f t="shared" si="477"/>
        <v>4.8675505653430484E-3</v>
      </c>
      <c r="AW1203" s="59">
        <f t="shared" si="478"/>
        <v>1.004867550565343</v>
      </c>
      <c r="AX1203" s="60">
        <f>PRODUCT(AW$4:AW1203)</f>
        <v>339.30208351449102</v>
      </c>
    </row>
    <row r="1204" spans="45:50">
      <c r="AS1204" s="55">
        <f t="shared" si="476"/>
        <v>101</v>
      </c>
      <c r="AT1204" s="56">
        <f t="shared" si="479"/>
        <v>1201</v>
      </c>
      <c r="AU1204" s="57">
        <f t="shared" si="480"/>
        <v>2.8506670966270561E-3</v>
      </c>
      <c r="AV1204" s="58">
        <f t="shared" si="477"/>
        <v>4.8675505653430484E-3</v>
      </c>
      <c r="AW1204" s="59">
        <f t="shared" si="478"/>
        <v>1.004867550565343</v>
      </c>
      <c r="AX1204" s="60">
        <f>PRODUCT(AW$4:AW1204)</f>
        <v>340.95365356292405</v>
      </c>
    </row>
    <row r="1205" spans="45:50">
      <c r="AS1205" s="55">
        <f t="shared" si="476"/>
        <v>101</v>
      </c>
      <c r="AT1205" s="56">
        <f t="shared" si="479"/>
        <v>1202</v>
      </c>
      <c r="AU1205" s="57">
        <f t="shared" si="480"/>
        <v>2.8367913303892641E-3</v>
      </c>
      <c r="AV1205" s="58">
        <f t="shared" si="477"/>
        <v>4.8675505653430484E-3</v>
      </c>
      <c r="AW1205" s="59">
        <f t="shared" si="478"/>
        <v>1.004867550565343</v>
      </c>
      <c r="AX1205" s="60">
        <f>PRODUCT(AW$4:AW1205)</f>
        <v>342.61326271208003</v>
      </c>
    </row>
    <row r="1206" spans="45:50">
      <c r="AS1206" s="55">
        <f t="shared" si="476"/>
        <v>101</v>
      </c>
      <c r="AT1206" s="56">
        <f t="shared" si="479"/>
        <v>1203</v>
      </c>
      <c r="AU1206" s="57">
        <f t="shared" si="480"/>
        <v>2.8229831051452678E-3</v>
      </c>
      <c r="AV1206" s="58">
        <f t="shared" si="477"/>
        <v>4.8675505653430484E-3</v>
      </c>
      <c r="AW1206" s="59">
        <f t="shared" si="478"/>
        <v>1.004867550565343</v>
      </c>
      <c r="AX1206" s="60">
        <f>PRODUCT(AW$4:AW1206)</f>
        <v>344.28095009268822</v>
      </c>
    </row>
    <row r="1207" spans="45:50">
      <c r="AS1207" s="55">
        <f t="shared" si="476"/>
        <v>101</v>
      </c>
      <c r="AT1207" s="56">
        <f t="shared" si="479"/>
        <v>1204</v>
      </c>
      <c r="AU1207" s="57">
        <f t="shared" si="480"/>
        <v>2.809242092135864E-3</v>
      </c>
      <c r="AV1207" s="58">
        <f t="shared" si="477"/>
        <v>4.8675505653430484E-3</v>
      </c>
      <c r="AW1207" s="59">
        <f t="shared" si="478"/>
        <v>1.004867550565343</v>
      </c>
      <c r="AX1207" s="60">
        <f>PRODUCT(AW$4:AW1207)</f>
        <v>345.95675502594872</v>
      </c>
    </row>
    <row r="1208" spans="45:50">
      <c r="AS1208" s="55">
        <f t="shared" si="476"/>
        <v>101</v>
      </c>
      <c r="AT1208" s="56">
        <f t="shared" si="479"/>
        <v>1205</v>
      </c>
      <c r="AU1208" s="57">
        <f t="shared" si="480"/>
        <v>2.7955679642021028E-3</v>
      </c>
      <c r="AV1208" s="58">
        <f t="shared" si="477"/>
        <v>4.8675505653430484E-3</v>
      </c>
      <c r="AW1208" s="59">
        <f t="shared" si="478"/>
        <v>1.004867550565343</v>
      </c>
      <c r="AX1208" s="60">
        <f>PRODUCT(AW$4:AW1208)</f>
        <v>347.64071702445955</v>
      </c>
    </row>
    <row r="1209" spans="45:50">
      <c r="AS1209" s="55">
        <f t="shared" si="476"/>
        <v>101</v>
      </c>
      <c r="AT1209" s="56">
        <f t="shared" si="479"/>
        <v>1206</v>
      </c>
      <c r="AU1209" s="57">
        <f t="shared" si="480"/>
        <v>2.7819603957774958E-3</v>
      </c>
      <c r="AV1209" s="58">
        <f t="shared" si="477"/>
        <v>4.8675505653430484E-3</v>
      </c>
      <c r="AW1209" s="59">
        <f t="shared" si="478"/>
        <v>1.004867550565343</v>
      </c>
      <c r="AX1209" s="60">
        <f>PRODUCT(AW$4:AW1209)</f>
        <v>349.33287579314822</v>
      </c>
    </row>
    <row r="1210" spans="45:50">
      <c r="AS1210" s="55">
        <f t="shared" si="476"/>
        <v>101</v>
      </c>
      <c r="AT1210" s="56">
        <f t="shared" si="479"/>
        <v>1207</v>
      </c>
      <c r="AU1210" s="57">
        <f t="shared" si="480"/>
        <v>2.7684190628802672E-3</v>
      </c>
      <c r="AV1210" s="58">
        <f t="shared" si="477"/>
        <v>4.8675505653430484E-3</v>
      </c>
      <c r="AW1210" s="59">
        <f t="shared" si="478"/>
        <v>1.004867550565343</v>
      </c>
      <c r="AX1210" s="60">
        <f>PRODUCT(AW$4:AW1210)</f>
        <v>351.03327123020807</v>
      </c>
    </row>
    <row r="1211" spans="45:50">
      <c r="AS1211" s="55">
        <f t="shared" si="476"/>
        <v>101</v>
      </c>
      <c r="AT1211" s="56">
        <f t="shared" si="479"/>
        <v>1208</v>
      </c>
      <c r="AU1211" s="57">
        <f t="shared" si="480"/>
        <v>2.7549436431056379E-3</v>
      </c>
      <c r="AV1211" s="58">
        <f t="shared" si="477"/>
        <v>4.8675505653430484E-3</v>
      </c>
      <c r="AW1211" s="59">
        <f t="shared" si="478"/>
        <v>1.004867550565343</v>
      </c>
      <c r="AX1211" s="60">
        <f>PRODUCT(AW$4:AW1211)</f>
        <v>352.74194342803889</v>
      </c>
    </row>
    <row r="1212" spans="45:50">
      <c r="AS1212" s="55">
        <f t="shared" si="476"/>
        <v>101</v>
      </c>
      <c r="AT1212" s="56">
        <f t="shared" si="479"/>
        <v>1209</v>
      </c>
      <c r="AU1212" s="57">
        <f t="shared" si="480"/>
        <v>2.7415338156181507E-3</v>
      </c>
      <c r="AV1212" s="58">
        <f t="shared" si="477"/>
        <v>4.8675505653430484E-3</v>
      </c>
      <c r="AW1212" s="59">
        <f t="shared" si="478"/>
        <v>1.004867550565343</v>
      </c>
      <c r="AX1212" s="60">
        <f>PRODUCT(AW$4:AW1212)</f>
        <v>354.45893267419223</v>
      </c>
    </row>
    <row r="1213" spans="45:50">
      <c r="AS1213" s="55">
        <f t="shared" si="476"/>
        <v>101</v>
      </c>
      <c r="AT1213" s="56">
        <f t="shared" si="479"/>
        <v>1210</v>
      </c>
      <c r="AU1213" s="57">
        <f t="shared" si="480"/>
        <v>2.7281892611440315E-3</v>
      </c>
      <c r="AV1213" s="58">
        <f t="shared" si="477"/>
        <v>4.8675505653430484E-3</v>
      </c>
      <c r="AW1213" s="59">
        <f t="shared" si="478"/>
        <v>1.004867550565343</v>
      </c>
      <c r="AX1213" s="60">
        <f>PRODUCT(AW$4:AW1213)</f>
        <v>356.18427945232139</v>
      </c>
    </row>
    <row r="1214" spans="45:50">
      <c r="AS1214" s="55">
        <f t="shared" si="476"/>
        <v>101</v>
      </c>
      <c r="AT1214" s="56">
        <f t="shared" si="479"/>
        <v>1211</v>
      </c>
      <c r="AU1214" s="57">
        <f t="shared" si="480"/>
        <v>2.714909661963587E-3</v>
      </c>
      <c r="AV1214" s="58">
        <f t="shared" si="477"/>
        <v>4.8675505653430484E-3</v>
      </c>
      <c r="AW1214" s="59">
        <f t="shared" si="478"/>
        <v>1.004867550565343</v>
      </c>
      <c r="AX1214" s="60">
        <f>PRODUCT(AW$4:AW1214)</f>
        <v>357.91802444313583</v>
      </c>
    </row>
    <row r="1215" spans="45:50">
      <c r="AS1215" s="55">
        <f t="shared" si="476"/>
        <v>101</v>
      </c>
      <c r="AT1215" s="56">
        <f t="shared" si="479"/>
        <v>1212</v>
      </c>
      <c r="AU1215" s="57">
        <f t="shared" si="480"/>
        <v>2.7016947019036408E-3</v>
      </c>
      <c r="AV1215" s="58">
        <f t="shared" si="477"/>
        <v>4.8675505653430484E-3</v>
      </c>
      <c r="AW1215" s="59">
        <f t="shared" si="478"/>
        <v>1.004867550565343</v>
      </c>
      <c r="AX1215" s="60">
        <f>PRODUCT(AW$4:AW1215)</f>
        <v>359.66020852536047</v>
      </c>
    </row>
    <row r="1216" spans="45:50">
      <c r="AS1216" s="55">
        <f t="shared" si="476"/>
        <v>102</v>
      </c>
      <c r="AT1216" s="56">
        <f t="shared" si="479"/>
        <v>1213</v>
      </c>
      <c r="AU1216" s="57">
        <f t="shared" si="480"/>
        <v>2.6885440663300055E-3</v>
      </c>
      <c r="AV1216" s="58">
        <f t="shared" si="477"/>
        <v>4.8675505653430484E-3</v>
      </c>
      <c r="AW1216" s="59">
        <f t="shared" si="478"/>
        <v>1.004867550565343</v>
      </c>
      <c r="AX1216" s="60">
        <f>PRODUCT(AW$4:AW1216)</f>
        <v>361.41087277669948</v>
      </c>
    </row>
    <row r="1217" spans="45:50">
      <c r="AS1217" s="55">
        <f t="shared" si="476"/>
        <v>102</v>
      </c>
      <c r="AT1217" s="56">
        <f t="shared" si="479"/>
        <v>1214</v>
      </c>
      <c r="AU1217" s="57">
        <f t="shared" si="480"/>
        <v>2.6754574421399913E-3</v>
      </c>
      <c r="AV1217" s="58">
        <f t="shared" si="477"/>
        <v>4.8675505653430484E-3</v>
      </c>
      <c r="AW1217" s="59">
        <f t="shared" si="478"/>
        <v>1.004867550565343</v>
      </c>
      <c r="AX1217" s="60">
        <f>PRODUCT(AW$4:AW1217)</f>
        <v>363.17005847480482</v>
      </c>
    </row>
    <row r="1218" spans="45:50">
      <c r="AS1218" s="55">
        <f t="shared" si="476"/>
        <v>102</v>
      </c>
      <c r="AT1218" s="56">
        <f t="shared" si="479"/>
        <v>1215</v>
      </c>
      <c r="AU1218" s="57">
        <f t="shared" si="480"/>
        <v>2.6624345177549513E-3</v>
      </c>
      <c r="AV1218" s="58">
        <f t="shared" si="477"/>
        <v>4.8675505653430484E-3</v>
      </c>
      <c r="AW1218" s="59">
        <f t="shared" si="478"/>
        <v>1.004867550565343</v>
      </c>
      <c r="AX1218" s="60">
        <f>PRODUCT(AW$4:AW1218)</f>
        <v>364.93780709824955</v>
      </c>
    </row>
    <row r="1219" spans="45:50">
      <c r="AS1219" s="55">
        <f t="shared" si="476"/>
        <v>102</v>
      </c>
      <c r="AT1219" s="56">
        <f t="shared" si="479"/>
        <v>1216</v>
      </c>
      <c r="AU1219" s="57">
        <f t="shared" si="480"/>
        <v>2.6494749831128643E-3</v>
      </c>
      <c r="AV1219" s="58">
        <f t="shared" si="477"/>
        <v>4.8675505653430484E-3</v>
      </c>
      <c r="AW1219" s="59">
        <f t="shared" si="478"/>
        <v>1.004867550565343</v>
      </c>
      <c r="AX1219" s="60">
        <f>PRODUCT(AW$4:AW1219)</f>
        <v>366.71416032750568</v>
      </c>
    </row>
    <row r="1220" spans="45:50">
      <c r="AS1220" s="55">
        <f t="shared" si="476"/>
        <v>102</v>
      </c>
      <c r="AT1220" s="56">
        <f t="shared" si="479"/>
        <v>1217</v>
      </c>
      <c r="AU1220" s="57">
        <f t="shared" si="480"/>
        <v>2.636578529660951E-3</v>
      </c>
      <c r="AV1220" s="58">
        <f t="shared" si="477"/>
        <v>4.8675505653430484E-3</v>
      </c>
      <c r="AW1220" s="59">
        <f t="shared" si="478"/>
        <v>1.004867550565343</v>
      </c>
      <c r="AX1220" s="60">
        <f>PRODUCT(AW$4:AW1220)</f>
        <v>368.49916004592711</v>
      </c>
    </row>
    <row r="1221" spans="45:50">
      <c r="AS1221" s="55">
        <f t="shared" ref="AS1221:AS1284" si="481">ROUNDDOWN((AT1221-1)/12,0)+1</f>
        <v>102</v>
      </c>
      <c r="AT1221" s="56">
        <f t="shared" si="479"/>
        <v>1218</v>
      </c>
      <c r="AU1221" s="57">
        <f t="shared" si="480"/>
        <v>2.6237448503483285E-3</v>
      </c>
      <c r="AV1221" s="58">
        <f t="shared" ref="AV1221:AV1284" si="482">((1+$AV$1)^(1/12))-1</f>
        <v>4.8675505653430484E-3</v>
      </c>
      <c r="AW1221" s="59">
        <f t="shared" ref="AW1221:AW1284" si="483">(1+AV1221)</f>
        <v>1.004867550565343</v>
      </c>
      <c r="AX1221" s="60">
        <f>PRODUCT(AW$4:AW1221)</f>
        <v>370.29284834073712</v>
      </c>
    </row>
    <row r="1222" spans="45:50">
      <c r="AS1222" s="55">
        <f t="shared" si="481"/>
        <v>102</v>
      </c>
      <c r="AT1222" s="56">
        <f t="shared" ref="AT1222:AT1285" si="484">AT1221+1</f>
        <v>1219</v>
      </c>
      <c r="AU1222" s="57">
        <f t="shared" si="480"/>
        <v>2.6109736396186995E-3</v>
      </c>
      <c r="AV1222" s="58">
        <f t="shared" si="482"/>
        <v>4.8675505653430484E-3</v>
      </c>
      <c r="AW1222" s="59">
        <f t="shared" si="483"/>
        <v>1.004867550565343</v>
      </c>
      <c r="AX1222" s="60">
        <f>PRODUCT(AW$4:AW1222)</f>
        <v>372.09526750402057</v>
      </c>
    </row>
    <row r="1223" spans="45:50">
      <c r="AS1223" s="55">
        <f t="shared" si="481"/>
        <v>102</v>
      </c>
      <c r="AT1223" s="56">
        <f t="shared" si="484"/>
        <v>1220</v>
      </c>
      <c r="AU1223" s="57">
        <f t="shared" si="480"/>
        <v>2.5982645934030778E-3</v>
      </c>
      <c r="AV1223" s="58">
        <f t="shared" si="482"/>
        <v>4.8675505653430484E-3</v>
      </c>
      <c r="AW1223" s="59">
        <f t="shared" si="483"/>
        <v>1.004867550565343</v>
      </c>
      <c r="AX1223" s="60">
        <f>PRODUCT(AW$4:AW1223)</f>
        <v>373.90646003372126</v>
      </c>
    </row>
    <row r="1224" spans="45:50">
      <c r="AS1224" s="55">
        <f t="shared" si="481"/>
        <v>102</v>
      </c>
      <c r="AT1224" s="56">
        <f t="shared" si="484"/>
        <v>1221</v>
      </c>
      <c r="AU1224" s="57">
        <f t="shared" si="480"/>
        <v>2.5856174091125478E-3</v>
      </c>
      <c r="AV1224" s="58">
        <f t="shared" si="482"/>
        <v>4.8675505653430484E-3</v>
      </c>
      <c r="AW1224" s="59">
        <f t="shared" si="483"/>
        <v>1.004867550565343</v>
      </c>
      <c r="AX1224" s="60">
        <f>PRODUCT(AW$4:AW1224)</f>
        <v>375.72646863464382</v>
      </c>
    </row>
    <row r="1225" spans="45:50">
      <c r="AS1225" s="55">
        <f t="shared" si="481"/>
        <v>102</v>
      </c>
      <c r="AT1225" s="56">
        <f t="shared" si="484"/>
        <v>1222</v>
      </c>
      <c r="AU1225" s="57">
        <f t="shared" si="480"/>
        <v>2.573031785631061E-3</v>
      </c>
      <c r="AV1225" s="58">
        <f t="shared" si="482"/>
        <v>4.8675505653430484E-3</v>
      </c>
      <c r="AW1225" s="59">
        <f t="shared" si="483"/>
        <v>1.004867550565343</v>
      </c>
      <c r="AX1225" s="60">
        <f>PRODUCT(AW$4:AW1225)</f>
        <v>377.55533621946074</v>
      </c>
    </row>
    <row r="1226" spans="45:50">
      <c r="AS1226" s="55">
        <f t="shared" si="481"/>
        <v>102</v>
      </c>
      <c r="AT1226" s="56">
        <f t="shared" si="484"/>
        <v>1223</v>
      </c>
      <c r="AU1226" s="57">
        <f t="shared" si="480"/>
        <v>2.560507423308267E-3</v>
      </c>
      <c r="AV1226" s="58">
        <f t="shared" si="482"/>
        <v>4.8675505653430484E-3</v>
      </c>
      <c r="AW1226" s="59">
        <f t="shared" si="483"/>
        <v>1.004867550565343</v>
      </c>
      <c r="AX1226" s="60">
        <f>PRODUCT(AW$4:AW1226)</f>
        <v>379.39310590972406</v>
      </c>
    </row>
    <row r="1227" spans="45:50">
      <c r="AS1227" s="55">
        <f t="shared" si="481"/>
        <v>102</v>
      </c>
      <c r="AT1227" s="56">
        <f t="shared" si="484"/>
        <v>1224</v>
      </c>
      <c r="AU1227" s="57">
        <f t="shared" si="480"/>
        <v>2.5480440239523776E-3</v>
      </c>
      <c r="AV1227" s="58">
        <f t="shared" si="482"/>
        <v>4.8675505653430484E-3</v>
      </c>
      <c r="AW1227" s="59">
        <f t="shared" si="483"/>
        <v>1.004867550565343</v>
      </c>
      <c r="AX1227" s="60">
        <f>PRODUCT(AW$4:AW1227)</f>
        <v>381.23982103688218</v>
      </c>
    </row>
    <row r="1228" spans="45:50">
      <c r="AS1228" s="55">
        <f t="shared" si="481"/>
        <v>103</v>
      </c>
      <c r="AT1228" s="56">
        <f t="shared" si="484"/>
        <v>1225</v>
      </c>
      <c r="AU1228" s="57">
        <f t="shared" si="480"/>
        <v>2.5356412908230691E-3</v>
      </c>
      <c r="AV1228" s="58">
        <f t="shared" si="482"/>
        <v>4.8675505653430484E-3</v>
      </c>
      <c r="AW1228" s="59">
        <f t="shared" si="483"/>
        <v>1.004867550565343</v>
      </c>
      <c r="AX1228" s="60">
        <f>PRODUCT(AW$4:AW1228)</f>
        <v>383.09552514330153</v>
      </c>
    </row>
    <row r="1229" spans="45:50">
      <c r="AS1229" s="55">
        <f t="shared" si="481"/>
        <v>103</v>
      </c>
      <c r="AT1229" s="56">
        <f t="shared" si="484"/>
        <v>1226</v>
      </c>
      <c r="AU1229" s="57">
        <f t="shared" si="480"/>
        <v>2.5232989286244163E-3</v>
      </c>
      <c r="AV1229" s="58">
        <f t="shared" si="482"/>
        <v>4.8675505653430484E-3</v>
      </c>
      <c r="AW1229" s="59">
        <f t="shared" si="483"/>
        <v>1.004867550565343</v>
      </c>
      <c r="AX1229" s="60">
        <f>PRODUCT(AW$4:AW1229)</f>
        <v>384.96026198329321</v>
      </c>
    </row>
    <row r="1230" spans="45:50">
      <c r="AS1230" s="55">
        <f t="shared" si="481"/>
        <v>103</v>
      </c>
      <c r="AT1230" s="56">
        <f t="shared" si="484"/>
        <v>1227</v>
      </c>
      <c r="AU1230" s="57">
        <f t="shared" si="480"/>
        <v>2.5110166434978609E-3</v>
      </c>
      <c r="AV1230" s="58">
        <f t="shared" si="482"/>
        <v>4.8675505653430484E-3</v>
      </c>
      <c r="AW1230" s="59">
        <f t="shared" si="483"/>
        <v>1.004867550565343</v>
      </c>
      <c r="AX1230" s="60">
        <f>PRODUCT(AW$4:AW1230)</f>
        <v>386.83407552414457</v>
      </c>
    </row>
    <row r="1231" spans="45:50">
      <c r="AS1231" s="55">
        <f t="shared" si="481"/>
        <v>103</v>
      </c>
      <c r="AT1231" s="56">
        <f t="shared" si="484"/>
        <v>1228</v>
      </c>
      <c r="AU1231" s="57">
        <f t="shared" si="480"/>
        <v>2.4987941430152172E-3</v>
      </c>
      <c r="AV1231" s="58">
        <f t="shared" si="482"/>
        <v>4.8675505653430484E-3</v>
      </c>
      <c r="AW1231" s="59">
        <f t="shared" si="483"/>
        <v>1.004867550565343</v>
      </c>
      <c r="AX1231" s="60">
        <f>PRODUCT(AW$4:AW1231)</f>
        <v>388.71700994715604</v>
      </c>
    </row>
    <row r="1232" spans="45:50">
      <c r="AS1232" s="55">
        <f t="shared" si="481"/>
        <v>103</v>
      </c>
      <c r="AT1232" s="56">
        <f t="shared" si="484"/>
        <v>1229</v>
      </c>
      <c r="AU1232" s="57">
        <f t="shared" si="480"/>
        <v>2.4866311361717076E-3</v>
      </c>
      <c r="AV1232" s="58">
        <f t="shared" si="482"/>
        <v>4.8675505653430484E-3</v>
      </c>
      <c r="AW1232" s="59">
        <f t="shared" si="483"/>
        <v>1.004867550565343</v>
      </c>
      <c r="AX1232" s="60">
        <f>PRODUCT(AW$4:AW1232)</f>
        <v>390.60910964868276</v>
      </c>
    </row>
    <row r="1233" spans="45:50">
      <c r="AS1233" s="55">
        <f t="shared" si="481"/>
        <v>103</v>
      </c>
      <c r="AT1233" s="56">
        <f t="shared" si="484"/>
        <v>1230</v>
      </c>
      <c r="AU1233" s="57">
        <f t="shared" si="480"/>
        <v>2.4745273333790356E-3</v>
      </c>
      <c r="AV1233" s="58">
        <f t="shared" si="482"/>
        <v>4.8675505653430484E-3</v>
      </c>
      <c r="AW1233" s="59">
        <f t="shared" si="483"/>
        <v>1.004867550565343</v>
      </c>
      <c r="AX1233" s="60">
        <f>PRODUCT(AW$4:AW1233)</f>
        <v>392.51041924118135</v>
      </c>
    </row>
    <row r="1234" spans="45:50">
      <c r="AS1234" s="55">
        <f t="shared" si="481"/>
        <v>103</v>
      </c>
      <c r="AT1234" s="56">
        <f t="shared" si="484"/>
        <v>1231</v>
      </c>
      <c r="AU1234" s="57">
        <f t="shared" si="480"/>
        <v>2.4624824464584897E-3</v>
      </c>
      <c r="AV1234" s="58">
        <f t="shared" si="482"/>
        <v>4.8675505653430484E-3</v>
      </c>
      <c r="AW1234" s="59">
        <f t="shared" si="483"/>
        <v>1.004867550565343</v>
      </c>
      <c r="AX1234" s="60">
        <f>PRODUCT(AW$4:AW1234)</f>
        <v>394.4209835542618</v>
      </c>
    </row>
    <row r="1235" spans="45:50">
      <c r="AS1235" s="55">
        <f t="shared" si="481"/>
        <v>103</v>
      </c>
      <c r="AT1235" s="56">
        <f t="shared" si="484"/>
        <v>1232</v>
      </c>
      <c r="AU1235" s="57">
        <f t="shared" si="480"/>
        <v>2.4504961886340835E-3</v>
      </c>
      <c r="AV1235" s="58">
        <f t="shared" si="482"/>
        <v>4.8675505653430484E-3</v>
      </c>
      <c r="AW1235" s="59">
        <f t="shared" si="483"/>
        <v>1.004867550565343</v>
      </c>
      <c r="AX1235" s="60">
        <f>PRODUCT(AW$4:AW1235)</f>
        <v>396.34084763574452</v>
      </c>
    </row>
    <row r="1236" spans="45:50">
      <c r="AS1236" s="55">
        <f t="shared" si="481"/>
        <v>103</v>
      </c>
      <c r="AT1236" s="56">
        <f t="shared" si="484"/>
        <v>1233</v>
      </c>
      <c r="AU1236" s="57">
        <f t="shared" si="480"/>
        <v>2.4385682745257267E-3</v>
      </c>
      <c r="AV1236" s="58">
        <f t="shared" si="482"/>
        <v>4.8675505653430484E-3</v>
      </c>
      <c r="AW1236" s="59">
        <f t="shared" si="483"/>
        <v>1.004867550565343</v>
      </c>
      <c r="AX1236" s="60">
        <f>PRODUCT(AW$4:AW1236)</f>
        <v>398.27005675272244</v>
      </c>
    </row>
    <row r="1237" spans="45:50">
      <c r="AS1237" s="55">
        <f t="shared" si="481"/>
        <v>103</v>
      </c>
      <c r="AT1237" s="56">
        <f t="shared" si="484"/>
        <v>1234</v>
      </c>
      <c r="AU1237" s="57">
        <f t="shared" si="480"/>
        <v>2.4266984201424314E-3</v>
      </c>
      <c r="AV1237" s="58">
        <f t="shared" si="482"/>
        <v>4.8675505653430484E-3</v>
      </c>
      <c r="AW1237" s="59">
        <f t="shared" si="483"/>
        <v>1.004867550565343</v>
      </c>
      <c r="AX1237" s="60">
        <f>PRODUCT(AW$4:AW1237)</f>
        <v>400.20865639262837</v>
      </c>
    </row>
    <row r="1238" spans="45:50">
      <c r="AS1238" s="55">
        <f t="shared" si="481"/>
        <v>103</v>
      </c>
      <c r="AT1238" s="56">
        <f t="shared" si="484"/>
        <v>1235</v>
      </c>
      <c r="AU1238" s="57">
        <f t="shared" si="480"/>
        <v>2.4148863428755502E-3</v>
      </c>
      <c r="AV1238" s="58">
        <f t="shared" si="482"/>
        <v>4.8675505653430484E-3</v>
      </c>
      <c r="AW1238" s="59">
        <f t="shared" si="483"/>
        <v>1.004867550565343</v>
      </c>
      <c r="AX1238" s="60">
        <f>PRODUCT(AW$4:AW1238)</f>
        <v>402.15669226430748</v>
      </c>
    </row>
    <row r="1239" spans="45:50">
      <c r="AS1239" s="55">
        <f t="shared" si="481"/>
        <v>103</v>
      </c>
      <c r="AT1239" s="56">
        <f t="shared" si="484"/>
        <v>1236</v>
      </c>
      <c r="AU1239" s="57">
        <f t="shared" ref="AU1239:AU1302" si="485">(1-AV1239)*AU1238</f>
        <v>2.4031317614920471E-3</v>
      </c>
      <c r="AV1239" s="58">
        <f t="shared" si="482"/>
        <v>4.8675505653430484E-3</v>
      </c>
      <c r="AW1239" s="59">
        <f t="shared" si="483"/>
        <v>1.004867550565343</v>
      </c>
      <c r="AX1239" s="60">
        <f>PRODUCT(AW$4:AW1239)</f>
        <v>404.11421029909508</v>
      </c>
    </row>
    <row r="1240" spans="45:50">
      <c r="AS1240" s="55">
        <f t="shared" si="481"/>
        <v>104</v>
      </c>
      <c r="AT1240" s="56">
        <f t="shared" si="484"/>
        <v>1237</v>
      </c>
      <c r="AU1240" s="57">
        <f t="shared" si="485"/>
        <v>2.3914343961278029E-3</v>
      </c>
      <c r="AV1240" s="58">
        <f t="shared" si="482"/>
        <v>4.8675505653430484E-3</v>
      </c>
      <c r="AW1240" s="59">
        <f t="shared" si="483"/>
        <v>1.004867550565343</v>
      </c>
      <c r="AX1240" s="60">
        <f>PRODUCT(AW$4:AW1240)</f>
        <v>406.08125665189959</v>
      </c>
    </row>
    <row r="1241" spans="45:50">
      <c r="AS1241" s="55">
        <f t="shared" si="481"/>
        <v>104</v>
      </c>
      <c r="AT1241" s="56">
        <f t="shared" si="484"/>
        <v>1238</v>
      </c>
      <c r="AU1241" s="57">
        <f t="shared" si="485"/>
        <v>2.3797939682809501E-3</v>
      </c>
      <c r="AV1241" s="58">
        <f t="shared" si="482"/>
        <v>4.8675505653430484E-3</v>
      </c>
      <c r="AW1241" s="59">
        <f t="shared" si="483"/>
        <v>1.004867550565343</v>
      </c>
      <c r="AX1241" s="60">
        <f>PRODUCT(AW$4:AW1241)</f>
        <v>408.05787770229074</v>
      </c>
    </row>
    <row r="1242" spans="45:50">
      <c r="AS1242" s="55">
        <f t="shared" si="481"/>
        <v>104</v>
      </c>
      <c r="AT1242" s="56">
        <f t="shared" si="484"/>
        <v>1239</v>
      </c>
      <c r="AU1242" s="57">
        <f t="shared" si="485"/>
        <v>2.3682102008052443E-3</v>
      </c>
      <c r="AV1242" s="58">
        <f t="shared" si="482"/>
        <v>4.8675505653430484E-3</v>
      </c>
      <c r="AW1242" s="59">
        <f t="shared" si="483"/>
        <v>1.004867550565343</v>
      </c>
      <c r="AX1242" s="60">
        <f>PRODUCT(AW$4:AW1242)</f>
        <v>410.04412005559323</v>
      </c>
    </row>
    <row r="1243" spans="45:50">
      <c r="AS1243" s="55">
        <f t="shared" si="481"/>
        <v>104</v>
      </c>
      <c r="AT1243" s="56">
        <f t="shared" si="484"/>
        <v>1240</v>
      </c>
      <c r="AU1243" s="57">
        <f t="shared" si="485"/>
        <v>2.3566828179034634E-3</v>
      </c>
      <c r="AV1243" s="58">
        <f t="shared" si="482"/>
        <v>4.8675505653430484E-3</v>
      </c>
      <c r="AW1243" s="59">
        <f t="shared" si="483"/>
        <v>1.004867550565343</v>
      </c>
      <c r="AX1243" s="60">
        <f>PRODUCT(AW$4:AW1243)</f>
        <v>412.04003054398544</v>
      </c>
    </row>
    <row r="1244" spans="45:50">
      <c r="AS1244" s="55">
        <f t="shared" si="481"/>
        <v>104</v>
      </c>
      <c r="AT1244" s="56">
        <f t="shared" si="484"/>
        <v>1241</v>
      </c>
      <c r="AU1244" s="57">
        <f t="shared" si="485"/>
        <v>2.3452115451208433E-3</v>
      </c>
      <c r="AV1244" s="58">
        <f t="shared" si="482"/>
        <v>4.8675505653430484E-3</v>
      </c>
      <c r="AW1244" s="59">
        <f t="shared" si="483"/>
        <v>1.004867550565343</v>
      </c>
      <c r="AX1244" s="60">
        <f>PRODUCT(AW$4:AW1244)</f>
        <v>414.04565622760379</v>
      </c>
    </row>
    <row r="1245" spans="45:50">
      <c r="AS1245" s="55">
        <f t="shared" si="481"/>
        <v>104</v>
      </c>
      <c r="AT1245" s="56">
        <f t="shared" si="484"/>
        <v>1242</v>
      </c>
      <c r="AU1245" s="57">
        <f t="shared" si="485"/>
        <v>2.3337961093385412E-3</v>
      </c>
      <c r="AV1245" s="58">
        <f t="shared" si="482"/>
        <v>4.8675505653430484E-3</v>
      </c>
      <c r="AW1245" s="59">
        <f t="shared" si="483"/>
        <v>1.004867550565343</v>
      </c>
      <c r="AX1245" s="60">
        <f>PRODUCT(AW$4:AW1245)</f>
        <v>416.06104439565229</v>
      </c>
    </row>
    <row r="1246" spans="45:50">
      <c r="AS1246" s="55">
        <f t="shared" si="481"/>
        <v>104</v>
      </c>
      <c r="AT1246" s="56">
        <f t="shared" si="484"/>
        <v>1243</v>
      </c>
      <c r="AU1246" s="57">
        <f t="shared" si="485"/>
        <v>2.3224362387671352E-3</v>
      </c>
      <c r="AV1246" s="58">
        <f t="shared" si="482"/>
        <v>4.8675505653430484E-3</v>
      </c>
      <c r="AW1246" s="59">
        <f t="shared" si="483"/>
        <v>1.004867550565343</v>
      </c>
      <c r="AX1246" s="60">
        <f>PRODUCT(AW$4:AW1246)</f>
        <v>418.08624256751756</v>
      </c>
    </row>
    <row r="1247" spans="45:50">
      <c r="AS1247" s="55">
        <f t="shared" si="481"/>
        <v>104</v>
      </c>
      <c r="AT1247" s="56">
        <f t="shared" si="484"/>
        <v>1244</v>
      </c>
      <c r="AU1247" s="57">
        <f t="shared" si="485"/>
        <v>2.3111316629401508E-3</v>
      </c>
      <c r="AV1247" s="58">
        <f t="shared" si="482"/>
        <v>4.8675505653430484E-3</v>
      </c>
      <c r="AW1247" s="59">
        <f t="shared" si="483"/>
        <v>1.004867550565343</v>
      </c>
      <c r="AX1247" s="60">
        <f>PRODUCT(AW$4:AW1247)</f>
        <v>420.12129849388924</v>
      </c>
    </row>
    <row r="1248" spans="45:50">
      <c r="AS1248" s="55">
        <f t="shared" si="481"/>
        <v>104</v>
      </c>
      <c r="AT1248" s="56">
        <f t="shared" si="484"/>
        <v>1245</v>
      </c>
      <c r="AU1248" s="57">
        <f t="shared" si="485"/>
        <v>2.2998821127076241E-3</v>
      </c>
      <c r="AV1248" s="58">
        <f t="shared" si="482"/>
        <v>4.8675505653430484E-3</v>
      </c>
      <c r="AW1248" s="59">
        <f t="shared" si="483"/>
        <v>1.004867550565343</v>
      </c>
      <c r="AX1248" s="60">
        <f>PRODUCT(AW$4:AW1248)</f>
        <v>422.1662601578858</v>
      </c>
    </row>
    <row r="1249" spans="45:50">
      <c r="AS1249" s="55">
        <f t="shared" si="481"/>
        <v>104</v>
      </c>
      <c r="AT1249" s="56">
        <f t="shared" si="484"/>
        <v>1246</v>
      </c>
      <c r="AU1249" s="57">
        <f t="shared" si="485"/>
        <v>2.2886873202296919E-3</v>
      </c>
      <c r="AV1249" s="58">
        <f t="shared" si="482"/>
        <v>4.8675505653430484E-3</v>
      </c>
      <c r="AW1249" s="59">
        <f t="shared" si="483"/>
        <v>1.004867550565343</v>
      </c>
      <c r="AX1249" s="60">
        <f>PRODUCT(AW$4:AW1249)</f>
        <v>424.2211757761861</v>
      </c>
    </row>
    <row r="1250" spans="45:50">
      <c r="AS1250" s="55">
        <f t="shared" si="481"/>
        <v>104</v>
      </c>
      <c r="AT1250" s="56">
        <f t="shared" si="484"/>
        <v>1247</v>
      </c>
      <c r="AU1250" s="57">
        <f t="shared" si="485"/>
        <v>2.2775470189702143E-3</v>
      </c>
      <c r="AV1250" s="58">
        <f t="shared" si="482"/>
        <v>4.8675505653430484E-3</v>
      </c>
      <c r="AW1250" s="59">
        <f t="shared" si="483"/>
        <v>1.004867550565343</v>
      </c>
      <c r="AX1250" s="60">
        <f>PRODUCT(AW$4:AW1250)</f>
        <v>426.28609380016599</v>
      </c>
    </row>
    <row r="1251" spans="45:50">
      <c r="AS1251" s="55">
        <f t="shared" si="481"/>
        <v>104</v>
      </c>
      <c r="AT1251" s="56">
        <f t="shared" si="484"/>
        <v>1248</v>
      </c>
      <c r="AU1251" s="57">
        <f t="shared" si="485"/>
        <v>2.2664609436904306E-3</v>
      </c>
      <c r="AV1251" s="58">
        <f t="shared" si="482"/>
        <v>4.8675505653430484E-3</v>
      </c>
      <c r="AW1251" s="59">
        <f t="shared" si="483"/>
        <v>1.004867550565343</v>
      </c>
      <c r="AX1251" s="60">
        <f>PRODUCT(AW$4:AW1251)</f>
        <v>428.36106291704084</v>
      </c>
    </row>
    <row r="1252" spans="45:50">
      <c r="AS1252" s="55">
        <f t="shared" si="481"/>
        <v>105</v>
      </c>
      <c r="AT1252" s="56">
        <f t="shared" si="484"/>
        <v>1249</v>
      </c>
      <c r="AU1252" s="57">
        <f t="shared" si="485"/>
        <v>2.2554288304426425E-3</v>
      </c>
      <c r="AV1252" s="58">
        <f t="shared" si="482"/>
        <v>4.8675505653430484E-3</v>
      </c>
      <c r="AW1252" s="59">
        <f t="shared" si="483"/>
        <v>1.004867550565343</v>
      </c>
      <c r="AX1252" s="60">
        <f>PRODUCT(AW$4:AW1252)</f>
        <v>430.44613205101365</v>
      </c>
    </row>
    <row r="1253" spans="45:50">
      <c r="AS1253" s="55">
        <f t="shared" si="481"/>
        <v>105</v>
      </c>
      <c r="AT1253" s="56">
        <f t="shared" si="484"/>
        <v>1250</v>
      </c>
      <c r="AU1253" s="57">
        <f t="shared" si="485"/>
        <v>2.2444504165639303E-3</v>
      </c>
      <c r="AV1253" s="58">
        <f t="shared" si="482"/>
        <v>4.8675505653430484E-3</v>
      </c>
      <c r="AW1253" s="59">
        <f t="shared" si="483"/>
        <v>1.004867550565343</v>
      </c>
      <c r="AX1253" s="60">
        <f>PRODUCT(AW$4:AW1253)</f>
        <v>432.5413503644283</v>
      </c>
    </row>
    <row r="1254" spans="45:50">
      <c r="AS1254" s="55">
        <f t="shared" si="481"/>
        <v>105</v>
      </c>
      <c r="AT1254" s="56">
        <f t="shared" si="484"/>
        <v>1251</v>
      </c>
      <c r="AU1254" s="57">
        <f t="shared" si="485"/>
        <v>2.2335254406699E-3</v>
      </c>
      <c r="AV1254" s="58">
        <f t="shared" si="482"/>
        <v>4.8675505653430484E-3</v>
      </c>
      <c r="AW1254" s="59">
        <f t="shared" si="483"/>
        <v>1.004867550565343</v>
      </c>
      <c r="AX1254" s="60">
        <f>PRODUCT(AW$4:AW1254)</f>
        <v>434.64676725892889</v>
      </c>
    </row>
    <row r="1255" spans="45:50">
      <c r="AS1255" s="55">
        <f t="shared" si="481"/>
        <v>105</v>
      </c>
      <c r="AT1255" s="56">
        <f t="shared" si="484"/>
        <v>1252</v>
      </c>
      <c r="AU1255" s="57">
        <f t="shared" si="485"/>
        <v>2.222653642648459E-3</v>
      </c>
      <c r="AV1255" s="58">
        <f t="shared" si="482"/>
        <v>4.8675505653430484E-3</v>
      </c>
      <c r="AW1255" s="59">
        <f t="shared" si="483"/>
        <v>1.004867550565343</v>
      </c>
      <c r="AX1255" s="60">
        <f>PRODUCT(AW$4:AW1255)</f>
        <v>436.76243237662464</v>
      </c>
    </row>
    <row r="1256" spans="45:50">
      <c r="AS1256" s="55">
        <f t="shared" si="481"/>
        <v>105</v>
      </c>
      <c r="AT1256" s="56">
        <f t="shared" si="484"/>
        <v>1253</v>
      </c>
      <c r="AU1256" s="57">
        <f t="shared" si="485"/>
        <v>2.2118347636536236E-3</v>
      </c>
      <c r="AV1256" s="58">
        <f t="shared" si="482"/>
        <v>4.8675505653430484E-3</v>
      </c>
      <c r="AW1256" s="59">
        <f t="shared" si="483"/>
        <v>1.004867550565343</v>
      </c>
      <c r="AX1256" s="60">
        <f>PRODUCT(AW$4:AW1256)</f>
        <v>438.88839560126007</v>
      </c>
    </row>
    <row r="1257" spans="45:50">
      <c r="AS1257" s="55">
        <f t="shared" si="481"/>
        <v>105</v>
      </c>
      <c r="AT1257" s="56">
        <f t="shared" si="484"/>
        <v>1254</v>
      </c>
      <c r="AU1257" s="57">
        <f t="shared" si="485"/>
        <v>2.2010685460993559E-3</v>
      </c>
      <c r="AV1257" s="58">
        <f t="shared" si="482"/>
        <v>4.8675505653430484E-3</v>
      </c>
      <c r="AW1257" s="59">
        <f t="shared" si="483"/>
        <v>1.004867550565343</v>
      </c>
      <c r="AX1257" s="60">
        <f>PRODUCT(AW$4:AW1257)</f>
        <v>441.02470705939152</v>
      </c>
    </row>
    <row r="1258" spans="45:50">
      <c r="AS1258" s="55">
        <f t="shared" si="481"/>
        <v>105</v>
      </c>
      <c r="AT1258" s="56">
        <f t="shared" si="484"/>
        <v>1255</v>
      </c>
      <c r="AU1258" s="57">
        <f t="shared" si="485"/>
        <v>2.1903547336534312E-3</v>
      </c>
      <c r="AV1258" s="58">
        <f t="shared" si="482"/>
        <v>4.8675505653430484E-3</v>
      </c>
      <c r="AW1258" s="59">
        <f t="shared" si="483"/>
        <v>1.004867550565343</v>
      </c>
      <c r="AX1258" s="60">
        <f>PRODUCT(AW$4:AW1258)</f>
        <v>443.17141712156871</v>
      </c>
    </row>
    <row r="1259" spans="45:50">
      <c r="AS1259" s="55">
        <f t="shared" si="481"/>
        <v>105</v>
      </c>
      <c r="AT1259" s="56">
        <f t="shared" si="484"/>
        <v>1256</v>
      </c>
      <c r="AU1259" s="57">
        <f t="shared" si="485"/>
        <v>2.1796930712313345E-3</v>
      </c>
      <c r="AV1259" s="58">
        <f t="shared" si="482"/>
        <v>4.8675505653430484E-3</v>
      </c>
      <c r="AW1259" s="59">
        <f t="shared" si="483"/>
        <v>1.004867550565343</v>
      </c>
      <c r="AX1259" s="60">
        <f>PRODUCT(AW$4:AW1259)</f>
        <v>445.32857640352267</v>
      </c>
    </row>
    <row r="1260" spans="45:50">
      <c r="AS1260" s="55">
        <f t="shared" si="481"/>
        <v>105</v>
      </c>
      <c r="AT1260" s="56">
        <f t="shared" si="484"/>
        <v>1257</v>
      </c>
      <c r="AU1260" s="57">
        <f t="shared" si="485"/>
        <v>2.1690833049901881E-3</v>
      </c>
      <c r="AV1260" s="58">
        <f t="shared" si="482"/>
        <v>4.8675505653430484E-3</v>
      </c>
      <c r="AW1260" s="59">
        <f t="shared" si="483"/>
        <v>1.004867550565343</v>
      </c>
      <c r="AX1260" s="60">
        <f>PRODUCT(AW$4:AW1260)</f>
        <v>447.49623576735905</v>
      </c>
    </row>
    <row r="1261" spans="45:50">
      <c r="AS1261" s="55">
        <f t="shared" si="481"/>
        <v>105</v>
      </c>
      <c r="AT1261" s="56">
        <f t="shared" si="484"/>
        <v>1258</v>
      </c>
      <c r="AU1261" s="57">
        <f t="shared" si="485"/>
        <v>2.158525182322707E-3</v>
      </c>
      <c r="AV1261" s="58">
        <f t="shared" si="482"/>
        <v>4.8675505653430484E-3</v>
      </c>
      <c r="AW1261" s="59">
        <f t="shared" si="483"/>
        <v>1.004867550565343</v>
      </c>
      <c r="AX1261" s="60">
        <f>PRODUCT(AW$4:AW1261)</f>
        <v>449.67444632275738</v>
      </c>
    </row>
    <row r="1262" spans="45:50">
      <c r="AS1262" s="55">
        <f t="shared" si="481"/>
        <v>105</v>
      </c>
      <c r="AT1262" s="56">
        <f t="shared" si="484"/>
        <v>1259</v>
      </c>
      <c r="AU1262" s="57">
        <f t="shared" si="485"/>
        <v>2.1480184518511847E-3</v>
      </c>
      <c r="AV1262" s="58">
        <f t="shared" si="482"/>
        <v>4.8675505653430484E-3</v>
      </c>
      <c r="AW1262" s="59">
        <f t="shared" si="483"/>
        <v>1.004867550565343</v>
      </c>
      <c r="AX1262" s="60">
        <f>PRODUCT(AW$4:AW1262)</f>
        <v>451.86325942817604</v>
      </c>
    </row>
    <row r="1263" spans="45:50">
      <c r="AS1263" s="55">
        <f t="shared" si="481"/>
        <v>105</v>
      </c>
      <c r="AT1263" s="56">
        <f t="shared" si="484"/>
        <v>1260</v>
      </c>
      <c r="AU1263" s="57">
        <f t="shared" si="485"/>
        <v>2.1375628634215092E-3</v>
      </c>
      <c r="AV1263" s="58">
        <f t="shared" si="482"/>
        <v>4.8675505653430484E-3</v>
      </c>
      <c r="AW1263" s="59">
        <f t="shared" si="483"/>
        <v>1.004867550565343</v>
      </c>
      <c r="AX1263" s="60">
        <f>PRODUCT(AW$4:AW1263)</f>
        <v>454.06272669206339</v>
      </c>
    </row>
    <row r="1264" spans="45:50">
      <c r="AS1264" s="55">
        <f t="shared" si="481"/>
        <v>106</v>
      </c>
      <c r="AT1264" s="56">
        <f t="shared" si="484"/>
        <v>1261</v>
      </c>
      <c r="AU1264" s="57">
        <f t="shared" si="485"/>
        <v>2.1271581680972055E-3</v>
      </c>
      <c r="AV1264" s="58">
        <f t="shared" si="482"/>
        <v>4.8675505653430484E-3</v>
      </c>
      <c r="AW1264" s="59">
        <f t="shared" si="483"/>
        <v>1.004867550565343</v>
      </c>
      <c r="AX1264" s="60">
        <f>PRODUCT(AW$4:AW1264)</f>
        <v>456.27289997407456</v>
      </c>
    </row>
    <row r="1265" spans="45:50">
      <c r="AS1265" s="55">
        <f t="shared" si="481"/>
        <v>106</v>
      </c>
      <c r="AT1265" s="56">
        <f t="shared" si="484"/>
        <v>1262</v>
      </c>
      <c r="AU1265" s="57">
        <f t="shared" si="485"/>
        <v>2.1168041181535099E-3</v>
      </c>
      <c r="AV1265" s="58">
        <f t="shared" si="482"/>
        <v>4.8675505653430484E-3</v>
      </c>
      <c r="AW1265" s="59">
        <f t="shared" si="483"/>
        <v>1.004867550565343</v>
      </c>
      <c r="AX1265" s="60">
        <f>PRODUCT(AW$4:AW1265)</f>
        <v>458.49383138629406</v>
      </c>
    </row>
    <row r="1266" spans="45:50">
      <c r="AS1266" s="55">
        <f t="shared" si="481"/>
        <v>106</v>
      </c>
      <c r="AT1266" s="56">
        <f t="shared" si="484"/>
        <v>1263</v>
      </c>
      <c r="AU1266" s="57">
        <f t="shared" si="485"/>
        <v>2.1065004670714712E-3</v>
      </c>
      <c r="AV1266" s="58">
        <f t="shared" si="482"/>
        <v>4.8675505653430484E-3</v>
      </c>
      <c r="AW1266" s="59">
        <f t="shared" si="483"/>
        <v>1.004867550565343</v>
      </c>
      <c r="AX1266" s="60">
        <f>PRODUCT(AW$4:AW1266)</f>
        <v>460.72557329446471</v>
      </c>
    </row>
    <row r="1267" spans="45:50">
      <c r="AS1267" s="55">
        <f t="shared" si="481"/>
        <v>106</v>
      </c>
      <c r="AT1267" s="56">
        <f t="shared" si="484"/>
        <v>1264</v>
      </c>
      <c r="AU1267" s="57">
        <f t="shared" si="485"/>
        <v>2.0962469695320822E-3</v>
      </c>
      <c r="AV1267" s="58">
        <f t="shared" si="482"/>
        <v>4.8675505653430484E-3</v>
      </c>
      <c r="AW1267" s="59">
        <f t="shared" si="483"/>
        <v>1.004867550565343</v>
      </c>
      <c r="AX1267" s="60">
        <f>PRODUCT(AW$4:AW1267)</f>
        <v>462.9681783192222</v>
      </c>
    </row>
    <row r="1268" spans="45:50">
      <c r="AS1268" s="55">
        <f t="shared" si="481"/>
        <v>106</v>
      </c>
      <c r="AT1268" s="56">
        <f t="shared" si="484"/>
        <v>1265</v>
      </c>
      <c r="AU1268" s="57">
        <f t="shared" si="485"/>
        <v>2.0860433814104376E-3</v>
      </c>
      <c r="AV1268" s="58">
        <f t="shared" si="482"/>
        <v>4.8675505653430484E-3</v>
      </c>
      <c r="AW1268" s="59">
        <f t="shared" si="483"/>
        <v>1.004867550565343</v>
      </c>
      <c r="AX1268" s="60">
        <f>PRODUCT(AW$4:AW1268)</f>
        <v>465.22169933733579</v>
      </c>
    </row>
    <row r="1269" spans="45:50">
      <c r="AS1269" s="55">
        <f t="shared" si="481"/>
        <v>106</v>
      </c>
      <c r="AT1269" s="56">
        <f t="shared" si="484"/>
        <v>1266</v>
      </c>
      <c r="AU1269" s="57">
        <f t="shared" si="485"/>
        <v>2.0758894597699231E-3</v>
      </c>
      <c r="AV1269" s="58">
        <f t="shared" si="482"/>
        <v>4.8675505653430484E-3</v>
      </c>
      <c r="AW1269" s="59">
        <f t="shared" si="483"/>
        <v>1.004867550565343</v>
      </c>
      <c r="AX1269" s="60">
        <f>PRODUCT(AW$4:AW1269)</f>
        <v>467.48618948295507</v>
      </c>
    </row>
    <row r="1270" spans="45:50">
      <c r="AS1270" s="55">
        <f t="shared" si="481"/>
        <v>106</v>
      </c>
      <c r="AT1270" s="56">
        <f t="shared" si="484"/>
        <v>1267</v>
      </c>
      <c r="AU1270" s="57">
        <f t="shared" si="485"/>
        <v>2.0657849628564302E-3</v>
      </c>
      <c r="AV1270" s="58">
        <f t="shared" si="482"/>
        <v>4.8675505653430484E-3</v>
      </c>
      <c r="AW1270" s="59">
        <f t="shared" si="483"/>
        <v>1.004867550565343</v>
      </c>
      <c r="AX1270" s="60">
        <f>PRODUCT(AW$4:AW1270)</f>
        <v>469.76170214886287</v>
      </c>
    </row>
    <row r="1271" spans="45:50">
      <c r="AS1271" s="55">
        <f t="shared" si="481"/>
        <v>106</v>
      </c>
      <c r="AT1271" s="56">
        <f t="shared" si="484"/>
        <v>1268</v>
      </c>
      <c r="AU1271" s="57">
        <f t="shared" si="485"/>
        <v>2.0557296500926013E-3</v>
      </c>
      <c r="AV1271" s="58">
        <f t="shared" si="482"/>
        <v>4.8675505653430484E-3</v>
      </c>
      <c r="AW1271" s="59">
        <f t="shared" si="483"/>
        <v>1.004867550565343</v>
      </c>
      <c r="AX1271" s="60">
        <f>PRODUCT(AW$4:AW1271)</f>
        <v>472.04829098773405</v>
      </c>
    </row>
    <row r="1272" spans="45:50">
      <c r="AS1272" s="55">
        <f t="shared" si="481"/>
        <v>106</v>
      </c>
      <c r="AT1272" s="56">
        <f t="shared" si="484"/>
        <v>1269</v>
      </c>
      <c r="AU1272" s="57">
        <f t="shared" si="485"/>
        <v>2.0457232820721006E-3</v>
      </c>
      <c r="AV1272" s="58">
        <f t="shared" si="482"/>
        <v>4.8675505653430484E-3</v>
      </c>
      <c r="AW1272" s="59">
        <f t="shared" si="483"/>
        <v>1.004867550565343</v>
      </c>
      <c r="AX1272" s="60">
        <f>PRODUCT(AW$4:AW1272)</f>
        <v>474.34600991340062</v>
      </c>
    </row>
    <row r="1273" spans="45:50">
      <c r="AS1273" s="55">
        <f t="shared" si="481"/>
        <v>106</v>
      </c>
      <c r="AT1273" s="56">
        <f t="shared" si="484"/>
        <v>1270</v>
      </c>
      <c r="AU1273" s="57">
        <f t="shared" si="485"/>
        <v>2.0357656205539153E-3</v>
      </c>
      <c r="AV1273" s="58">
        <f t="shared" si="482"/>
        <v>4.8675505653430484E-3</v>
      </c>
      <c r="AW1273" s="59">
        <f t="shared" si="483"/>
        <v>1.004867550565343</v>
      </c>
      <c r="AX1273" s="60">
        <f>PRODUCT(AW$4:AW1273)</f>
        <v>476.6549131021228</v>
      </c>
    </row>
    <row r="1274" spans="45:50">
      <c r="AS1274" s="55">
        <f t="shared" si="481"/>
        <v>106</v>
      </c>
      <c r="AT1274" s="56">
        <f t="shared" si="484"/>
        <v>1271</v>
      </c>
      <c r="AU1274" s="57">
        <f t="shared" si="485"/>
        <v>2.0258564284566819E-3</v>
      </c>
      <c r="AV1274" s="58">
        <f t="shared" si="482"/>
        <v>4.8675505653430484E-3</v>
      </c>
      <c r="AW1274" s="59">
        <f t="shared" si="483"/>
        <v>1.004867550565343</v>
      </c>
      <c r="AX1274" s="60">
        <f>PRODUCT(AW$4:AW1274)</f>
        <v>478.97505499386659</v>
      </c>
    </row>
    <row r="1275" spans="45:50">
      <c r="AS1275" s="55">
        <f t="shared" si="481"/>
        <v>106</v>
      </c>
      <c r="AT1275" s="56">
        <f t="shared" si="484"/>
        <v>1272</v>
      </c>
      <c r="AU1275" s="57">
        <f t="shared" si="485"/>
        <v>2.0159954698530437E-3</v>
      </c>
      <c r="AV1275" s="58">
        <f t="shared" si="482"/>
        <v>4.8675505653430484E-3</v>
      </c>
      <c r="AW1275" s="59">
        <f t="shared" si="483"/>
        <v>1.004867550565343</v>
      </c>
      <c r="AX1275" s="60">
        <f>PRODUCT(AW$4:AW1275)</f>
        <v>481.30649029358722</v>
      </c>
    </row>
    <row r="1276" spans="45:50">
      <c r="AS1276" s="55">
        <f t="shared" si="481"/>
        <v>107</v>
      </c>
      <c r="AT1276" s="56">
        <f t="shared" si="484"/>
        <v>1273</v>
      </c>
      <c r="AU1276" s="57">
        <f t="shared" si="485"/>
        <v>2.0061825099640315E-3</v>
      </c>
      <c r="AV1276" s="58">
        <f t="shared" si="482"/>
        <v>4.8675505653430484E-3</v>
      </c>
      <c r="AW1276" s="59">
        <f t="shared" si="483"/>
        <v>1.004867550565343</v>
      </c>
      <c r="AX1276" s="60">
        <f>PRODUCT(AW$4:AW1276)</f>
        <v>483.64927397251904</v>
      </c>
    </row>
    <row r="1277" spans="45:50">
      <c r="AS1277" s="55">
        <f t="shared" si="481"/>
        <v>107</v>
      </c>
      <c r="AT1277" s="56">
        <f t="shared" si="484"/>
        <v>1274</v>
      </c>
      <c r="AU1277" s="57">
        <f t="shared" si="485"/>
        <v>1.9964173151534748E-3</v>
      </c>
      <c r="AV1277" s="58">
        <f t="shared" si="482"/>
        <v>4.8675505653430484E-3</v>
      </c>
      <c r="AW1277" s="59">
        <f t="shared" si="483"/>
        <v>1.004867550565343</v>
      </c>
      <c r="AX1277" s="60">
        <f>PRODUCT(AW$4:AW1277)</f>
        <v>486.00346126947176</v>
      </c>
    </row>
    <row r="1278" spans="45:50">
      <c r="AS1278" s="55">
        <f t="shared" si="481"/>
        <v>107</v>
      </c>
      <c r="AT1278" s="56">
        <f t="shared" si="484"/>
        <v>1275</v>
      </c>
      <c r="AU1278" s="57">
        <f t="shared" si="485"/>
        <v>1.986699652922439E-3</v>
      </c>
      <c r="AV1278" s="58">
        <f t="shared" si="482"/>
        <v>4.8675505653430484E-3</v>
      </c>
      <c r="AW1278" s="59">
        <f t="shared" si="483"/>
        <v>1.004867550565343</v>
      </c>
      <c r="AX1278" s="60">
        <f>PRODUCT(AW$4:AW1278)</f>
        <v>488.36910769213267</v>
      </c>
    </row>
    <row r="1279" spans="45:50">
      <c r="AS1279" s="55">
        <f t="shared" si="481"/>
        <v>107</v>
      </c>
      <c r="AT1279" s="56">
        <f t="shared" si="484"/>
        <v>1276</v>
      </c>
      <c r="AU1279" s="57">
        <f t="shared" si="485"/>
        <v>1.9770292919036895E-3</v>
      </c>
      <c r="AV1279" s="58">
        <f t="shared" si="482"/>
        <v>4.8675505653430484E-3</v>
      </c>
      <c r="AW1279" s="59">
        <f t="shared" si="483"/>
        <v>1.004867550565343</v>
      </c>
      <c r="AX1279" s="60">
        <f>PRODUCT(AW$4:AW1279)</f>
        <v>490.74626901837559</v>
      </c>
    </row>
    <row r="1280" spans="45:50">
      <c r="AS1280" s="55">
        <f t="shared" si="481"/>
        <v>107</v>
      </c>
      <c r="AT1280" s="56">
        <f t="shared" si="484"/>
        <v>1277</v>
      </c>
      <c r="AU1280" s="57">
        <f t="shared" si="485"/>
        <v>1.9674060018561841E-3</v>
      </c>
      <c r="AV1280" s="58">
        <f t="shared" si="482"/>
        <v>4.8675505653430484E-3</v>
      </c>
      <c r="AW1280" s="59">
        <f t="shared" si="483"/>
        <v>1.004867550565343</v>
      </c>
      <c r="AX1280" s="60">
        <f>PRODUCT(AW$4:AW1280)</f>
        <v>493.13500129757597</v>
      </c>
    </row>
    <row r="1281" spans="45:50">
      <c r="AS1281" s="55">
        <f t="shared" si="481"/>
        <v>107</v>
      </c>
      <c r="AT1281" s="56">
        <f t="shared" si="484"/>
        <v>1278</v>
      </c>
      <c r="AU1281" s="57">
        <f t="shared" si="485"/>
        <v>1.9578295536595899E-3</v>
      </c>
      <c r="AV1281" s="58">
        <f t="shared" si="482"/>
        <v>4.8675505653430484E-3</v>
      </c>
      <c r="AW1281" s="59">
        <f t="shared" si="483"/>
        <v>1.004867550565343</v>
      </c>
      <c r="AX1281" s="60">
        <f>PRODUCT(AW$4:AW1281)</f>
        <v>495.53536085193241</v>
      </c>
    </row>
    <row r="1282" spans="45:50">
      <c r="AS1282" s="55">
        <f t="shared" si="481"/>
        <v>107</v>
      </c>
      <c r="AT1282" s="56">
        <f t="shared" si="484"/>
        <v>1279</v>
      </c>
      <c r="AU1282" s="57">
        <f t="shared" si="485"/>
        <v>1.9482997193088288E-3</v>
      </c>
      <c r="AV1282" s="58">
        <f t="shared" si="482"/>
        <v>4.8675505653430484E-3</v>
      </c>
      <c r="AW1282" s="59">
        <f t="shared" si="483"/>
        <v>1.004867550565343</v>
      </c>
      <c r="AX1282" s="60">
        <f>PRODUCT(AW$4:AW1282)</f>
        <v>497.9474042777947</v>
      </c>
    </row>
    <row r="1283" spans="45:50">
      <c r="AS1283" s="55">
        <f t="shared" si="481"/>
        <v>107</v>
      </c>
      <c r="AT1283" s="56">
        <f t="shared" si="484"/>
        <v>1280</v>
      </c>
      <c r="AU1283" s="57">
        <f t="shared" si="485"/>
        <v>1.9388162719086493E-3</v>
      </c>
      <c r="AV1283" s="58">
        <f t="shared" si="482"/>
        <v>4.8675505653430484E-3</v>
      </c>
      <c r="AW1283" s="59">
        <f t="shared" si="483"/>
        <v>1.004867550565343</v>
      </c>
      <c r="AX1283" s="60">
        <f>PRODUCT(AW$4:AW1283)</f>
        <v>500.37118844699819</v>
      </c>
    </row>
    <row r="1284" spans="45:50">
      <c r="AS1284" s="55">
        <f t="shared" si="481"/>
        <v>107</v>
      </c>
      <c r="AT1284" s="56">
        <f t="shared" si="484"/>
        <v>1281</v>
      </c>
      <c r="AU1284" s="57">
        <f t="shared" si="485"/>
        <v>1.9293789856682242E-3</v>
      </c>
      <c r="AV1284" s="58">
        <f t="shared" si="482"/>
        <v>4.8675505653430484E-3</v>
      </c>
      <c r="AW1284" s="59">
        <f t="shared" si="483"/>
        <v>1.004867550565343</v>
      </c>
      <c r="AX1284" s="60">
        <f>PRODUCT(AW$4:AW1284)</f>
        <v>502.80677050820475</v>
      </c>
    </row>
    <row r="1285" spans="45:50">
      <c r="AS1285" s="55">
        <f t="shared" ref="AS1285:AS1348" si="486">ROUNDDOWN((AT1285-1)/12,0)+1</f>
        <v>107</v>
      </c>
      <c r="AT1285" s="56">
        <f t="shared" si="484"/>
        <v>1282</v>
      </c>
      <c r="AU1285" s="57">
        <f t="shared" si="485"/>
        <v>1.9199876358957737E-3</v>
      </c>
      <c r="AV1285" s="58">
        <f t="shared" ref="AV1285:AV1348" si="487">((1+$AV$1)^(1/12))-1</f>
        <v>4.8675505653430484E-3</v>
      </c>
      <c r="AW1285" s="59">
        <f t="shared" ref="AW1285:AW1348" si="488">(1+AV1285)</f>
        <v>1.004867550565343</v>
      </c>
      <c r="AX1285" s="60">
        <f>PRODUCT(AW$4:AW1285)</f>
        <v>505.25420788825028</v>
      </c>
    </row>
    <row r="1286" spans="45:50">
      <c r="AS1286" s="55">
        <f t="shared" si="486"/>
        <v>107</v>
      </c>
      <c r="AT1286" s="56">
        <f t="shared" ref="AT1286:AT1349" si="489">AT1285+1</f>
        <v>1283</v>
      </c>
      <c r="AU1286" s="57">
        <f t="shared" si="485"/>
        <v>1.9106419989932176E-3</v>
      </c>
      <c r="AV1286" s="58">
        <f t="shared" si="487"/>
        <v>4.8675505653430484E-3</v>
      </c>
      <c r="AW1286" s="59">
        <f t="shared" si="488"/>
        <v>1.004867550565343</v>
      </c>
      <c r="AX1286" s="60">
        <f>PRODUCT(AW$4:AW1286)</f>
        <v>507.71355829349869</v>
      </c>
    </row>
    <row r="1287" spans="45:50">
      <c r="AS1287" s="55">
        <f t="shared" si="486"/>
        <v>107</v>
      </c>
      <c r="AT1287" s="56">
        <f t="shared" si="489"/>
        <v>1284</v>
      </c>
      <c r="AU1287" s="57">
        <f t="shared" si="485"/>
        <v>1.9013418524508499E-3</v>
      </c>
      <c r="AV1287" s="58">
        <f t="shared" si="487"/>
        <v>4.8675505653430484E-3</v>
      </c>
      <c r="AW1287" s="59">
        <f t="shared" si="488"/>
        <v>1.004867550565343</v>
      </c>
      <c r="AX1287" s="60">
        <f>PRODUCT(AW$4:AW1287)</f>
        <v>510.18487971120254</v>
      </c>
    </row>
    <row r="1288" spans="45:50">
      <c r="AS1288" s="55">
        <f t="shared" si="486"/>
        <v>108</v>
      </c>
      <c r="AT1288" s="56">
        <f t="shared" si="489"/>
        <v>1285</v>
      </c>
      <c r="AU1288" s="57">
        <f t="shared" si="485"/>
        <v>1.8920869748420424E-3</v>
      </c>
      <c r="AV1288" s="58">
        <f t="shared" si="487"/>
        <v>4.8675505653430484E-3</v>
      </c>
      <c r="AW1288" s="59">
        <f t="shared" si="488"/>
        <v>1.004867550565343</v>
      </c>
      <c r="AX1288" s="60">
        <f>PRODUCT(AW$4:AW1288)</f>
        <v>512.66823041087025</v>
      </c>
    </row>
    <row r="1289" spans="45:50">
      <c r="AS1289" s="55">
        <f t="shared" si="486"/>
        <v>108</v>
      </c>
      <c r="AT1289" s="56">
        <f t="shared" si="489"/>
        <v>1286</v>
      </c>
      <c r="AU1289" s="57">
        <f t="shared" si="485"/>
        <v>1.8828771458179719E-3</v>
      </c>
      <c r="AV1289" s="58">
        <f t="shared" si="487"/>
        <v>4.8675505653430484E-3</v>
      </c>
      <c r="AW1289" s="59">
        <f t="shared" si="488"/>
        <v>1.004867550565343</v>
      </c>
      <c r="AX1289" s="60">
        <f>PRODUCT(AW$4:AW1289)</f>
        <v>515.1636689456401</v>
      </c>
    </row>
    <row r="1290" spans="45:50">
      <c r="AS1290" s="55">
        <f t="shared" si="486"/>
        <v>108</v>
      </c>
      <c r="AT1290" s="56">
        <f t="shared" si="489"/>
        <v>1287</v>
      </c>
      <c r="AU1290" s="57">
        <f t="shared" si="485"/>
        <v>1.8737121461023742E-3</v>
      </c>
      <c r="AV1290" s="58">
        <f t="shared" si="487"/>
        <v>4.8675505653430484E-3</v>
      </c>
      <c r="AW1290" s="59">
        <f t="shared" si="488"/>
        <v>1.004867550565343</v>
      </c>
      <c r="AX1290" s="60">
        <f>PRODUCT(AW$4:AW1290)</f>
        <v>517.6712541536607</v>
      </c>
    </row>
    <row r="1291" spans="45:50">
      <c r="AS1291" s="55">
        <f t="shared" si="486"/>
        <v>108</v>
      </c>
      <c r="AT1291" s="56">
        <f t="shared" si="489"/>
        <v>1288</v>
      </c>
      <c r="AU1291" s="57">
        <f t="shared" si="485"/>
        <v>1.8645917574863233E-3</v>
      </c>
      <c r="AV1291" s="58">
        <f t="shared" si="487"/>
        <v>4.8675505653430484E-3</v>
      </c>
      <c r="AW1291" s="59">
        <f t="shared" si="488"/>
        <v>1.004867550565343</v>
      </c>
      <c r="AX1291" s="60">
        <f>PRODUCT(AW$4:AW1291)</f>
        <v>520.19104515947822</v>
      </c>
    </row>
    <row r="1292" spans="45:50">
      <c r="AS1292" s="55">
        <f t="shared" si="486"/>
        <v>108</v>
      </c>
      <c r="AT1292" s="56">
        <f t="shared" si="489"/>
        <v>1289</v>
      </c>
      <c r="AU1292" s="57">
        <f t="shared" si="485"/>
        <v>1.8555157628230368E-3</v>
      </c>
      <c r="AV1292" s="58">
        <f t="shared" si="487"/>
        <v>4.8675505653430484E-3</v>
      </c>
      <c r="AW1292" s="59">
        <f t="shared" si="488"/>
        <v>1.004867550565343</v>
      </c>
      <c r="AX1292" s="60">
        <f>PRODUCT(AW$4:AW1292)</f>
        <v>522.72310137543059</v>
      </c>
    </row>
    <row r="1293" spans="45:50">
      <c r="AS1293" s="55">
        <f t="shared" si="486"/>
        <v>108</v>
      </c>
      <c r="AT1293" s="56">
        <f t="shared" si="489"/>
        <v>1290</v>
      </c>
      <c r="AU1293" s="57">
        <f t="shared" si="485"/>
        <v>1.8464839460227045E-3</v>
      </c>
      <c r="AV1293" s="58">
        <f t="shared" si="487"/>
        <v>4.8675505653430484E-3</v>
      </c>
      <c r="AW1293" s="59">
        <f t="shared" si="488"/>
        <v>1.004867550565343</v>
      </c>
      <c r="AX1293" s="60">
        <f>PRODUCT(AW$4:AW1293)</f>
        <v>525.26748250304843</v>
      </c>
    </row>
    <row r="1294" spans="45:50">
      <c r="AS1294" s="55">
        <f t="shared" si="486"/>
        <v>108</v>
      </c>
      <c r="AT1294" s="56">
        <f t="shared" si="489"/>
        <v>1291</v>
      </c>
      <c r="AU1294" s="57">
        <f t="shared" si="485"/>
        <v>1.8374960920473449E-3</v>
      </c>
      <c r="AV1294" s="58">
        <f t="shared" si="487"/>
        <v>4.8675505653430484E-3</v>
      </c>
      <c r="AW1294" s="59">
        <f t="shared" si="488"/>
        <v>1.004867550565343</v>
      </c>
      <c r="AX1294" s="60">
        <f>PRODUCT(AW$4:AW1294)</f>
        <v>527.82424853446241</v>
      </c>
    </row>
    <row r="1295" spans="45:50">
      <c r="AS1295" s="55">
        <f t="shared" si="486"/>
        <v>108</v>
      </c>
      <c r="AT1295" s="56">
        <f t="shared" si="489"/>
        <v>1292</v>
      </c>
      <c r="AU1295" s="57">
        <f t="shared" si="485"/>
        <v>1.8285519869056842E-3</v>
      </c>
      <c r="AV1295" s="58">
        <f t="shared" si="487"/>
        <v>4.8675505653430484E-3</v>
      </c>
      <c r="AW1295" s="59">
        <f t="shared" si="488"/>
        <v>1.004867550565343</v>
      </c>
      <c r="AX1295" s="60">
        <f>PRODUCT(AW$4:AW1295)</f>
        <v>530.39345975381809</v>
      </c>
    </row>
    <row r="1296" spans="45:50">
      <c r="AS1296" s="55">
        <f t="shared" si="486"/>
        <v>108</v>
      </c>
      <c r="AT1296" s="56">
        <f t="shared" si="489"/>
        <v>1293</v>
      </c>
      <c r="AU1296" s="57">
        <f t="shared" si="485"/>
        <v>1.8196514176480622E-3</v>
      </c>
      <c r="AV1296" s="58">
        <f t="shared" si="487"/>
        <v>4.8675505653430484E-3</v>
      </c>
      <c r="AW1296" s="59">
        <f t="shared" si="488"/>
        <v>1.004867550565343</v>
      </c>
      <c r="AX1296" s="60">
        <f>PRODUCT(AW$4:AW1296)</f>
        <v>532.97517673869709</v>
      </c>
    </row>
    <row r="1297" spans="45:50">
      <c r="AS1297" s="55">
        <f t="shared" si="486"/>
        <v>108</v>
      </c>
      <c r="AT1297" s="56">
        <f t="shared" si="489"/>
        <v>1294</v>
      </c>
      <c r="AU1297" s="57">
        <f t="shared" si="485"/>
        <v>1.8107941723613621E-3</v>
      </c>
      <c r="AV1297" s="58">
        <f t="shared" si="487"/>
        <v>4.8675505653430484E-3</v>
      </c>
      <c r="AW1297" s="59">
        <f t="shared" si="488"/>
        <v>1.004867550565343</v>
      </c>
      <c r="AX1297" s="60">
        <f>PRODUCT(AW$4:AW1297)</f>
        <v>535.56946036154534</v>
      </c>
    </row>
    <row r="1298" spans="45:50">
      <c r="AS1298" s="55">
        <f t="shared" si="486"/>
        <v>108</v>
      </c>
      <c r="AT1298" s="56">
        <f t="shared" si="489"/>
        <v>1295</v>
      </c>
      <c r="AU1298" s="57">
        <f t="shared" si="485"/>
        <v>1.8019800401639647E-3</v>
      </c>
      <c r="AV1298" s="58">
        <f t="shared" si="487"/>
        <v>4.8675505653430484E-3</v>
      </c>
      <c r="AW1298" s="59">
        <f t="shared" si="488"/>
        <v>1.004867550565343</v>
      </c>
      <c r="AX1298" s="60">
        <f>PRODUCT(AW$4:AW1298)</f>
        <v>538.17637179110864</v>
      </c>
    </row>
    <row r="1299" spans="45:50">
      <c r="AS1299" s="55">
        <f t="shared" si="486"/>
        <v>108</v>
      </c>
      <c r="AT1299" s="56">
        <f t="shared" si="489"/>
        <v>1296</v>
      </c>
      <c r="AU1299" s="57">
        <f t="shared" si="485"/>
        <v>1.7932088112007278E-3</v>
      </c>
      <c r="AV1299" s="58">
        <f t="shared" si="487"/>
        <v>4.8675505653430484E-3</v>
      </c>
      <c r="AW1299" s="59">
        <f t="shared" si="488"/>
        <v>1.004867550565343</v>
      </c>
      <c r="AX1299" s="60">
        <f>PRODUCT(AW$4:AW1299)</f>
        <v>540.79597249387473</v>
      </c>
    </row>
    <row r="1300" spans="45:50">
      <c r="AS1300" s="55">
        <f t="shared" si="486"/>
        <v>109</v>
      </c>
      <c r="AT1300" s="56">
        <f t="shared" si="489"/>
        <v>1297</v>
      </c>
      <c r="AU1300" s="57">
        <f t="shared" si="485"/>
        <v>1.7844802766379896E-3</v>
      </c>
      <c r="AV1300" s="58">
        <f t="shared" si="487"/>
        <v>4.8675505653430484E-3</v>
      </c>
      <c r="AW1300" s="59">
        <f t="shared" si="488"/>
        <v>1.004867550565343</v>
      </c>
      <c r="AX1300" s="60">
        <f>PRODUCT(AW$4:AW1300)</f>
        <v>543.4283242355225</v>
      </c>
    </row>
    <row r="1301" spans="45:50">
      <c r="AS1301" s="55">
        <f t="shared" si="486"/>
        <v>109</v>
      </c>
      <c r="AT1301" s="56">
        <f t="shared" si="489"/>
        <v>1298</v>
      </c>
      <c r="AU1301" s="57">
        <f t="shared" si="485"/>
        <v>1.7757942286585969E-3</v>
      </c>
      <c r="AV1301" s="58">
        <f t="shared" si="487"/>
        <v>4.8675505653430484E-3</v>
      </c>
      <c r="AW1301" s="59">
        <f t="shared" si="488"/>
        <v>1.004867550565343</v>
      </c>
      <c r="AX1301" s="60">
        <f>PRODUCT(AW$4:AW1301)</f>
        <v>546.0734890823785</v>
      </c>
    </row>
    <row r="1302" spans="45:50">
      <c r="AS1302" s="55">
        <f t="shared" si="486"/>
        <v>109</v>
      </c>
      <c r="AT1302" s="56">
        <f t="shared" si="489"/>
        <v>1299</v>
      </c>
      <c r="AU1302" s="57">
        <f t="shared" si="485"/>
        <v>1.7671504604569567E-3</v>
      </c>
      <c r="AV1302" s="58">
        <f t="shared" si="487"/>
        <v>4.8675505653430484E-3</v>
      </c>
      <c r="AW1302" s="59">
        <f t="shared" si="488"/>
        <v>1.004867550565343</v>
      </c>
      <c r="AX1302" s="60">
        <f>PRODUCT(AW$4:AW1302)</f>
        <v>548.73152940288026</v>
      </c>
    </row>
    <row r="1303" spans="45:50">
      <c r="AS1303" s="55">
        <f t="shared" si="486"/>
        <v>109</v>
      </c>
      <c r="AT1303" s="56">
        <f t="shared" si="489"/>
        <v>1300</v>
      </c>
      <c r="AU1303" s="57">
        <f t="shared" ref="AU1303:AU1366" si="490">(1-AV1303)*AU1302</f>
        <v>1.7585487662341132E-3</v>
      </c>
      <c r="AV1303" s="58">
        <f t="shared" si="487"/>
        <v>4.8675505653430484E-3</v>
      </c>
      <c r="AW1303" s="59">
        <f t="shared" si="488"/>
        <v>1.004867550565343</v>
      </c>
      <c r="AX1303" s="60">
        <f>PRODUCT(AW$4:AW1303)</f>
        <v>551.40250786904676</v>
      </c>
    </row>
    <row r="1304" spans="45:50">
      <c r="AS1304" s="55">
        <f t="shared" si="486"/>
        <v>109</v>
      </c>
      <c r="AT1304" s="56">
        <f t="shared" si="489"/>
        <v>1301</v>
      </c>
      <c r="AU1304" s="57">
        <f t="shared" si="490"/>
        <v>1.749988941192847E-3</v>
      </c>
      <c r="AV1304" s="58">
        <f t="shared" si="487"/>
        <v>4.8675505653430484E-3</v>
      </c>
      <c r="AW1304" s="59">
        <f t="shared" si="488"/>
        <v>1.004867550565343</v>
      </c>
      <c r="AX1304" s="60">
        <f>PRODUCT(AW$4:AW1304)</f>
        <v>554.08648745795631</v>
      </c>
    </row>
    <row r="1305" spans="45:50">
      <c r="AS1305" s="55">
        <f t="shared" si="486"/>
        <v>109</v>
      </c>
      <c r="AT1305" s="56">
        <f t="shared" si="489"/>
        <v>1302</v>
      </c>
      <c r="AU1305" s="57">
        <f t="shared" si="490"/>
        <v>1.7414707815327998E-3</v>
      </c>
      <c r="AV1305" s="58">
        <f t="shared" si="487"/>
        <v>4.8675505653430484E-3</v>
      </c>
      <c r="AW1305" s="59">
        <f t="shared" si="488"/>
        <v>1.004867550565343</v>
      </c>
      <c r="AX1305" s="60">
        <f>PRODUCT(AW$4:AW1305)</f>
        <v>556.78353145323126</v>
      </c>
    </row>
    <row r="1306" spans="45:50">
      <c r="AS1306" s="55">
        <f t="shared" si="486"/>
        <v>109</v>
      </c>
      <c r="AT1306" s="56">
        <f t="shared" si="489"/>
        <v>1303</v>
      </c>
      <c r="AU1306" s="57">
        <f t="shared" si="490"/>
        <v>1.7329940844456214E-3</v>
      </c>
      <c r="AV1306" s="58">
        <f t="shared" si="487"/>
        <v>4.8675505653430484E-3</v>
      </c>
      <c r="AW1306" s="59">
        <f t="shared" si="488"/>
        <v>1.004867550565343</v>
      </c>
      <c r="AX1306" s="60">
        <f>PRODUCT(AW$4:AW1306)</f>
        <v>559.49370344653016</v>
      </c>
    </row>
    <row r="1307" spans="45:50">
      <c r="AS1307" s="55">
        <f t="shared" si="486"/>
        <v>109</v>
      </c>
      <c r="AT1307" s="56">
        <f t="shared" si="489"/>
        <v>1304</v>
      </c>
      <c r="AU1307" s="57">
        <f t="shared" si="490"/>
        <v>1.7245586481101419E-3</v>
      </c>
      <c r="AV1307" s="58">
        <f t="shared" si="487"/>
        <v>4.8675505653430484E-3</v>
      </c>
      <c r="AW1307" s="59">
        <f t="shared" si="488"/>
        <v>1.004867550565343</v>
      </c>
      <c r="AX1307" s="60">
        <f>PRODUCT(AW$4:AW1307)</f>
        <v>562.21706733904716</v>
      </c>
    </row>
    <row r="1308" spans="45:50">
      <c r="AS1308" s="55">
        <f t="shared" si="486"/>
        <v>109</v>
      </c>
      <c r="AT1308" s="56">
        <f t="shared" si="489"/>
        <v>1305</v>
      </c>
      <c r="AU1308" s="57">
        <f t="shared" si="490"/>
        <v>1.7161642716875662E-3</v>
      </c>
      <c r="AV1308" s="58">
        <f t="shared" si="487"/>
        <v>4.8675505653430484E-3</v>
      </c>
      <c r="AW1308" s="59">
        <f t="shared" si="488"/>
        <v>1.004867550565343</v>
      </c>
      <c r="AX1308" s="60">
        <f>PRODUCT(AW$4:AW1308)</f>
        <v>564.95368734301883</v>
      </c>
    </row>
    <row r="1309" spans="45:50">
      <c r="AS1309" s="55">
        <f t="shared" si="486"/>
        <v>109</v>
      </c>
      <c r="AT1309" s="56">
        <f t="shared" si="489"/>
        <v>1306</v>
      </c>
      <c r="AU1309" s="57">
        <f t="shared" si="490"/>
        <v>1.7078107553166917E-3</v>
      </c>
      <c r="AV1309" s="58">
        <f t="shared" si="487"/>
        <v>4.8675505653430484E-3</v>
      </c>
      <c r="AW1309" s="59">
        <f t="shared" si="488"/>
        <v>1.004867550565343</v>
      </c>
      <c r="AX1309" s="60">
        <f>PRODUCT(AW$4:AW1309)</f>
        <v>567.70362798323799</v>
      </c>
    </row>
    <row r="1310" spans="45:50">
      <c r="AS1310" s="55">
        <f t="shared" si="486"/>
        <v>109</v>
      </c>
      <c r="AT1310" s="56">
        <f t="shared" si="489"/>
        <v>1307</v>
      </c>
      <c r="AU1310" s="57">
        <f t="shared" si="490"/>
        <v>1.699497900109151E-3</v>
      </c>
      <c r="AV1310" s="58">
        <f t="shared" si="487"/>
        <v>4.8675505653430484E-3</v>
      </c>
      <c r="AW1310" s="59">
        <f t="shared" si="488"/>
        <v>1.004867550565343</v>
      </c>
      <c r="AX1310" s="60">
        <f>PRODUCT(AW$4:AW1310)</f>
        <v>570.46695409857512</v>
      </c>
    </row>
    <row r="1311" spans="45:50">
      <c r="AS1311" s="55">
        <f t="shared" si="486"/>
        <v>109</v>
      </c>
      <c r="AT1311" s="56">
        <f t="shared" si="489"/>
        <v>1308</v>
      </c>
      <c r="AU1311" s="57">
        <f t="shared" si="490"/>
        <v>1.6912255081446754E-3</v>
      </c>
      <c r="AV1311" s="58">
        <f t="shared" si="487"/>
        <v>4.8675505653430484E-3</v>
      </c>
      <c r="AW1311" s="59">
        <f t="shared" si="488"/>
        <v>1.004867550565343</v>
      </c>
      <c r="AX1311" s="60">
        <f>PRODUCT(AW$4:AW1311)</f>
        <v>573.24373084350714</v>
      </c>
    </row>
    <row r="1312" spans="45:50">
      <c r="AS1312" s="55">
        <f t="shared" si="486"/>
        <v>110</v>
      </c>
      <c r="AT1312" s="56">
        <f t="shared" si="489"/>
        <v>1309</v>
      </c>
      <c r="AU1312" s="57">
        <f t="shared" si="490"/>
        <v>1.6829933824663832E-3</v>
      </c>
      <c r="AV1312" s="58">
        <f t="shared" si="487"/>
        <v>4.8675505653430484E-3</v>
      </c>
      <c r="AW1312" s="59">
        <f t="shared" si="488"/>
        <v>1.004867550565343</v>
      </c>
      <c r="AX1312" s="60">
        <f>PRODUCT(AW$4:AW1312)</f>
        <v>576.03402368965385</v>
      </c>
    </row>
    <row r="1313" spans="45:50">
      <c r="AS1313" s="55">
        <f t="shared" si="486"/>
        <v>110</v>
      </c>
      <c r="AT1313" s="56">
        <f t="shared" si="489"/>
        <v>1310</v>
      </c>
      <c r="AU1313" s="57">
        <f t="shared" si="490"/>
        <v>1.6748013270760905E-3</v>
      </c>
      <c r="AV1313" s="58">
        <f t="shared" si="487"/>
        <v>4.8675505653430484E-3</v>
      </c>
      <c r="AW1313" s="59">
        <f t="shared" si="488"/>
        <v>1.004867550565343</v>
      </c>
      <c r="AX1313" s="60">
        <f>PRODUCT(AW$4:AW1313)</f>
        <v>578.83789842732131</v>
      </c>
    </row>
    <row r="1314" spans="45:50">
      <c r="AS1314" s="55">
        <f t="shared" si="486"/>
        <v>110</v>
      </c>
      <c r="AT1314" s="56">
        <f t="shared" si="489"/>
        <v>1311</v>
      </c>
      <c r="AU1314" s="57">
        <f t="shared" si="490"/>
        <v>1.6666491469296439E-3</v>
      </c>
      <c r="AV1314" s="58">
        <f t="shared" si="487"/>
        <v>4.8675505653430484E-3</v>
      </c>
      <c r="AW1314" s="59">
        <f t="shared" si="488"/>
        <v>1.004867550565343</v>
      </c>
      <c r="AX1314" s="60">
        <f>PRODUCT(AW$4:AW1314)</f>
        <v>581.65542116705319</v>
      </c>
    </row>
    <row r="1315" spans="45:50">
      <c r="AS1315" s="55">
        <f t="shared" si="486"/>
        <v>110</v>
      </c>
      <c r="AT1315" s="56">
        <f t="shared" si="489"/>
        <v>1312</v>
      </c>
      <c r="AU1315" s="57">
        <f t="shared" si="490"/>
        <v>1.6585366479322779E-3</v>
      </c>
      <c r="AV1315" s="58">
        <f t="shared" si="487"/>
        <v>4.8675505653430484E-3</v>
      </c>
      <c r="AW1315" s="59">
        <f t="shared" si="488"/>
        <v>1.004867550565343</v>
      </c>
      <c r="AX1315" s="60">
        <f>PRODUCT(AW$4:AW1315)</f>
        <v>584.4866583411897</v>
      </c>
    </row>
    <row r="1316" spans="45:50">
      <c r="AS1316" s="55">
        <f t="shared" si="486"/>
        <v>110</v>
      </c>
      <c r="AT1316" s="56">
        <f t="shared" si="489"/>
        <v>1313</v>
      </c>
      <c r="AU1316" s="57">
        <f t="shared" si="490"/>
        <v>1.650463636933993E-3</v>
      </c>
      <c r="AV1316" s="58">
        <f t="shared" si="487"/>
        <v>4.8675505653430484E-3</v>
      </c>
      <c r="AW1316" s="59">
        <f t="shared" si="488"/>
        <v>1.004867550565343</v>
      </c>
      <c r="AX1316" s="60">
        <f>PRODUCT(AW$4:AW1316)</f>
        <v>587.33167670543378</v>
      </c>
    </row>
    <row r="1317" spans="45:50">
      <c r="AS1317" s="55">
        <f t="shared" si="486"/>
        <v>110</v>
      </c>
      <c r="AT1317" s="56">
        <f t="shared" si="489"/>
        <v>1314</v>
      </c>
      <c r="AU1317" s="57">
        <f t="shared" si="490"/>
        <v>1.6424299217249567E-3</v>
      </c>
      <c r="AV1317" s="58">
        <f t="shared" si="487"/>
        <v>4.8675505653430484E-3</v>
      </c>
      <c r="AW1317" s="59">
        <f t="shared" si="488"/>
        <v>1.004867550565343</v>
      </c>
      <c r="AX1317" s="60">
        <f>PRODUCT(AW$4:AW1317)</f>
        <v>590.19054334042517</v>
      </c>
    </row>
    <row r="1318" spans="45:50">
      <c r="AS1318" s="55">
        <f t="shared" si="486"/>
        <v>110</v>
      </c>
      <c r="AT1318" s="56">
        <f t="shared" si="489"/>
        <v>1315</v>
      </c>
      <c r="AU1318" s="57">
        <f t="shared" si="490"/>
        <v>1.6344353110309281E-3</v>
      </c>
      <c r="AV1318" s="58">
        <f t="shared" si="487"/>
        <v>4.8675505653430484E-3</v>
      </c>
      <c r="AW1318" s="59">
        <f t="shared" si="488"/>
        <v>1.004867550565343</v>
      </c>
      <c r="AX1318" s="60">
        <f>PRODUCT(AW$4:AW1318)</f>
        <v>593.06332565332195</v>
      </c>
    </row>
    <row r="1319" spans="45:50">
      <c r="AS1319" s="55">
        <f t="shared" si="486"/>
        <v>110</v>
      </c>
      <c r="AT1319" s="56">
        <f t="shared" si="489"/>
        <v>1316</v>
      </c>
      <c r="AU1319" s="57">
        <f t="shared" si="490"/>
        <v>1.6264796145087027E-3</v>
      </c>
      <c r="AV1319" s="58">
        <f t="shared" si="487"/>
        <v>4.8675505653430484E-3</v>
      </c>
      <c r="AW1319" s="59">
        <f t="shared" si="488"/>
        <v>1.004867550565343</v>
      </c>
      <c r="AX1319" s="60">
        <f>PRODUCT(AW$4:AW1319)</f>
        <v>595.95009137938996</v>
      </c>
    </row>
    <row r="1320" spans="45:50">
      <c r="AS1320" s="55">
        <f t="shared" si="486"/>
        <v>110</v>
      </c>
      <c r="AT1320" s="56">
        <f t="shared" si="489"/>
        <v>1317</v>
      </c>
      <c r="AU1320" s="57">
        <f t="shared" si="490"/>
        <v>1.618562642741582E-3</v>
      </c>
      <c r="AV1320" s="58">
        <f t="shared" si="487"/>
        <v>4.8675505653430484E-3</v>
      </c>
      <c r="AW1320" s="59">
        <f t="shared" si="488"/>
        <v>1.004867550565343</v>
      </c>
      <c r="AX1320" s="60">
        <f>PRODUCT(AW$4:AW1320)</f>
        <v>598.8509085835999</v>
      </c>
    </row>
    <row r="1321" spans="45:50">
      <c r="AS1321" s="55">
        <f t="shared" si="486"/>
        <v>110</v>
      </c>
      <c r="AT1321" s="56">
        <f t="shared" si="489"/>
        <v>1318</v>
      </c>
      <c r="AU1321" s="57">
        <f t="shared" si="490"/>
        <v>1.6106842072348621E-3</v>
      </c>
      <c r="AV1321" s="58">
        <f t="shared" si="487"/>
        <v>4.8675505653430484E-3</v>
      </c>
      <c r="AW1321" s="59">
        <f t="shared" si="488"/>
        <v>1.004867550565343</v>
      </c>
      <c r="AX1321" s="60">
        <f>PRODUCT(AW$4:AW1321)</f>
        <v>601.76584566223221</v>
      </c>
    </row>
    <row r="1322" spans="45:50">
      <c r="AS1322" s="55">
        <f t="shared" si="486"/>
        <v>110</v>
      </c>
      <c r="AT1322" s="56">
        <f t="shared" si="489"/>
        <v>1319</v>
      </c>
      <c r="AU1322" s="57">
        <f t="shared" si="490"/>
        <v>1.6028441204113469E-3</v>
      </c>
      <c r="AV1322" s="58">
        <f t="shared" si="487"/>
        <v>4.8675505653430484E-3</v>
      </c>
      <c r="AW1322" s="59">
        <f t="shared" si="488"/>
        <v>1.004867550565343</v>
      </c>
      <c r="AX1322" s="60">
        <f>PRODUCT(AW$4:AW1322)</f>
        <v>604.69497134448955</v>
      </c>
    </row>
    <row r="1323" spans="45:50">
      <c r="AS1323" s="55">
        <f t="shared" si="486"/>
        <v>110</v>
      </c>
      <c r="AT1323" s="56">
        <f t="shared" si="489"/>
        <v>1320</v>
      </c>
      <c r="AU1323" s="57">
        <f t="shared" si="490"/>
        <v>1.5950421956068819E-3</v>
      </c>
      <c r="AV1323" s="58">
        <f t="shared" si="487"/>
        <v>4.8675505653430484E-3</v>
      </c>
      <c r="AW1323" s="59">
        <f t="shared" si="488"/>
        <v>1.004867550565343</v>
      </c>
      <c r="AX1323" s="60">
        <f>PRODUCT(AW$4:AW1323)</f>
        <v>607.63835469411754</v>
      </c>
    </row>
    <row r="1324" spans="45:50">
      <c r="AS1324" s="55">
        <f t="shared" si="486"/>
        <v>111</v>
      </c>
      <c r="AT1324" s="56">
        <f t="shared" si="489"/>
        <v>1321</v>
      </c>
      <c r="AU1324" s="57">
        <f t="shared" si="490"/>
        <v>1.5872782470659095E-3</v>
      </c>
      <c r="AV1324" s="58">
        <f t="shared" si="487"/>
        <v>4.8675505653430484E-3</v>
      </c>
      <c r="AW1324" s="59">
        <f t="shared" si="488"/>
        <v>1.004867550565343</v>
      </c>
      <c r="AX1324" s="60">
        <f>PRODUCT(AW$4:AW1324)</f>
        <v>610.596065111033</v>
      </c>
    </row>
    <row r="1325" spans="45:50">
      <c r="AS1325" s="55">
        <f t="shared" si="486"/>
        <v>111</v>
      </c>
      <c r="AT1325" s="56">
        <f t="shared" si="489"/>
        <v>1322</v>
      </c>
      <c r="AU1325" s="57">
        <f t="shared" si="490"/>
        <v>1.5795520899370471E-3</v>
      </c>
      <c r="AV1325" s="58">
        <f t="shared" si="487"/>
        <v>4.8675505653430484E-3</v>
      </c>
      <c r="AW1325" s="59">
        <f t="shared" si="488"/>
        <v>1.004867550565343</v>
      </c>
      <c r="AX1325" s="60">
        <f>PRODUCT(AW$4:AW1325)</f>
        <v>613.56817233296044</v>
      </c>
    </row>
    <row r="1326" spans="45:50">
      <c r="AS1326" s="55">
        <f t="shared" si="486"/>
        <v>111</v>
      </c>
      <c r="AT1326" s="56">
        <f t="shared" si="489"/>
        <v>1323</v>
      </c>
      <c r="AU1326" s="57">
        <f t="shared" si="490"/>
        <v>1.5718635402686852E-3</v>
      </c>
      <c r="AV1326" s="58">
        <f t="shared" si="487"/>
        <v>4.8675505653430484E-3</v>
      </c>
      <c r="AW1326" s="59">
        <f t="shared" si="488"/>
        <v>1.004867550565343</v>
      </c>
      <c r="AX1326" s="60">
        <f>PRODUCT(AW$4:AW1326)</f>
        <v>616.55474643707623</v>
      </c>
    </row>
    <row r="1327" spans="45:50">
      <c r="AS1327" s="55">
        <f t="shared" si="486"/>
        <v>111</v>
      </c>
      <c r="AT1327" s="56">
        <f t="shared" si="489"/>
        <v>1324</v>
      </c>
      <c r="AU1327" s="57">
        <f t="shared" si="490"/>
        <v>1.5642124150046083E-3</v>
      </c>
      <c r="AV1327" s="58">
        <f t="shared" si="487"/>
        <v>4.8675505653430484E-3</v>
      </c>
      <c r="AW1327" s="59">
        <f t="shared" si="488"/>
        <v>1.004867550565343</v>
      </c>
      <c r="AX1327" s="60">
        <f>PRODUCT(AW$4:AW1327)</f>
        <v>619.55585784166101</v>
      </c>
    </row>
    <row r="1328" spans="45:50">
      <c r="AS1328" s="55">
        <f t="shared" si="486"/>
        <v>111</v>
      </c>
      <c r="AT1328" s="56">
        <f t="shared" si="489"/>
        <v>1325</v>
      </c>
      <c r="AU1328" s="57">
        <f t="shared" si="490"/>
        <v>1.5565985319796361E-3</v>
      </c>
      <c r="AV1328" s="58">
        <f t="shared" si="487"/>
        <v>4.8675505653430484E-3</v>
      </c>
      <c r="AW1328" s="59">
        <f t="shared" si="488"/>
        <v>1.004867550565343</v>
      </c>
      <c r="AX1328" s="60">
        <f>PRODUCT(AW$4:AW1328)</f>
        <v>622.57157730775975</v>
      </c>
    </row>
    <row r="1329" spans="45:50">
      <c r="AS1329" s="55">
        <f t="shared" si="486"/>
        <v>111</v>
      </c>
      <c r="AT1329" s="56">
        <f t="shared" si="489"/>
        <v>1326</v>
      </c>
      <c r="AU1329" s="57">
        <f t="shared" si="490"/>
        <v>1.5490217099152865E-3</v>
      </c>
      <c r="AV1329" s="58">
        <f t="shared" si="487"/>
        <v>4.8675505653430484E-3</v>
      </c>
      <c r="AW1329" s="59">
        <f t="shared" si="488"/>
        <v>1.004867550565343</v>
      </c>
      <c r="AX1329" s="60">
        <f>PRODUCT(AW$4:AW1329)</f>
        <v>625.60197594085071</v>
      </c>
    </row>
    <row r="1330" spans="45:50">
      <c r="AS1330" s="55">
        <f t="shared" si="486"/>
        <v>111</v>
      </c>
      <c r="AT1330" s="56">
        <f t="shared" si="489"/>
        <v>1327</v>
      </c>
      <c r="AU1330" s="57">
        <f t="shared" si="490"/>
        <v>1.5414817684154597E-3</v>
      </c>
      <c r="AV1330" s="58">
        <f t="shared" si="487"/>
        <v>4.8675505653430484E-3</v>
      </c>
      <c r="AW1330" s="59">
        <f t="shared" si="488"/>
        <v>1.004867550565343</v>
      </c>
      <c r="AX1330" s="60">
        <f>PRODUCT(AW$4:AW1330)</f>
        <v>628.64712519252134</v>
      </c>
    </row>
    <row r="1331" spans="45:50">
      <c r="AS1331" s="55">
        <f t="shared" si="486"/>
        <v>111</v>
      </c>
      <c r="AT1331" s="56">
        <f t="shared" si="489"/>
        <v>1328</v>
      </c>
      <c r="AU1331" s="57">
        <f t="shared" si="490"/>
        <v>1.533978527962143E-3</v>
      </c>
      <c r="AV1331" s="58">
        <f t="shared" si="487"/>
        <v>4.8675505653430484E-3</v>
      </c>
      <c r="AW1331" s="59">
        <f t="shared" si="488"/>
        <v>1.004867550565343</v>
      </c>
      <c r="AX1331" s="60">
        <f>PRODUCT(AW$4:AW1331)</f>
        <v>631.70709686215343</v>
      </c>
    </row>
    <row r="1332" spans="45:50">
      <c r="AS1332" s="55">
        <f t="shared" si="486"/>
        <v>111</v>
      </c>
      <c r="AT1332" s="56">
        <f t="shared" si="489"/>
        <v>1329</v>
      </c>
      <c r="AU1332" s="57">
        <f t="shared" si="490"/>
        <v>1.5265118099111368E-3</v>
      </c>
      <c r="AV1332" s="58">
        <f t="shared" si="487"/>
        <v>4.8675505653430484E-3</v>
      </c>
      <c r="AW1332" s="59">
        <f t="shared" si="488"/>
        <v>1.004867550565343</v>
      </c>
      <c r="AX1332" s="60">
        <f>PRODUCT(AW$4:AW1332)</f>
        <v>634.78196309861607</v>
      </c>
    </row>
    <row r="1333" spans="45:50">
      <c r="AS1333" s="55">
        <f t="shared" si="486"/>
        <v>111</v>
      </c>
      <c r="AT1333" s="56">
        <f t="shared" si="489"/>
        <v>1330</v>
      </c>
      <c r="AU1333" s="57">
        <f t="shared" si="490"/>
        <v>1.519081436487801E-3</v>
      </c>
      <c r="AV1333" s="58">
        <f t="shared" si="487"/>
        <v>4.8675505653430484E-3</v>
      </c>
      <c r="AW1333" s="59">
        <f t="shared" si="488"/>
        <v>1.004867550565343</v>
      </c>
      <c r="AX1333" s="60">
        <f>PRODUCT(AW$4:AW1333)</f>
        <v>637.87179640196632</v>
      </c>
    </row>
    <row r="1334" spans="45:50">
      <c r="AS1334" s="55">
        <f t="shared" si="486"/>
        <v>111</v>
      </c>
      <c r="AT1334" s="56">
        <f t="shared" si="489"/>
        <v>1331</v>
      </c>
      <c r="AU1334" s="57">
        <f t="shared" si="490"/>
        <v>1.5116872307828226E-3</v>
      </c>
      <c r="AV1334" s="58">
        <f t="shared" si="487"/>
        <v>4.8675505653430484E-3</v>
      </c>
      <c r="AW1334" s="59">
        <f t="shared" si="488"/>
        <v>1.004867550565343</v>
      </c>
      <c r="AX1334" s="60">
        <f>PRODUCT(AW$4:AW1334)</f>
        <v>640.97666962515905</v>
      </c>
    </row>
    <row r="1335" spans="45:50">
      <c r="AS1335" s="55">
        <f t="shared" si="486"/>
        <v>111</v>
      </c>
      <c r="AT1335" s="56">
        <f t="shared" si="489"/>
        <v>1332</v>
      </c>
      <c r="AU1335" s="57">
        <f t="shared" si="490"/>
        <v>1.5043290167480038E-3</v>
      </c>
      <c r="AV1335" s="58">
        <f t="shared" si="487"/>
        <v>4.8675505653430484E-3</v>
      </c>
      <c r="AW1335" s="59">
        <f t="shared" si="488"/>
        <v>1.004867550565343</v>
      </c>
      <c r="AX1335" s="60">
        <f>PRODUCT(AW$4:AW1335)</f>
        <v>644.09665597576475</v>
      </c>
    </row>
    <row r="1336" spans="45:50">
      <c r="AS1336" s="55">
        <f t="shared" si="486"/>
        <v>112</v>
      </c>
      <c r="AT1336" s="56">
        <f t="shared" si="489"/>
        <v>1333</v>
      </c>
      <c r="AU1336" s="57">
        <f t="shared" si="490"/>
        <v>1.4970066191920702E-3</v>
      </c>
      <c r="AV1336" s="58">
        <f t="shared" si="487"/>
        <v>4.8675505653430484E-3</v>
      </c>
      <c r="AW1336" s="59">
        <f t="shared" si="488"/>
        <v>1.004867550565343</v>
      </c>
      <c r="AX1336" s="60">
        <f>PRODUCT(AW$4:AW1336)</f>
        <v>647.23182901769519</v>
      </c>
    </row>
    <row r="1337" spans="45:50">
      <c r="AS1337" s="55">
        <f t="shared" si="486"/>
        <v>112</v>
      </c>
      <c r="AT1337" s="56">
        <f t="shared" si="489"/>
        <v>1334</v>
      </c>
      <c r="AU1337" s="57">
        <f t="shared" si="490"/>
        <v>1.4897198637764996E-3</v>
      </c>
      <c r="AV1337" s="58">
        <f t="shared" si="487"/>
        <v>4.8675505653430484E-3</v>
      </c>
      <c r="AW1337" s="59">
        <f t="shared" si="488"/>
        <v>1.004867550565343</v>
      </c>
      <c r="AX1337" s="60">
        <f>PRODUCT(AW$4:AW1337)</f>
        <v>650.38226267293828</v>
      </c>
    </row>
    <row r="1338" spans="45:50">
      <c r="AS1338" s="55">
        <f t="shared" si="486"/>
        <v>112</v>
      </c>
      <c r="AT1338" s="56">
        <f t="shared" si="489"/>
        <v>1335</v>
      </c>
      <c r="AU1338" s="57">
        <f t="shared" si="490"/>
        <v>1.4824685770113714E-3</v>
      </c>
      <c r="AV1338" s="58">
        <f t="shared" si="487"/>
        <v>4.8675505653430484E-3</v>
      </c>
      <c r="AW1338" s="59">
        <f t="shared" si="488"/>
        <v>1.004867550565343</v>
      </c>
      <c r="AX1338" s="60">
        <f>PRODUCT(AW$4:AW1338)</f>
        <v>653.548031223301</v>
      </c>
    </row>
    <row r="1339" spans="45:50">
      <c r="AS1339" s="55">
        <f t="shared" si="486"/>
        <v>112</v>
      </c>
      <c r="AT1339" s="56">
        <f t="shared" si="489"/>
        <v>1336</v>
      </c>
      <c r="AU1339" s="57">
        <f t="shared" si="490"/>
        <v>1.4752525862512364E-3</v>
      </c>
      <c r="AV1339" s="58">
        <f t="shared" si="487"/>
        <v>4.8675505653430484E-3</v>
      </c>
      <c r="AW1339" s="59">
        <f t="shared" si="488"/>
        <v>1.004867550565343</v>
      </c>
      <c r="AX1339" s="60">
        <f>PRODUCT(AW$4:AW1339)</f>
        <v>656.72920931216083</v>
      </c>
    </row>
    <row r="1340" spans="45:50">
      <c r="AS1340" s="55">
        <f t="shared" si="486"/>
        <v>112</v>
      </c>
      <c r="AT1340" s="56">
        <f t="shared" si="489"/>
        <v>1337</v>
      </c>
      <c r="AU1340" s="57">
        <f t="shared" si="490"/>
        <v>1.4680717196910054E-3</v>
      </c>
      <c r="AV1340" s="58">
        <f t="shared" si="487"/>
        <v>4.8675505653430484E-3</v>
      </c>
      <c r="AW1340" s="59">
        <f t="shared" si="488"/>
        <v>1.004867550565343</v>
      </c>
      <c r="AX1340" s="60">
        <f>PRODUCT(AW$4:AW1340)</f>
        <v>659.92587194622558</v>
      </c>
    </row>
    <row r="1341" spans="45:50">
      <c r="AS1341" s="55">
        <f t="shared" si="486"/>
        <v>112</v>
      </c>
      <c r="AT1341" s="56">
        <f t="shared" si="489"/>
        <v>1338</v>
      </c>
      <c r="AU1341" s="57">
        <f t="shared" si="490"/>
        <v>1.4609258063618593E-3</v>
      </c>
      <c r="AV1341" s="58">
        <f t="shared" si="487"/>
        <v>4.8675505653430484E-3</v>
      </c>
      <c r="AW1341" s="59">
        <f t="shared" si="488"/>
        <v>1.004867550565343</v>
      </c>
      <c r="AX1341" s="60">
        <f>PRODUCT(AW$4:AW1341)</f>
        <v>663.13809449730195</v>
      </c>
    </row>
    <row r="1342" spans="45:50">
      <c r="AS1342" s="55">
        <f t="shared" si="486"/>
        <v>112</v>
      </c>
      <c r="AT1342" s="56">
        <f t="shared" si="489"/>
        <v>1339</v>
      </c>
      <c r="AU1342" s="57">
        <f t="shared" si="490"/>
        <v>1.4538146761271784E-3</v>
      </c>
      <c r="AV1342" s="58">
        <f t="shared" si="487"/>
        <v>4.8675505653430484E-3</v>
      </c>
      <c r="AW1342" s="59">
        <f t="shared" si="488"/>
        <v>1.004867550565343</v>
      </c>
      <c r="AX1342" s="60">
        <f>PRODUCT(AW$4:AW1342)</f>
        <v>666.36595270407281</v>
      </c>
    </row>
    <row r="1343" spans="45:50">
      <c r="AS1343" s="55">
        <f t="shared" si="486"/>
        <v>112</v>
      </c>
      <c r="AT1343" s="56">
        <f t="shared" si="489"/>
        <v>1340</v>
      </c>
      <c r="AU1343" s="57">
        <f t="shared" si="490"/>
        <v>1.4467381596784915E-3</v>
      </c>
      <c r="AV1343" s="58">
        <f t="shared" si="487"/>
        <v>4.8675505653430484E-3</v>
      </c>
      <c r="AW1343" s="59">
        <f t="shared" si="488"/>
        <v>1.004867550565343</v>
      </c>
      <c r="AX1343" s="60">
        <f>PRODUCT(AW$4:AW1343)</f>
        <v>669.60952267388291</v>
      </c>
    </row>
    <row r="1344" spans="45:50">
      <c r="AS1344" s="55">
        <f t="shared" si="486"/>
        <v>112</v>
      </c>
      <c r="AT1344" s="56">
        <f t="shared" si="489"/>
        <v>1341</v>
      </c>
      <c r="AU1344" s="57">
        <f t="shared" si="490"/>
        <v>1.4396960885314451E-3</v>
      </c>
      <c r="AV1344" s="58">
        <f t="shared" si="487"/>
        <v>4.8675505653430484E-3</v>
      </c>
      <c r="AW1344" s="59">
        <f t="shared" si="488"/>
        <v>1.004867550565343</v>
      </c>
      <c r="AX1344" s="60">
        <f>PRODUCT(AW$4:AW1344)</f>
        <v>672.86888088453327</v>
      </c>
    </row>
    <row r="1345" spans="45:50">
      <c r="AS1345" s="55">
        <f t="shared" si="486"/>
        <v>112</v>
      </c>
      <c r="AT1345" s="56">
        <f t="shared" si="489"/>
        <v>1342</v>
      </c>
      <c r="AU1345" s="57">
        <f t="shared" si="490"/>
        <v>1.4326882950217916E-3</v>
      </c>
      <c r="AV1345" s="58">
        <f t="shared" si="487"/>
        <v>4.8675505653430484E-3</v>
      </c>
      <c r="AW1345" s="59">
        <f t="shared" si="488"/>
        <v>1.004867550565343</v>
      </c>
      <c r="AX1345" s="60">
        <f>PRODUCT(AW$4:AW1345)</f>
        <v>676.14410418608452</v>
      </c>
    </row>
    <row r="1346" spans="45:50">
      <c r="AS1346" s="55">
        <f t="shared" si="486"/>
        <v>112</v>
      </c>
      <c r="AT1346" s="56">
        <f t="shared" si="489"/>
        <v>1343</v>
      </c>
      <c r="AU1346" s="57">
        <f t="shared" si="490"/>
        <v>1.425714612301398E-3</v>
      </c>
      <c r="AV1346" s="58">
        <f t="shared" si="487"/>
        <v>4.8675505653430484E-3</v>
      </c>
      <c r="AW1346" s="59">
        <f t="shared" si="488"/>
        <v>1.004867550565343</v>
      </c>
      <c r="AX1346" s="60">
        <f>PRODUCT(AW$4:AW1346)</f>
        <v>679.43526980266881</v>
      </c>
    </row>
    <row r="1347" spans="45:50">
      <c r="AS1347" s="55">
        <f t="shared" si="486"/>
        <v>112</v>
      </c>
      <c r="AT1347" s="56">
        <f t="shared" si="489"/>
        <v>1344</v>
      </c>
      <c r="AU1347" s="57">
        <f t="shared" si="490"/>
        <v>1.4187748743342726E-3</v>
      </c>
      <c r="AV1347" s="58">
        <f t="shared" si="487"/>
        <v>4.8675505653430484E-3</v>
      </c>
      <c r="AW1347" s="59">
        <f t="shared" si="488"/>
        <v>1.004867550565343</v>
      </c>
      <c r="AX1347" s="60">
        <f>PRODUCT(AW$4:AW1347)</f>
        <v>682.74245533431076</v>
      </c>
    </row>
    <row r="1348" spans="45:50">
      <c r="AS1348" s="55">
        <f t="shared" si="486"/>
        <v>113</v>
      </c>
      <c r="AT1348" s="56">
        <f t="shared" si="489"/>
        <v>1345</v>
      </c>
      <c r="AU1348" s="57">
        <f t="shared" si="490"/>
        <v>1.4118689158926123E-3</v>
      </c>
      <c r="AV1348" s="58">
        <f t="shared" si="487"/>
        <v>4.8675505653430484E-3</v>
      </c>
      <c r="AW1348" s="59">
        <f t="shared" si="488"/>
        <v>1.004867550565343</v>
      </c>
      <c r="AX1348" s="60">
        <f>PRODUCT(AW$4:AW1348)</f>
        <v>686.06573875875699</v>
      </c>
    </row>
    <row r="1349" spans="45:50">
      <c r="AS1349" s="55">
        <f t="shared" ref="AS1349:AS1412" si="491">ROUNDDOWN((AT1349-1)/12,0)+1</f>
        <v>113</v>
      </c>
      <c r="AT1349" s="56">
        <f t="shared" si="489"/>
        <v>1346</v>
      </c>
      <c r="AU1349" s="57">
        <f t="shared" si="490"/>
        <v>1.404996572552869E-3</v>
      </c>
      <c r="AV1349" s="58">
        <f t="shared" ref="AV1349:AV1412" si="492">((1+$AV$1)^(1/12))-1</f>
        <v>4.8675505653430484E-3</v>
      </c>
      <c r="AW1349" s="59">
        <f t="shared" ref="AW1349:AW1412" si="493">(1+AV1349)</f>
        <v>1.004867550565343</v>
      </c>
      <c r="AX1349" s="60">
        <f>PRODUCT(AW$4:AW1349)</f>
        <v>689.40519843331469</v>
      </c>
    </row>
    <row r="1350" spans="45:50">
      <c r="AS1350" s="55">
        <f t="shared" si="491"/>
        <v>113</v>
      </c>
      <c r="AT1350" s="56">
        <f t="shared" ref="AT1350:AT1413" si="494">AT1349+1</f>
        <v>1347</v>
      </c>
      <c r="AU1350" s="57">
        <f t="shared" si="490"/>
        <v>1.3981576806918342E-3</v>
      </c>
      <c r="AV1350" s="58">
        <f t="shared" si="492"/>
        <v>4.8675505653430484E-3</v>
      </c>
      <c r="AW1350" s="59">
        <f t="shared" si="493"/>
        <v>1.004867550565343</v>
      </c>
      <c r="AX1350" s="60">
        <f>PRODUCT(AW$4:AW1350)</f>
        <v>692.76091309669926</v>
      </c>
    </row>
    <row r="1351" spans="45:50">
      <c r="AS1351" s="55">
        <f t="shared" si="491"/>
        <v>113</v>
      </c>
      <c r="AT1351" s="56">
        <f t="shared" si="494"/>
        <v>1348</v>
      </c>
      <c r="AU1351" s="57">
        <f t="shared" si="490"/>
        <v>1.391352077482744E-3</v>
      </c>
      <c r="AV1351" s="58">
        <f t="shared" si="492"/>
        <v>4.8675505653430484E-3</v>
      </c>
      <c r="AW1351" s="59">
        <f t="shared" si="493"/>
        <v>1.004867550565343</v>
      </c>
      <c r="AX1351" s="60">
        <f>PRODUCT(AW$4:AW1351)</f>
        <v>696.13296187089065</v>
      </c>
    </row>
    <row r="1352" spans="45:50">
      <c r="AS1352" s="55">
        <f t="shared" si="491"/>
        <v>113</v>
      </c>
      <c r="AT1352" s="56">
        <f t="shared" si="494"/>
        <v>1349</v>
      </c>
      <c r="AU1352" s="57">
        <f t="shared" si="490"/>
        <v>1.3845796008914017E-3</v>
      </c>
      <c r="AV1352" s="58">
        <f t="shared" si="492"/>
        <v>4.8675505653430484E-3</v>
      </c>
      <c r="AW1352" s="59">
        <f t="shared" si="493"/>
        <v>1.004867550565343</v>
      </c>
      <c r="AX1352" s="60">
        <f>PRODUCT(AW$4:AW1352)</f>
        <v>699.52142426299929</v>
      </c>
    </row>
    <row r="1353" spans="45:50">
      <c r="AS1353" s="55">
        <f t="shared" si="491"/>
        <v>113</v>
      </c>
      <c r="AT1353" s="56">
        <f t="shared" si="494"/>
        <v>1350</v>
      </c>
      <c r="AU1353" s="57">
        <f t="shared" si="490"/>
        <v>1.3778400896723203E-3</v>
      </c>
      <c r="AV1353" s="58">
        <f t="shared" si="492"/>
        <v>4.8675505653430484E-3</v>
      </c>
      <c r="AW1353" s="59">
        <f t="shared" si="493"/>
        <v>1.004867550565343</v>
      </c>
      <c r="AX1353" s="60">
        <f>PRODUCT(AW$4:AW1353)</f>
        <v>702.92638016714022</v>
      </c>
    </row>
    <row r="1354" spans="45:50">
      <c r="AS1354" s="55">
        <f t="shared" si="491"/>
        <v>113</v>
      </c>
      <c r="AT1354" s="56">
        <f t="shared" si="494"/>
        <v>1351</v>
      </c>
      <c r="AU1354" s="57">
        <f t="shared" si="490"/>
        <v>1.3711333833648835E-3</v>
      </c>
      <c r="AV1354" s="58">
        <f t="shared" si="492"/>
        <v>4.8675505653430484E-3</v>
      </c>
      <c r="AW1354" s="59">
        <f t="shared" si="493"/>
        <v>1.004867550565343</v>
      </c>
      <c r="AX1354" s="60">
        <f>PRODUCT(AW$4:AW1354)</f>
        <v>706.34790986631731</v>
      </c>
    </row>
    <row r="1355" spans="45:50">
      <c r="AS1355" s="55">
        <f t="shared" si="491"/>
        <v>113</v>
      </c>
      <c r="AT1355" s="56">
        <f t="shared" si="494"/>
        <v>1352</v>
      </c>
      <c r="AU1355" s="57">
        <f t="shared" si="490"/>
        <v>1.3644593222895251E-3</v>
      </c>
      <c r="AV1355" s="58">
        <f t="shared" si="492"/>
        <v>4.8675505653430484E-3</v>
      </c>
      <c r="AW1355" s="59">
        <f t="shared" si="493"/>
        <v>1.004867550565343</v>
      </c>
      <c r="AX1355" s="60">
        <f>PRODUCT(AW$4:AW1355)</f>
        <v>709.78609403431597</v>
      </c>
    </row>
    <row r="1356" spans="45:50">
      <c r="AS1356" s="55">
        <f t="shared" si="491"/>
        <v>113</v>
      </c>
      <c r="AT1356" s="56">
        <f t="shared" si="494"/>
        <v>1353</v>
      </c>
      <c r="AU1356" s="57">
        <f t="shared" si="490"/>
        <v>1.357817747543927E-3</v>
      </c>
      <c r="AV1356" s="58">
        <f t="shared" si="492"/>
        <v>4.8675505653430484E-3</v>
      </c>
      <c r="AW1356" s="59">
        <f t="shared" si="493"/>
        <v>1.004867550565343</v>
      </c>
      <c r="AX1356" s="60">
        <f>PRODUCT(AW$4:AW1356)</f>
        <v>713.24101373760539</v>
      </c>
    </row>
    <row r="1357" spans="45:50">
      <c r="AS1357" s="55">
        <f t="shared" si="491"/>
        <v>113</v>
      </c>
      <c r="AT1357" s="56">
        <f t="shared" si="494"/>
        <v>1354</v>
      </c>
      <c r="AU1357" s="57">
        <f t="shared" si="490"/>
        <v>1.3512085009992367E-3</v>
      </c>
      <c r="AV1357" s="58">
        <f t="shared" si="492"/>
        <v>4.8675505653430484E-3</v>
      </c>
      <c r="AW1357" s="59">
        <f t="shared" si="493"/>
        <v>1.004867550565343</v>
      </c>
      <c r="AX1357" s="60">
        <f>PRODUCT(AW$4:AW1357)</f>
        <v>716.71275043724972</v>
      </c>
    </row>
    <row r="1358" spans="45:50">
      <c r="AS1358" s="55">
        <f t="shared" si="491"/>
        <v>113</v>
      </c>
      <c r="AT1358" s="56">
        <f t="shared" si="494"/>
        <v>1355</v>
      </c>
      <c r="AU1358" s="57">
        <f t="shared" si="490"/>
        <v>1.3446314252963014E-3</v>
      </c>
      <c r="AV1358" s="58">
        <f t="shared" si="492"/>
        <v>4.8675505653430484E-3</v>
      </c>
      <c r="AW1358" s="59">
        <f t="shared" si="493"/>
        <v>1.004867550565343</v>
      </c>
      <c r="AX1358" s="60">
        <f>PRODUCT(AW$4:AW1358)</f>
        <v>720.20138599082918</v>
      </c>
    </row>
    <row r="1359" spans="45:50">
      <c r="AS1359" s="55">
        <f t="shared" si="491"/>
        <v>113</v>
      </c>
      <c r="AT1359" s="56">
        <f t="shared" si="494"/>
        <v>1356</v>
      </c>
      <c r="AU1359" s="57">
        <f t="shared" si="490"/>
        <v>1.3380863638419224E-3</v>
      </c>
      <c r="AV1359" s="58">
        <f t="shared" si="492"/>
        <v>4.8675505653430484E-3</v>
      </c>
      <c r="AW1359" s="59">
        <f t="shared" si="493"/>
        <v>1.004867550565343</v>
      </c>
      <c r="AX1359" s="60">
        <f>PRODUCT(AW$4:AW1359)</f>
        <v>723.70700265436972</v>
      </c>
    </row>
    <row r="1360" spans="45:50">
      <c r="AS1360" s="55">
        <f t="shared" si="491"/>
        <v>114</v>
      </c>
      <c r="AT1360" s="56">
        <f t="shared" si="494"/>
        <v>1357</v>
      </c>
      <c r="AU1360" s="57">
        <f t="shared" si="490"/>
        <v>1.3315731608051257E-3</v>
      </c>
      <c r="AV1360" s="58">
        <f t="shared" si="492"/>
        <v>4.8675505653430484E-3</v>
      </c>
      <c r="AW1360" s="59">
        <f t="shared" si="493"/>
        <v>1.004867550565343</v>
      </c>
      <c r="AX1360" s="60">
        <f>PRODUCT(AW$4:AW1360)</f>
        <v>727.22968308428267</v>
      </c>
    </row>
    <row r="1361" spans="45:50">
      <c r="AS1361" s="55">
        <f t="shared" si="491"/>
        <v>114</v>
      </c>
      <c r="AT1361" s="56">
        <f t="shared" si="494"/>
        <v>1358</v>
      </c>
      <c r="AU1361" s="57">
        <f t="shared" si="490"/>
        <v>1.3250916611134531E-3</v>
      </c>
      <c r="AV1361" s="58">
        <f t="shared" si="492"/>
        <v>4.8675505653430484E-3</v>
      </c>
      <c r="AW1361" s="59">
        <f t="shared" si="493"/>
        <v>1.004867550565343</v>
      </c>
      <c r="AX1361" s="60">
        <f>PRODUCT(AW$4:AW1361)</f>
        <v>730.7695103393138</v>
      </c>
    </row>
    <row r="1362" spans="45:50">
      <c r="AS1362" s="55">
        <f t="shared" si="491"/>
        <v>114</v>
      </c>
      <c r="AT1362" s="56">
        <f t="shared" si="494"/>
        <v>1359</v>
      </c>
      <c r="AU1362" s="57">
        <f t="shared" si="490"/>
        <v>1.318641710449269E-3</v>
      </c>
      <c r="AV1362" s="58">
        <f t="shared" si="492"/>
        <v>4.8675505653430484E-3</v>
      </c>
      <c r="AW1362" s="59">
        <f t="shared" si="493"/>
        <v>1.004867550565343</v>
      </c>
      <c r="AX1362" s="60">
        <f>PRODUCT(AW$4:AW1362)</f>
        <v>734.32656788250142</v>
      </c>
    </row>
    <row r="1363" spans="45:50">
      <c r="AS1363" s="55">
        <f t="shared" si="491"/>
        <v>114</v>
      </c>
      <c r="AT1363" s="56">
        <f t="shared" si="494"/>
        <v>1360</v>
      </c>
      <c r="AU1363" s="57">
        <f t="shared" si="490"/>
        <v>1.3122231552460868E-3</v>
      </c>
      <c r="AV1363" s="58">
        <f t="shared" si="492"/>
        <v>4.8675505653430484E-3</v>
      </c>
      <c r="AW1363" s="59">
        <f t="shared" si="493"/>
        <v>1.004867550565343</v>
      </c>
      <c r="AX1363" s="60">
        <f>PRODUCT(AW$4:AW1363)</f>
        <v>737.90093958314435</v>
      </c>
    </row>
    <row r="1364" spans="45:50">
      <c r="AS1364" s="55">
        <f t="shared" si="491"/>
        <v>114</v>
      </c>
      <c r="AT1364" s="56">
        <f t="shared" si="494"/>
        <v>1361</v>
      </c>
      <c r="AU1364" s="57">
        <f t="shared" si="490"/>
        <v>1.3058358426849125E-3</v>
      </c>
      <c r="AV1364" s="58">
        <f t="shared" si="492"/>
        <v>4.8675505653430484E-3</v>
      </c>
      <c r="AW1364" s="59">
        <f t="shared" si="493"/>
        <v>1.004867550565343</v>
      </c>
      <c r="AX1364" s="60">
        <f>PRODUCT(AW$4:AW1364)</f>
        <v>741.49270971877945</v>
      </c>
    </row>
    <row r="1365" spans="45:50">
      <c r="AS1365" s="55">
        <f t="shared" si="491"/>
        <v>114</v>
      </c>
      <c r="AT1365" s="56">
        <f t="shared" si="494"/>
        <v>1362</v>
      </c>
      <c r="AU1365" s="57">
        <f t="shared" si="490"/>
        <v>1.2994796206906064E-3</v>
      </c>
      <c r="AV1365" s="58">
        <f t="shared" si="492"/>
        <v>4.8675505653430484E-3</v>
      </c>
      <c r="AW1365" s="59">
        <f t="shared" si="493"/>
        <v>1.004867550565343</v>
      </c>
      <c r="AX1365" s="60">
        <f>PRODUCT(AW$4:AW1365)</f>
        <v>745.1019629771688</v>
      </c>
    </row>
    <row r="1366" spans="45:50">
      <c r="AS1366" s="55">
        <f t="shared" si="491"/>
        <v>114</v>
      </c>
      <c r="AT1366" s="56">
        <f t="shared" si="494"/>
        <v>1363</v>
      </c>
      <c r="AU1366" s="57">
        <f t="shared" si="490"/>
        <v>1.2931543379282621E-3</v>
      </c>
      <c r="AV1366" s="58">
        <f t="shared" si="492"/>
        <v>4.8675505653430484E-3</v>
      </c>
      <c r="AW1366" s="59">
        <f t="shared" si="493"/>
        <v>1.004867550565343</v>
      </c>
      <c r="AX1366" s="60">
        <f>PRODUCT(AW$4:AW1366)</f>
        <v>748.72878445829656</v>
      </c>
    </row>
    <row r="1367" spans="45:50">
      <c r="AS1367" s="55">
        <f t="shared" si="491"/>
        <v>114</v>
      </c>
      <c r="AT1367" s="56">
        <f t="shared" si="494"/>
        <v>1364</v>
      </c>
      <c r="AU1367" s="57">
        <f t="shared" ref="AU1367:AU1430" si="495">(1-AV1367)*AU1366</f>
        <v>1.2868598437996035E-3</v>
      </c>
      <c r="AV1367" s="58">
        <f t="shared" si="492"/>
        <v>4.8675505653430484E-3</v>
      </c>
      <c r="AW1367" s="59">
        <f t="shared" si="493"/>
        <v>1.004867550565343</v>
      </c>
      <c r="AX1367" s="60">
        <f>PRODUCT(AW$4:AW1367)</f>
        <v>752.37325967637514</v>
      </c>
    </row>
    <row r="1368" spans="45:50">
      <c r="AS1368" s="55">
        <f t="shared" si="491"/>
        <v>114</v>
      </c>
      <c r="AT1368" s="56">
        <f t="shared" si="494"/>
        <v>1365</v>
      </c>
      <c r="AU1368" s="57">
        <f t="shared" si="495"/>
        <v>1.2805959884393996E-3</v>
      </c>
      <c r="AV1368" s="58">
        <f t="shared" si="492"/>
        <v>4.8675505653430484E-3</v>
      </c>
      <c r="AW1368" s="59">
        <f t="shared" si="493"/>
        <v>1.004867550565343</v>
      </c>
      <c r="AX1368" s="60">
        <f>PRODUCT(AW$4:AW1368)</f>
        <v>756.03547456186186</v>
      </c>
    </row>
    <row r="1369" spans="45:50">
      <c r="AS1369" s="55">
        <f t="shared" si="491"/>
        <v>114</v>
      </c>
      <c r="AT1369" s="56">
        <f t="shared" si="494"/>
        <v>1366</v>
      </c>
      <c r="AU1369" s="57">
        <f t="shared" si="495"/>
        <v>1.2743626227118953E-3</v>
      </c>
      <c r="AV1369" s="58">
        <f t="shared" si="492"/>
        <v>4.8675505653430484E-3</v>
      </c>
      <c r="AW1369" s="59">
        <f t="shared" si="493"/>
        <v>1.004867550565343</v>
      </c>
      <c r="AX1369" s="60">
        <f>PRODUCT(AW$4:AW1369)</f>
        <v>759.71551546348485</v>
      </c>
    </row>
    <row r="1370" spans="45:50">
      <c r="AS1370" s="55">
        <f t="shared" si="491"/>
        <v>114</v>
      </c>
      <c r="AT1370" s="56">
        <f t="shared" si="494"/>
        <v>1367</v>
      </c>
      <c r="AU1370" s="57">
        <f t="shared" si="495"/>
        <v>1.268159598207262E-3</v>
      </c>
      <c r="AV1370" s="58">
        <f t="shared" si="492"/>
        <v>4.8675505653430484E-3</v>
      </c>
      <c r="AW1370" s="59">
        <f t="shared" si="493"/>
        <v>1.004867550565343</v>
      </c>
      <c r="AX1370" s="60">
        <f>PRODUCT(AW$4:AW1370)</f>
        <v>763.41346915027907</v>
      </c>
    </row>
    <row r="1371" spans="45:50">
      <c r="AS1371" s="55">
        <f t="shared" si="491"/>
        <v>114</v>
      </c>
      <c r="AT1371" s="56">
        <f t="shared" si="494"/>
        <v>1368</v>
      </c>
      <c r="AU1371" s="57">
        <f t="shared" si="495"/>
        <v>1.2619867672380631E-3</v>
      </c>
      <c r="AV1371" s="58">
        <f t="shared" si="492"/>
        <v>4.8675505653430484E-3</v>
      </c>
      <c r="AW1371" s="59">
        <f t="shared" si="493"/>
        <v>1.004867550565343</v>
      </c>
      <c r="AX1371" s="60">
        <f>PRODUCT(AW$4:AW1371)</f>
        <v>767.129422813632</v>
      </c>
    </row>
    <row r="1372" spans="45:50">
      <c r="AS1372" s="55">
        <f t="shared" si="491"/>
        <v>115</v>
      </c>
      <c r="AT1372" s="56">
        <f t="shared" si="494"/>
        <v>1369</v>
      </c>
      <c r="AU1372" s="57">
        <f t="shared" si="495"/>
        <v>1.2558439828357381E-3</v>
      </c>
      <c r="AV1372" s="58">
        <f t="shared" si="492"/>
        <v>4.8675505653430484E-3</v>
      </c>
      <c r="AW1372" s="59">
        <f t="shared" si="493"/>
        <v>1.004867550565343</v>
      </c>
      <c r="AX1372" s="60">
        <f>PRODUCT(AW$4:AW1372)</f>
        <v>770.86346406933978</v>
      </c>
    </row>
    <row r="1373" spans="45:50">
      <c r="AS1373" s="55">
        <f t="shared" si="491"/>
        <v>115</v>
      </c>
      <c r="AT1373" s="56">
        <f t="shared" si="494"/>
        <v>1370</v>
      </c>
      <c r="AU1373" s="57">
        <f t="shared" si="495"/>
        <v>1.2497310987471034E-3</v>
      </c>
      <c r="AV1373" s="58">
        <f t="shared" si="492"/>
        <v>4.8675505653430484E-3</v>
      </c>
      <c r="AW1373" s="59">
        <f t="shared" si="493"/>
        <v>1.004867550565343</v>
      </c>
      <c r="AX1373" s="60">
        <f>PRODUCT(AW$4:AW1373)</f>
        <v>774.61568095967277</v>
      </c>
    </row>
    <row r="1374" spans="45:50">
      <c r="AS1374" s="55">
        <f t="shared" si="491"/>
        <v>115</v>
      </c>
      <c r="AT1374" s="56">
        <f t="shared" si="494"/>
        <v>1371</v>
      </c>
      <c r="AU1374" s="57">
        <f t="shared" si="495"/>
        <v>1.2436479694308701E-3</v>
      </c>
      <c r="AV1374" s="58">
        <f t="shared" si="492"/>
        <v>4.8675505653430484E-3</v>
      </c>
      <c r="AW1374" s="59">
        <f t="shared" si="493"/>
        <v>1.004867550565343</v>
      </c>
      <c r="AX1374" s="60">
        <f>PRODUCT(AW$4:AW1374)</f>
        <v>778.3861619554516</v>
      </c>
    </row>
    <row r="1375" spans="45:50">
      <c r="AS1375" s="55">
        <f t="shared" si="491"/>
        <v>115</v>
      </c>
      <c r="AT1375" s="56">
        <f t="shared" si="494"/>
        <v>1372</v>
      </c>
      <c r="AU1375" s="57">
        <f t="shared" si="495"/>
        <v>1.2375944500541791E-3</v>
      </c>
      <c r="AV1375" s="58">
        <f t="shared" si="492"/>
        <v>4.8675505653430484E-3</v>
      </c>
      <c r="AW1375" s="59">
        <f t="shared" si="493"/>
        <v>1.004867550565343</v>
      </c>
      <c r="AX1375" s="60">
        <f>PRODUCT(AW$4:AW1375)</f>
        <v>782.17499595813308</v>
      </c>
    </row>
    <row r="1376" spans="45:50">
      <c r="AS1376" s="55">
        <f t="shared" si="491"/>
        <v>115</v>
      </c>
      <c r="AT1376" s="56">
        <f t="shared" si="494"/>
        <v>1373</v>
      </c>
      <c r="AU1376" s="57">
        <f t="shared" si="495"/>
        <v>1.2315703964891525E-3</v>
      </c>
      <c r="AV1376" s="58">
        <f t="shared" si="492"/>
        <v>4.8675505653430484E-3</v>
      </c>
      <c r="AW1376" s="59">
        <f t="shared" si="493"/>
        <v>1.004867550565343</v>
      </c>
      <c r="AX1376" s="60">
        <f>PRODUCT(AW$4:AW1376)</f>
        <v>785.98227230190628</v>
      </c>
    </row>
    <row r="1377" spans="45:50">
      <c r="AS1377" s="55">
        <f t="shared" si="491"/>
        <v>115</v>
      </c>
      <c r="AT1377" s="56">
        <f t="shared" si="494"/>
        <v>1374</v>
      </c>
      <c r="AU1377" s="57">
        <f t="shared" si="495"/>
        <v>1.2255756653094618E-3</v>
      </c>
      <c r="AV1377" s="58">
        <f t="shared" si="492"/>
        <v>4.8675505653430484E-3</v>
      </c>
      <c r="AW1377" s="59">
        <f t="shared" si="493"/>
        <v>1.004867550565343</v>
      </c>
      <c r="AX1377" s="60">
        <f>PRODUCT(AW$4:AW1377)</f>
        <v>789.80808075579898</v>
      </c>
    </row>
    <row r="1378" spans="45:50">
      <c r="AS1378" s="55">
        <f t="shared" si="491"/>
        <v>115</v>
      </c>
      <c r="AT1378" s="56">
        <f t="shared" si="494"/>
        <v>1375</v>
      </c>
      <c r="AU1378" s="57">
        <f t="shared" si="495"/>
        <v>1.219610113786914E-3</v>
      </c>
      <c r="AV1378" s="58">
        <f t="shared" si="492"/>
        <v>4.8675505653430484E-3</v>
      </c>
      <c r="AW1378" s="59">
        <f t="shared" si="493"/>
        <v>1.004867550565343</v>
      </c>
      <c r="AX1378" s="60">
        <f>PRODUCT(AW$4:AW1378)</f>
        <v>793.65251152579435</v>
      </c>
    </row>
    <row r="1379" spans="45:50">
      <c r="AS1379" s="55">
        <f t="shared" si="491"/>
        <v>115</v>
      </c>
      <c r="AT1379" s="56">
        <f t="shared" si="494"/>
        <v>1376</v>
      </c>
      <c r="AU1379" s="57">
        <f t="shared" si="495"/>
        <v>1.2136735998880524E-3</v>
      </c>
      <c r="AV1379" s="58">
        <f t="shared" si="492"/>
        <v>4.8675505653430484E-3</v>
      </c>
      <c r="AW1379" s="59">
        <f t="shared" si="493"/>
        <v>1.004867550565343</v>
      </c>
      <c r="AX1379" s="60">
        <f>PRODUCT(AW$4:AW1379)</f>
        <v>797.51565525695764</v>
      </c>
    </row>
    <row r="1380" spans="45:50">
      <c r="AS1380" s="55">
        <f t="shared" si="491"/>
        <v>115</v>
      </c>
      <c r="AT1380" s="56">
        <f t="shared" si="494"/>
        <v>1377</v>
      </c>
      <c r="AU1380" s="57">
        <f t="shared" si="495"/>
        <v>1.2077659822707753E-3</v>
      </c>
      <c r="AV1380" s="58">
        <f t="shared" si="492"/>
        <v>4.8675505653430484E-3</v>
      </c>
      <c r="AW1380" s="59">
        <f t="shared" si="493"/>
        <v>1.004867550565343</v>
      </c>
      <c r="AX1380" s="60">
        <f>PRODUCT(AW$4:AW1380)</f>
        <v>801.39760303557352</v>
      </c>
    </row>
    <row r="1381" spans="45:50">
      <c r="AS1381" s="55">
        <f t="shared" si="491"/>
        <v>115</v>
      </c>
      <c r="AT1381" s="56">
        <f t="shared" si="494"/>
        <v>1378</v>
      </c>
      <c r="AU1381" s="57">
        <f t="shared" si="495"/>
        <v>1.2018871202809712E-3</v>
      </c>
      <c r="AV1381" s="58">
        <f t="shared" si="492"/>
        <v>4.8675505653430484E-3</v>
      </c>
      <c r="AW1381" s="59">
        <f t="shared" si="493"/>
        <v>1.004867550565343</v>
      </c>
      <c r="AX1381" s="60">
        <f>PRODUCT(AW$4:AW1381)</f>
        <v>805.29844639129385</v>
      </c>
    </row>
    <row r="1382" spans="45:50">
      <c r="AS1382" s="55">
        <f t="shared" si="491"/>
        <v>115</v>
      </c>
      <c r="AT1382" s="56">
        <f t="shared" si="494"/>
        <v>1379</v>
      </c>
      <c r="AU1382" s="57">
        <f t="shared" si="495"/>
        <v>1.196036873949169E-3</v>
      </c>
      <c r="AV1382" s="58">
        <f t="shared" si="492"/>
        <v>4.8675505653430484E-3</v>
      </c>
      <c r="AW1382" s="59">
        <f t="shared" si="493"/>
        <v>1.004867550565343</v>
      </c>
      <c r="AX1382" s="60">
        <f>PRODUCT(AW$4:AW1382)</f>
        <v>809.21827729929566</v>
      </c>
    </row>
    <row r="1383" spans="45:50">
      <c r="AS1383" s="55">
        <f t="shared" si="491"/>
        <v>115</v>
      </c>
      <c r="AT1383" s="56">
        <f t="shared" si="494"/>
        <v>1380</v>
      </c>
      <c r="AU1383" s="57">
        <f t="shared" si="495"/>
        <v>1.1902151039872065E-3</v>
      </c>
      <c r="AV1383" s="58">
        <f t="shared" si="492"/>
        <v>4.8675505653430484E-3</v>
      </c>
      <c r="AW1383" s="59">
        <f t="shared" si="493"/>
        <v>1.004867550565343</v>
      </c>
      <c r="AX1383" s="60">
        <f>PRODUCT(AW$4:AW1383)</f>
        <v>813.15718818244977</v>
      </c>
    </row>
    <row r="1384" spans="45:50">
      <c r="AS1384" s="55">
        <f t="shared" si="491"/>
        <v>116</v>
      </c>
      <c r="AT1384" s="56">
        <f t="shared" si="494"/>
        <v>1381</v>
      </c>
      <c r="AU1384" s="57">
        <f t="shared" si="495"/>
        <v>1.1844216717849137E-3</v>
      </c>
      <c r="AV1384" s="58">
        <f t="shared" si="492"/>
        <v>4.8675505653430484E-3</v>
      </c>
      <c r="AW1384" s="59">
        <f t="shared" si="493"/>
        <v>1.004867550565343</v>
      </c>
      <c r="AX1384" s="60">
        <f>PRODUCT(AW$4:AW1384)</f>
        <v>817.11527191350001</v>
      </c>
    </row>
    <row r="1385" spans="45:50">
      <c r="AS1385" s="55">
        <f t="shared" si="491"/>
        <v>116</v>
      </c>
      <c r="AT1385" s="56">
        <f t="shared" si="494"/>
        <v>1382</v>
      </c>
      <c r="AU1385" s="57">
        <f t="shared" si="495"/>
        <v>1.1786564394068125E-3</v>
      </c>
      <c r="AV1385" s="58">
        <f t="shared" si="492"/>
        <v>4.8675505653430484E-3</v>
      </c>
      <c r="AW1385" s="59">
        <f t="shared" si="493"/>
        <v>1.004867550565343</v>
      </c>
      <c r="AX1385" s="60">
        <f>PRODUCT(AW$4:AW1385)</f>
        <v>821.09262181725296</v>
      </c>
    </row>
    <row r="1386" spans="45:50">
      <c r="AS1386" s="55">
        <f t="shared" si="491"/>
        <v>116</v>
      </c>
      <c r="AT1386" s="56">
        <f t="shared" si="494"/>
        <v>1383</v>
      </c>
      <c r="AU1386" s="57">
        <f t="shared" si="495"/>
        <v>1.1729192695888327E-3</v>
      </c>
      <c r="AV1386" s="58">
        <f t="shared" si="492"/>
        <v>4.8675505653430484E-3</v>
      </c>
      <c r="AW1386" s="59">
        <f t="shared" si="493"/>
        <v>1.004867550565343</v>
      </c>
      <c r="AX1386" s="60">
        <f>PRODUCT(AW$4:AW1386)</f>
        <v>825.08933167277848</v>
      </c>
    </row>
    <row r="1387" spans="45:50">
      <c r="AS1387" s="55">
        <f t="shared" si="491"/>
        <v>116</v>
      </c>
      <c r="AT1387" s="56">
        <f t="shared" si="494"/>
        <v>1384</v>
      </c>
      <c r="AU1387" s="57">
        <f t="shared" si="495"/>
        <v>1.1672100257350438E-3</v>
      </c>
      <c r="AV1387" s="58">
        <f t="shared" si="492"/>
        <v>4.8675505653430484E-3</v>
      </c>
      <c r="AW1387" s="59">
        <f t="shared" si="493"/>
        <v>1.004867550565343</v>
      </c>
      <c r="AX1387" s="60">
        <f>PRODUCT(AW$4:AW1387)</f>
        <v>829.1054957156208</v>
      </c>
    </row>
    <row r="1388" spans="45:50">
      <c r="AS1388" s="55">
        <f t="shared" si="491"/>
        <v>116</v>
      </c>
      <c r="AT1388" s="56">
        <f t="shared" si="494"/>
        <v>1385</v>
      </c>
      <c r="AU1388" s="57">
        <f t="shared" si="495"/>
        <v>1.161528571914403E-3</v>
      </c>
      <c r="AV1388" s="58">
        <f t="shared" si="492"/>
        <v>4.8675505653430484E-3</v>
      </c>
      <c r="AW1388" s="59">
        <f t="shared" si="493"/>
        <v>1.004867550565343</v>
      </c>
      <c r="AX1388" s="60">
        <f>PRODUCT(AW$4:AW1388)</f>
        <v>833.14120864002041</v>
      </c>
    </row>
    <row r="1389" spans="45:50">
      <c r="AS1389" s="55">
        <f t="shared" si="491"/>
        <v>116</v>
      </c>
      <c r="AT1389" s="56">
        <f t="shared" si="494"/>
        <v>1386</v>
      </c>
      <c r="AU1389" s="57">
        <f t="shared" si="495"/>
        <v>1.155874772857519E-3</v>
      </c>
      <c r="AV1389" s="58">
        <f t="shared" si="492"/>
        <v>4.8675505653430484E-3</v>
      </c>
      <c r="AW1389" s="59">
        <f t="shared" si="493"/>
        <v>1.004867550565343</v>
      </c>
      <c r="AX1389" s="60">
        <f>PRODUCT(AW$4:AW1389)</f>
        <v>837.19656560114674</v>
      </c>
    </row>
    <row r="1390" spans="45:50">
      <c r="AS1390" s="55">
        <f t="shared" si="491"/>
        <v>116</v>
      </c>
      <c r="AT1390" s="56">
        <f t="shared" si="494"/>
        <v>1387</v>
      </c>
      <c r="AU1390" s="57">
        <f t="shared" si="495"/>
        <v>1.1502484939534307E-3</v>
      </c>
      <c r="AV1390" s="58">
        <f t="shared" si="492"/>
        <v>4.8675505653430484E-3</v>
      </c>
      <c r="AW1390" s="59">
        <f t="shared" si="493"/>
        <v>1.004867550565343</v>
      </c>
      <c r="AX1390" s="60">
        <f>PRODUCT(AW$4:AW1390)</f>
        <v>841.27166221734183</v>
      </c>
    </row>
    <row r="1391" spans="45:50">
      <c r="AS1391" s="55">
        <f t="shared" si="491"/>
        <v>116</v>
      </c>
      <c r="AT1391" s="56">
        <f t="shared" si="494"/>
        <v>1388</v>
      </c>
      <c r="AU1391" s="57">
        <f t="shared" si="495"/>
        <v>1.1446496012464027E-3</v>
      </c>
      <c r="AV1391" s="58">
        <f t="shared" si="492"/>
        <v>4.8675505653430484E-3</v>
      </c>
      <c r="AW1391" s="59">
        <f t="shared" si="493"/>
        <v>1.004867550565343</v>
      </c>
      <c r="AX1391" s="60">
        <f>PRODUCT(AW$4:AW1391)</f>
        <v>845.36659457237488</v>
      </c>
    </row>
    <row r="1392" spans="45:50">
      <c r="AS1392" s="55">
        <f t="shared" si="491"/>
        <v>116</v>
      </c>
      <c r="AT1392" s="56">
        <f t="shared" si="494"/>
        <v>1389</v>
      </c>
      <c r="AU1392" s="57">
        <f t="shared" si="495"/>
        <v>1.139077961432736E-3</v>
      </c>
      <c r="AV1392" s="58">
        <f t="shared" si="492"/>
        <v>4.8675505653430484E-3</v>
      </c>
      <c r="AW1392" s="59">
        <f t="shared" si="493"/>
        <v>1.004867550565343</v>
      </c>
      <c r="AX1392" s="60">
        <f>PRODUCT(AW$4:AW1392)</f>
        <v>849.48145921770777</v>
      </c>
    </row>
    <row r="1393" spans="45:50">
      <c r="AS1393" s="55">
        <f t="shared" si="491"/>
        <v>116</v>
      </c>
      <c r="AT1393" s="56">
        <f t="shared" si="494"/>
        <v>1390</v>
      </c>
      <c r="AU1393" s="57">
        <f t="shared" si="495"/>
        <v>1.1335334418575943E-3</v>
      </c>
      <c r="AV1393" s="58">
        <f t="shared" si="492"/>
        <v>4.8675505653430484E-3</v>
      </c>
      <c r="AW1393" s="59">
        <f t="shared" si="493"/>
        <v>1.004867550565343</v>
      </c>
      <c r="AX1393" s="60">
        <f>PRODUCT(AW$4:AW1393)</f>
        <v>853.61635317477135</v>
      </c>
    </row>
    <row r="1394" spans="45:50">
      <c r="AS1394" s="55">
        <f t="shared" si="491"/>
        <v>116</v>
      </c>
      <c r="AT1394" s="56">
        <f t="shared" si="494"/>
        <v>1391</v>
      </c>
      <c r="AU1394" s="57">
        <f t="shared" si="495"/>
        <v>1.1280159105118452E-3</v>
      </c>
      <c r="AV1394" s="58">
        <f t="shared" si="492"/>
        <v>4.8675505653430484E-3</v>
      </c>
      <c r="AW1394" s="59">
        <f t="shared" si="493"/>
        <v>1.004867550565343</v>
      </c>
      <c r="AX1394" s="60">
        <f>PRODUCT(AW$4:AW1394)</f>
        <v>857.77137393725332</v>
      </c>
    </row>
    <row r="1395" spans="45:50">
      <c r="AS1395" s="55">
        <f t="shared" si="491"/>
        <v>116</v>
      </c>
      <c r="AT1395" s="56">
        <f t="shared" si="494"/>
        <v>1392</v>
      </c>
      <c r="AU1395" s="57">
        <f t="shared" si="495"/>
        <v>1.1225252360289172E-3</v>
      </c>
      <c r="AV1395" s="58">
        <f t="shared" si="492"/>
        <v>4.8675505653430484E-3</v>
      </c>
      <c r="AW1395" s="59">
        <f t="shared" si="493"/>
        <v>1.004867550565343</v>
      </c>
      <c r="AX1395" s="60">
        <f>PRODUCT(AW$4:AW1395)</f>
        <v>861.94661947339671</v>
      </c>
    </row>
    <row r="1396" spans="45:50">
      <c r="AS1396" s="55">
        <f t="shared" si="491"/>
        <v>117</v>
      </c>
      <c r="AT1396" s="56">
        <f t="shared" si="494"/>
        <v>1393</v>
      </c>
      <c r="AU1396" s="57">
        <f t="shared" si="495"/>
        <v>1.1170612876816729E-3</v>
      </c>
      <c r="AV1396" s="58">
        <f t="shared" si="492"/>
        <v>4.8675505653430484E-3</v>
      </c>
      <c r="AW1396" s="59">
        <f t="shared" si="493"/>
        <v>1.004867550565343</v>
      </c>
      <c r="AX1396" s="60">
        <f>PRODUCT(AW$4:AW1396)</f>
        <v>866.14218822830992</v>
      </c>
    </row>
    <row r="1397" spans="45:50">
      <c r="AS1397" s="55">
        <f t="shared" si="491"/>
        <v>117</v>
      </c>
      <c r="AT1397" s="56">
        <f t="shared" si="494"/>
        <v>1394</v>
      </c>
      <c r="AU1397" s="57">
        <f t="shared" si="495"/>
        <v>1.1116239353792952E-3</v>
      </c>
      <c r="AV1397" s="58">
        <f t="shared" si="492"/>
        <v>4.8675505653430484E-3</v>
      </c>
      <c r="AW1397" s="59">
        <f t="shared" si="493"/>
        <v>1.004867550565343</v>
      </c>
      <c r="AX1397" s="60">
        <f>PRODUCT(AW$4:AW1397)</f>
        <v>870.35817912628806</v>
      </c>
    </row>
    <row r="1398" spans="45:50">
      <c r="AS1398" s="55">
        <f t="shared" si="491"/>
        <v>117</v>
      </c>
      <c r="AT1398" s="56">
        <f t="shared" si="494"/>
        <v>1395</v>
      </c>
      <c r="AU1398" s="57">
        <f t="shared" si="495"/>
        <v>1.1062130496641909E-3</v>
      </c>
      <c r="AV1398" s="58">
        <f t="shared" si="492"/>
        <v>4.8675505653430484E-3</v>
      </c>
      <c r="AW1398" s="59">
        <f t="shared" si="493"/>
        <v>1.004867550565343</v>
      </c>
      <c r="AX1398" s="60">
        <f>PRODUCT(AW$4:AW1398)</f>
        <v>874.59469157314516</v>
      </c>
    </row>
    <row r="1399" spans="45:50">
      <c r="AS1399" s="55">
        <f t="shared" si="491"/>
        <v>117</v>
      </c>
      <c r="AT1399" s="56">
        <f t="shared" si="494"/>
        <v>1396</v>
      </c>
      <c r="AU1399" s="57">
        <f t="shared" si="495"/>
        <v>1.1008285017089082E-3</v>
      </c>
      <c r="AV1399" s="58">
        <f t="shared" si="492"/>
        <v>4.8675505653430484E-3</v>
      </c>
      <c r="AW1399" s="59">
        <f t="shared" si="493"/>
        <v>1.004867550565343</v>
      </c>
      <c r="AX1399" s="60">
        <f>PRODUCT(AW$4:AW1399)</f>
        <v>878.8518254585581</v>
      </c>
    </row>
    <row r="1400" spans="45:50">
      <c r="AS1400" s="55">
        <f t="shared" si="491"/>
        <v>117</v>
      </c>
      <c r="AT1400" s="56">
        <f t="shared" si="494"/>
        <v>1397</v>
      </c>
      <c r="AU1400" s="57">
        <f t="shared" si="495"/>
        <v>1.0954701633130693E-3</v>
      </c>
      <c r="AV1400" s="58">
        <f t="shared" si="492"/>
        <v>4.8675505653430484E-3</v>
      </c>
      <c r="AW1400" s="59">
        <f t="shared" si="493"/>
        <v>1.004867550565343</v>
      </c>
      <c r="AX1400" s="60">
        <f>PRODUCT(AW$4:AW1400)</f>
        <v>883.1296811584217</v>
      </c>
    </row>
    <row r="1401" spans="45:50">
      <c r="AS1401" s="55">
        <f t="shared" si="491"/>
        <v>117</v>
      </c>
      <c r="AT1401" s="56">
        <f t="shared" si="494"/>
        <v>1398</v>
      </c>
      <c r="AU1401" s="57">
        <f t="shared" si="495"/>
        <v>1.0901379069003184E-3</v>
      </c>
      <c r="AV1401" s="58">
        <f t="shared" si="492"/>
        <v>4.8675505653430484E-3</v>
      </c>
      <c r="AW1401" s="59">
        <f t="shared" si="493"/>
        <v>1.004867550565343</v>
      </c>
      <c r="AX1401" s="60">
        <f>PRODUCT(AW$4:AW1401)</f>
        <v>887.42835953721556</v>
      </c>
    </row>
    <row r="1402" spans="45:50">
      <c r="AS1402" s="55">
        <f t="shared" si="491"/>
        <v>117</v>
      </c>
      <c r="AT1402" s="56">
        <f t="shared" si="494"/>
        <v>1399</v>
      </c>
      <c r="AU1402" s="57">
        <f t="shared" si="495"/>
        <v>1.0848316055152838E-3</v>
      </c>
      <c r="AV1402" s="58">
        <f t="shared" si="492"/>
        <v>4.8675505653430484E-3</v>
      </c>
      <c r="AW1402" s="59">
        <f t="shared" si="493"/>
        <v>1.004867550565343</v>
      </c>
      <c r="AX1402" s="60">
        <f>PRODUCT(AW$4:AW1402)</f>
        <v>891.74796195038243</v>
      </c>
    </row>
    <row r="1403" spans="45:50">
      <c r="AS1403" s="55">
        <f t="shared" si="491"/>
        <v>117</v>
      </c>
      <c r="AT1403" s="56">
        <f t="shared" si="494"/>
        <v>1400</v>
      </c>
      <c r="AU1403" s="57">
        <f t="shared" si="495"/>
        <v>1.079551132820556E-3</v>
      </c>
      <c r="AV1403" s="58">
        <f t="shared" si="492"/>
        <v>4.8675505653430484E-3</v>
      </c>
      <c r="AW1403" s="59">
        <f t="shared" si="493"/>
        <v>1.004867550565343</v>
      </c>
      <c r="AX1403" s="60">
        <f>PRODUCT(AW$4:AW1403)</f>
        <v>896.08859024671756</v>
      </c>
    </row>
    <row r="1404" spans="45:50">
      <c r="AS1404" s="55">
        <f t="shared" si="491"/>
        <v>117</v>
      </c>
      <c r="AT1404" s="56">
        <f t="shared" si="494"/>
        <v>1401</v>
      </c>
      <c r="AU1404" s="57">
        <f t="shared" si="495"/>
        <v>1.0742963630936786E-3</v>
      </c>
      <c r="AV1404" s="58">
        <f t="shared" si="492"/>
        <v>4.8675505653430484E-3</v>
      </c>
      <c r="AW1404" s="59">
        <f t="shared" si="493"/>
        <v>1.004867550565343</v>
      </c>
      <c r="AX1404" s="60">
        <f>PRODUCT(AW$4:AW1404)</f>
        <v>900.45034677077047</v>
      </c>
    </row>
    <row r="1405" spans="45:50">
      <c r="AS1405" s="55">
        <f t="shared" si="491"/>
        <v>117</v>
      </c>
      <c r="AT1405" s="56">
        <f t="shared" si="494"/>
        <v>1402</v>
      </c>
      <c r="AU1405" s="57">
        <f t="shared" si="495"/>
        <v>1.0690671712241559E-3</v>
      </c>
      <c r="AV1405" s="58">
        <f t="shared" si="492"/>
        <v>4.8675505653430484E-3</v>
      </c>
      <c r="AW1405" s="59">
        <f t="shared" si="493"/>
        <v>1.004867550565343</v>
      </c>
      <c r="AX1405" s="60">
        <f>PRODUCT(AW$4:AW1405)</f>
        <v>904.83333436525788</v>
      </c>
    </row>
    <row r="1406" spans="45:50">
      <c r="AS1406" s="55">
        <f t="shared" si="491"/>
        <v>117</v>
      </c>
      <c r="AT1406" s="56">
        <f t="shared" si="494"/>
        <v>1403</v>
      </c>
      <c r="AU1406" s="57">
        <f t="shared" si="495"/>
        <v>1.063863432710474E-3</v>
      </c>
      <c r="AV1406" s="58">
        <f t="shared" si="492"/>
        <v>4.8675505653430484E-3</v>
      </c>
      <c r="AW1406" s="59">
        <f t="shared" si="493"/>
        <v>1.004867550565343</v>
      </c>
      <c r="AX1406" s="60">
        <f>PRODUCT(AW$4:AW1406)</f>
        <v>909.23765637348868</v>
      </c>
    </row>
    <row r="1407" spans="45:50">
      <c r="AS1407" s="55">
        <f t="shared" si="491"/>
        <v>117</v>
      </c>
      <c r="AT1407" s="56">
        <f t="shared" si="494"/>
        <v>1404</v>
      </c>
      <c r="AU1407" s="57">
        <f t="shared" si="495"/>
        <v>1.0586850236571363E-3</v>
      </c>
      <c r="AV1407" s="58">
        <f t="shared" si="492"/>
        <v>4.8675505653430484E-3</v>
      </c>
      <c r="AW1407" s="59">
        <f t="shared" si="493"/>
        <v>1.004867550565343</v>
      </c>
      <c r="AX1407" s="60">
        <f>PRODUCT(AW$4:AW1407)</f>
        <v>913.66341664180061</v>
      </c>
    </row>
    <row r="1408" spans="45:50">
      <c r="AS1408" s="55">
        <f t="shared" si="491"/>
        <v>118</v>
      </c>
      <c r="AT1408" s="56">
        <f t="shared" si="494"/>
        <v>1405</v>
      </c>
      <c r="AU1408" s="57">
        <f t="shared" si="495"/>
        <v>1.0535318207717137E-3</v>
      </c>
      <c r="AV1408" s="58">
        <f t="shared" si="492"/>
        <v>4.8675505653430484E-3</v>
      </c>
      <c r="AW1408" s="59">
        <f t="shared" si="493"/>
        <v>1.004867550565343</v>
      </c>
      <c r="AX1408" s="60">
        <f>PRODUCT(AW$4:AW1408)</f>
        <v>918.11071952200871</v>
      </c>
    </row>
    <row r="1409" spans="45:50">
      <c r="AS1409" s="55">
        <f t="shared" si="491"/>
        <v>118</v>
      </c>
      <c r="AT1409" s="56">
        <f t="shared" si="494"/>
        <v>1406</v>
      </c>
      <c r="AU1409" s="57">
        <f t="shared" si="495"/>
        <v>1.0484037013619096E-3</v>
      </c>
      <c r="AV1409" s="58">
        <f t="shared" si="492"/>
        <v>4.8675505653430484E-3</v>
      </c>
      <c r="AW1409" s="59">
        <f t="shared" si="493"/>
        <v>1.004867550565343</v>
      </c>
      <c r="AX1409" s="60">
        <f>PRODUCT(AW$4:AW1409)</f>
        <v>922.57966987386556</v>
      </c>
    </row>
    <row r="1410" spans="45:50">
      <c r="AS1410" s="55">
        <f t="shared" si="491"/>
        <v>118</v>
      </c>
      <c r="AT1410" s="56">
        <f t="shared" si="494"/>
        <v>1407</v>
      </c>
      <c r="AU1410" s="57">
        <f t="shared" si="495"/>
        <v>1.0433005433326376E-3</v>
      </c>
      <c r="AV1410" s="58">
        <f t="shared" si="492"/>
        <v>4.8675505653430484E-3</v>
      </c>
      <c r="AW1410" s="59">
        <f t="shared" si="493"/>
        <v>1.004867550565343</v>
      </c>
      <c r="AX1410" s="60">
        <f>PRODUCT(AW$4:AW1410)</f>
        <v>927.07037306753409</v>
      </c>
    </row>
    <row r="1411" spans="45:50">
      <c r="AS1411" s="55">
        <f t="shared" si="491"/>
        <v>118</v>
      </c>
      <c r="AT1411" s="56">
        <f t="shared" si="494"/>
        <v>1408</v>
      </c>
      <c r="AU1411" s="57">
        <f t="shared" si="495"/>
        <v>1.0382222251831162E-3</v>
      </c>
      <c r="AV1411" s="58">
        <f t="shared" si="492"/>
        <v>4.8675505653430484E-3</v>
      </c>
      <c r="AW1411" s="59">
        <f t="shared" si="493"/>
        <v>1.004867550565343</v>
      </c>
      <c r="AX1411" s="60">
        <f>PRODUCT(AW$4:AW1411)</f>
        <v>931.58293498607179</v>
      </c>
    </row>
    <row r="1412" spans="45:50">
      <c r="AS1412" s="55">
        <f t="shared" si="491"/>
        <v>118</v>
      </c>
      <c r="AT1412" s="56">
        <f t="shared" si="494"/>
        <v>1409</v>
      </c>
      <c r="AU1412" s="57">
        <f t="shared" si="495"/>
        <v>1.0331686260039745E-3</v>
      </c>
      <c r="AV1412" s="58">
        <f t="shared" si="492"/>
        <v>4.8675505653430484E-3</v>
      </c>
      <c r="AW1412" s="59">
        <f t="shared" si="493"/>
        <v>1.004867550565343</v>
      </c>
      <c r="AX1412" s="60">
        <f>PRODUCT(AW$4:AW1412)</f>
        <v>936.11746202792722</v>
      </c>
    </row>
    <row r="1413" spans="45:50">
      <c r="AS1413" s="55">
        <f t="shared" ref="AS1413:AS1476" si="496">ROUNDDOWN((AT1413-1)/12,0)+1</f>
        <v>118</v>
      </c>
      <c r="AT1413" s="56">
        <f t="shared" si="494"/>
        <v>1410</v>
      </c>
      <c r="AU1413" s="57">
        <f t="shared" si="495"/>
        <v>1.0281396254743741E-3</v>
      </c>
      <c r="AV1413" s="58">
        <f t="shared" ref="AV1413:AV1476" si="497">((1+$AV$1)^(1/12))-1</f>
        <v>4.8675505653430484E-3</v>
      </c>
      <c r="AW1413" s="59">
        <f t="shared" ref="AW1413:AW1476" si="498">(1+AV1413)</f>
        <v>1.004867550565343</v>
      </c>
      <c r="AX1413" s="60">
        <f>PRODUCT(AW$4:AW1413)</f>
        <v>940.67406110944876</v>
      </c>
    </row>
    <row r="1414" spans="45:50">
      <c r="AS1414" s="55">
        <f t="shared" si="496"/>
        <v>118</v>
      </c>
      <c r="AT1414" s="56">
        <f t="shared" ref="AT1414:AT1477" si="499">AT1413+1</f>
        <v>1411</v>
      </c>
      <c r="AU1414" s="57">
        <f t="shared" si="495"/>
        <v>1.0231351038591447E-3</v>
      </c>
      <c r="AV1414" s="58">
        <f t="shared" si="497"/>
        <v>4.8675505653430484E-3</v>
      </c>
      <c r="AW1414" s="59">
        <f t="shared" si="498"/>
        <v>1.004867550565343</v>
      </c>
      <c r="AX1414" s="60">
        <f>PRODUCT(AW$4:AW1414)</f>
        <v>945.25283966740562</v>
      </c>
    </row>
    <row r="1415" spans="45:50">
      <c r="AS1415" s="55">
        <f t="shared" si="496"/>
        <v>118</v>
      </c>
      <c r="AT1415" s="56">
        <f t="shared" si="499"/>
        <v>1412</v>
      </c>
      <c r="AU1415" s="57">
        <f t="shared" si="495"/>
        <v>1.0181549420059327E-3</v>
      </c>
      <c r="AV1415" s="58">
        <f t="shared" si="497"/>
        <v>4.8675505653430484E-3</v>
      </c>
      <c r="AW1415" s="59">
        <f t="shared" si="498"/>
        <v>1.004867550565343</v>
      </c>
      <c r="AX1415" s="60">
        <f>PRODUCT(AW$4:AW1415)</f>
        <v>949.8539056615208</v>
      </c>
    </row>
    <row r="1416" spans="45:50">
      <c r="AS1416" s="55">
        <f t="shared" si="496"/>
        <v>118</v>
      </c>
      <c r="AT1416" s="56">
        <f t="shared" si="499"/>
        <v>1413</v>
      </c>
      <c r="AU1416" s="57">
        <f t="shared" si="495"/>
        <v>1.0131990213423649E-3</v>
      </c>
      <c r="AV1416" s="58">
        <f t="shared" si="497"/>
        <v>4.8675505653430484E-3</v>
      </c>
      <c r="AW1416" s="59">
        <f t="shared" si="498"/>
        <v>1.004867550565343</v>
      </c>
      <c r="AX1416" s="60">
        <f>PRODUCT(AW$4:AW1416)</f>
        <v>954.47736757701682</v>
      </c>
    </row>
    <row r="1417" spans="45:50">
      <c r="AS1417" s="55">
        <f t="shared" si="496"/>
        <v>118</v>
      </c>
      <c r="AT1417" s="56">
        <f t="shared" si="499"/>
        <v>1414</v>
      </c>
      <c r="AU1417" s="57">
        <f t="shared" si="495"/>
        <v>1.0082672238732248E-3</v>
      </c>
      <c r="AV1417" s="58">
        <f t="shared" si="497"/>
        <v>4.8675505653430484E-3</v>
      </c>
      <c r="AW1417" s="59">
        <f t="shared" si="498"/>
        <v>1.004867550565343</v>
      </c>
      <c r="AX1417" s="60">
        <f>PRODUCT(AW$4:AW1417)</f>
        <v>959.12333442717352</v>
      </c>
    </row>
    <row r="1418" spans="45:50">
      <c r="AS1418" s="55">
        <f t="shared" si="496"/>
        <v>118</v>
      </c>
      <c r="AT1418" s="56">
        <f t="shared" si="499"/>
        <v>1415</v>
      </c>
      <c r="AU1418" s="57">
        <f t="shared" si="495"/>
        <v>1.0033594321776438E-3</v>
      </c>
      <c r="AV1418" s="58">
        <f t="shared" si="497"/>
        <v>4.8675505653430484E-3</v>
      </c>
      <c r="AW1418" s="59">
        <f t="shared" si="498"/>
        <v>1.004867550565343</v>
      </c>
      <c r="AX1418" s="60">
        <f>PRODUCT(AW$4:AW1418)</f>
        <v>963.79191575589823</v>
      </c>
    </row>
    <row r="1419" spans="45:50">
      <c r="AS1419" s="55">
        <f t="shared" si="496"/>
        <v>118</v>
      </c>
      <c r="AT1419" s="56">
        <f t="shared" si="499"/>
        <v>1416</v>
      </c>
      <c r="AU1419" s="57">
        <f t="shared" si="495"/>
        <v>9.9847552940630522E-4</v>
      </c>
      <c r="AV1419" s="58">
        <f t="shared" si="497"/>
        <v>4.8675505653430484E-3</v>
      </c>
      <c r="AW1419" s="59">
        <f t="shared" si="498"/>
        <v>1.004867550565343</v>
      </c>
      <c r="AX1419" s="60">
        <f>PRODUCT(AW$4:AW1419)</f>
        <v>968.4832216403089</v>
      </c>
    </row>
    <row r="1420" spans="45:50">
      <c r="AS1420" s="55">
        <f t="shared" si="496"/>
        <v>119</v>
      </c>
      <c r="AT1420" s="56">
        <f t="shared" si="499"/>
        <v>1417</v>
      </c>
      <c r="AU1420" s="57">
        <f t="shared" si="495"/>
        <v>9.9361539927866243E-4</v>
      </c>
      <c r="AV1420" s="58">
        <f t="shared" si="497"/>
        <v>4.8675505653430484E-3</v>
      </c>
      <c r="AW1420" s="59">
        <f t="shared" si="498"/>
        <v>1.004867550565343</v>
      </c>
      <c r="AX1420" s="60">
        <f>PRODUCT(AW$4:AW1420)</f>
        <v>973.19736269332941</v>
      </c>
    </row>
    <row r="1421" spans="45:50">
      <c r="AS1421" s="55">
        <f t="shared" si="496"/>
        <v>119</v>
      </c>
      <c r="AT1421" s="56">
        <f t="shared" si="499"/>
        <v>1418</v>
      </c>
      <c r="AU1421" s="57">
        <f t="shared" si="495"/>
        <v>9.8877892608017007E-4</v>
      </c>
      <c r="AV1421" s="58">
        <f t="shared" si="497"/>
        <v>4.8675505653430484E-3</v>
      </c>
      <c r="AW1421" s="59">
        <f t="shared" si="498"/>
        <v>1.004867550565343</v>
      </c>
      <c r="AX1421" s="60">
        <f>PRODUCT(AW$4:AW1421)</f>
        <v>977.9344500662977</v>
      </c>
    </row>
    <row r="1422" spans="45:50">
      <c r="AS1422" s="55">
        <f t="shared" si="496"/>
        <v>119</v>
      </c>
      <c r="AT1422" s="56">
        <f t="shared" si="499"/>
        <v>1419</v>
      </c>
      <c r="AU1422" s="57">
        <f t="shared" si="495"/>
        <v>9.8396599465952928E-4</v>
      </c>
      <c r="AV1422" s="58">
        <f t="shared" si="497"/>
        <v>4.8675505653430484E-3</v>
      </c>
      <c r="AW1422" s="59">
        <f t="shared" si="498"/>
        <v>1.004867550565343</v>
      </c>
      <c r="AX1422" s="60">
        <f>PRODUCT(AW$4:AW1422)</f>
        <v>982.69459545158634</v>
      </c>
    </row>
    <row r="1423" spans="45:50">
      <c r="AS1423" s="55">
        <f t="shared" si="496"/>
        <v>119</v>
      </c>
      <c r="AT1423" s="56">
        <f t="shared" si="499"/>
        <v>1420</v>
      </c>
      <c r="AU1423" s="57">
        <f t="shared" si="495"/>
        <v>9.7917649042594595E-4</v>
      </c>
      <c r="AV1423" s="58">
        <f t="shared" si="497"/>
        <v>4.8675505653430484E-3</v>
      </c>
      <c r="AW1423" s="59">
        <f t="shared" si="498"/>
        <v>1.004867550565343</v>
      </c>
      <c r="AX1423" s="60">
        <f>PRODUCT(AW$4:AW1423)</f>
        <v>987.47791108523631</v>
      </c>
    </row>
    <row r="1424" spans="45:50">
      <c r="AS1424" s="55">
        <f t="shared" si="496"/>
        <v>119</v>
      </c>
      <c r="AT1424" s="56">
        <f t="shared" si="499"/>
        <v>1421</v>
      </c>
      <c r="AU1424" s="57">
        <f t="shared" si="495"/>
        <v>9.7441029934640247E-4</v>
      </c>
      <c r="AV1424" s="58">
        <f t="shared" si="497"/>
        <v>4.8675505653430484E-3</v>
      </c>
      <c r="AW1424" s="59">
        <f t="shared" si="498"/>
        <v>1.004867550565343</v>
      </c>
      <c r="AX1424" s="60">
        <f>PRODUCT(AW$4:AW1424)</f>
        <v>992.28450974960299</v>
      </c>
    </row>
    <row r="1425" spans="45:50">
      <c r="AS1425" s="55">
        <f t="shared" si="496"/>
        <v>119</v>
      </c>
      <c r="AT1425" s="56">
        <f t="shared" si="499"/>
        <v>1422</v>
      </c>
      <c r="AU1425" s="57">
        <f t="shared" si="495"/>
        <v>9.6966730794294275E-4</v>
      </c>
      <c r="AV1425" s="58">
        <f t="shared" si="497"/>
        <v>4.8675505653430484E-3</v>
      </c>
      <c r="AW1425" s="59">
        <f t="shared" si="498"/>
        <v>1.004867550565343</v>
      </c>
      <c r="AX1425" s="60">
        <f>PRODUCT(AW$4:AW1425)</f>
        <v>997.11450477601579</v>
      </c>
    </row>
    <row r="1426" spans="45:50">
      <c r="AS1426" s="55">
        <f t="shared" si="496"/>
        <v>119</v>
      </c>
      <c r="AT1426" s="56">
        <f t="shared" si="499"/>
        <v>1423</v>
      </c>
      <c r="AU1426" s="57">
        <f t="shared" si="495"/>
        <v>9.6494740328997039E-4</v>
      </c>
      <c r="AV1426" s="58">
        <f t="shared" si="497"/>
        <v>4.8675505653430484E-3</v>
      </c>
      <c r="AW1426" s="59">
        <f t="shared" si="498"/>
        <v>1.004867550565343</v>
      </c>
      <c r="AX1426" s="60">
        <f>PRODUCT(AW$4:AW1426)</f>
        <v>1001.9680100474501</v>
      </c>
    </row>
    <row r="1427" spans="45:50">
      <c r="AS1427" s="55">
        <f t="shared" si="496"/>
        <v>119</v>
      </c>
      <c r="AT1427" s="56">
        <f t="shared" si="499"/>
        <v>1424</v>
      </c>
      <c r="AU1427" s="57">
        <f t="shared" si="495"/>
        <v>9.6025047301155999E-4</v>
      </c>
      <c r="AV1427" s="58">
        <f t="shared" si="497"/>
        <v>4.8675505653430484E-3</v>
      </c>
      <c r="AW1427" s="59">
        <f t="shared" si="498"/>
        <v>1.004867550565343</v>
      </c>
      <c r="AX1427" s="60">
        <f>PRODUCT(AW$4:AW1427)</f>
        <v>1006.8451400012123</v>
      </c>
    </row>
    <row r="1428" spans="45:50">
      <c r="AS1428" s="55">
        <f t="shared" si="496"/>
        <v>119</v>
      </c>
      <c r="AT1428" s="56">
        <f t="shared" si="499"/>
        <v>1425</v>
      </c>
      <c r="AU1428" s="57">
        <f t="shared" si="495"/>
        <v>9.5557640527878164E-4</v>
      </c>
      <c r="AV1428" s="58">
        <f t="shared" si="497"/>
        <v>4.8675505653430484E-3</v>
      </c>
      <c r="AW1428" s="59">
        <f t="shared" si="498"/>
        <v>1.004867550565343</v>
      </c>
      <c r="AX1428" s="60">
        <f>PRODUCT(AW$4:AW1428)</f>
        <v>1011.746009631638</v>
      </c>
    </row>
    <row r="1429" spans="45:50">
      <c r="AS1429" s="55">
        <f t="shared" si="496"/>
        <v>119</v>
      </c>
      <c r="AT1429" s="56">
        <f t="shared" si="499"/>
        <v>1426</v>
      </c>
      <c r="AU1429" s="57">
        <f t="shared" si="495"/>
        <v>9.5092508880703847E-4</v>
      </c>
      <c r="AV1429" s="58">
        <f t="shared" si="497"/>
        <v>4.8675505653430484E-3</v>
      </c>
      <c r="AW1429" s="59">
        <f t="shared" si="498"/>
        <v>1.004867550565343</v>
      </c>
      <c r="AX1429" s="60">
        <f>PRODUCT(AW$4:AW1429)</f>
        <v>1016.6707344928041</v>
      </c>
    </row>
    <row r="1430" spans="45:50">
      <c r="AS1430" s="55">
        <f t="shared" si="496"/>
        <v>119</v>
      </c>
      <c r="AT1430" s="56">
        <f t="shared" si="499"/>
        <v>1427</v>
      </c>
      <c r="AU1430" s="57">
        <f t="shared" si="495"/>
        <v>9.4629641285341693E-4</v>
      </c>
      <c r="AV1430" s="58">
        <f t="shared" si="497"/>
        <v>4.8675505653430484E-3</v>
      </c>
      <c r="AW1430" s="59">
        <f t="shared" si="498"/>
        <v>1.004867550565343</v>
      </c>
      <c r="AX1430" s="60">
        <f>PRODUCT(AW$4:AW1430)</f>
        <v>1021.6194307012522</v>
      </c>
    </row>
    <row r="1431" spans="45:50">
      <c r="AS1431" s="55">
        <f t="shared" si="496"/>
        <v>119</v>
      </c>
      <c r="AT1431" s="56">
        <f t="shared" si="499"/>
        <v>1428</v>
      </c>
      <c r="AU1431" s="57">
        <f t="shared" ref="AU1431:AU1494" si="500">(1-AV1431)*AU1430</f>
        <v>9.4169026721405017E-4</v>
      </c>
      <c r="AV1431" s="58">
        <f t="shared" si="497"/>
        <v>4.8675505653430484E-3</v>
      </c>
      <c r="AW1431" s="59">
        <f t="shared" si="498"/>
        <v>1.004867550565343</v>
      </c>
      <c r="AX1431" s="60">
        <f>PRODUCT(AW$4:AW1431)</f>
        <v>1026.5922149387275</v>
      </c>
    </row>
    <row r="1432" spans="45:50">
      <c r="AS1432" s="55">
        <f t="shared" si="496"/>
        <v>120</v>
      </c>
      <c r="AT1432" s="56">
        <f t="shared" si="499"/>
        <v>1429</v>
      </c>
      <c r="AU1432" s="57">
        <f t="shared" si="500"/>
        <v>9.3710654222149443E-4</v>
      </c>
      <c r="AV1432" s="58">
        <f t="shared" si="497"/>
        <v>4.8675505653430484E-3</v>
      </c>
      <c r="AW1432" s="59">
        <f t="shared" si="498"/>
        <v>1.004867550565343</v>
      </c>
      <c r="AX1432" s="60">
        <f>PRODUCT(AW$4:AW1432)</f>
        <v>1031.5892044549291</v>
      </c>
    </row>
    <row r="1433" spans="45:50">
      <c r="AS1433" s="55">
        <f t="shared" si="496"/>
        <v>120</v>
      </c>
      <c r="AT1433" s="56">
        <f t="shared" si="499"/>
        <v>1430</v>
      </c>
      <c r="AU1433" s="57">
        <f t="shared" si="500"/>
        <v>9.3254512874211756E-4</v>
      </c>
      <c r="AV1433" s="58">
        <f t="shared" si="497"/>
        <v>4.8675505653430484E-3</v>
      </c>
      <c r="AW1433" s="59">
        <f t="shared" si="498"/>
        <v>1.004867550565343</v>
      </c>
      <c r="AX1433" s="60">
        <f>PRODUCT(AW$4:AW1433)</f>
        <v>1036.6105170702756</v>
      </c>
    </row>
    <row r="1434" spans="45:50">
      <c r="AS1434" s="55">
        <f t="shared" si="496"/>
        <v>120</v>
      </c>
      <c r="AT1434" s="56">
        <f t="shared" si="499"/>
        <v>1431</v>
      </c>
      <c r="AU1434" s="57">
        <f t="shared" si="500"/>
        <v>9.2800591817350096E-4</v>
      </c>
      <c r="AV1434" s="58">
        <f t="shared" si="497"/>
        <v>4.8675505653430484E-3</v>
      </c>
      <c r="AW1434" s="59">
        <f t="shared" si="498"/>
        <v>1.004867550565343</v>
      </c>
      <c r="AX1434" s="60">
        <f>PRODUCT(AW$4:AW1434)</f>
        <v>1041.6562711786817</v>
      </c>
    </row>
    <row r="1435" spans="45:50">
      <c r="AS1435" s="55">
        <f t="shared" si="496"/>
        <v>120</v>
      </c>
      <c r="AT1435" s="56">
        <f t="shared" si="499"/>
        <v>1432</v>
      </c>
      <c r="AU1435" s="57">
        <f t="shared" si="500"/>
        <v>9.2348880244185383E-4</v>
      </c>
      <c r="AV1435" s="58">
        <f t="shared" si="497"/>
        <v>4.8675505653430484E-3</v>
      </c>
      <c r="AW1435" s="59">
        <f t="shared" si="498"/>
        <v>1.004867550565343</v>
      </c>
      <c r="AX1435" s="60">
        <f>PRODUCT(AW$4:AW1435)</f>
        <v>1046.7265857503505</v>
      </c>
    </row>
    <row r="1436" spans="45:50">
      <c r="AS1436" s="55">
        <f t="shared" si="496"/>
        <v>120</v>
      </c>
      <c r="AT1436" s="56">
        <f t="shared" si="499"/>
        <v>1433</v>
      </c>
      <c r="AU1436" s="57">
        <f t="shared" si="500"/>
        <v>9.1899367399944003E-4</v>
      </c>
      <c r="AV1436" s="58">
        <f t="shared" si="497"/>
        <v>4.8675505653430484E-3</v>
      </c>
      <c r="AW1436" s="59">
        <f t="shared" si="498"/>
        <v>1.004867550565343</v>
      </c>
      <c r="AX1436" s="60">
        <f>PRODUCT(AW$4:AW1436)</f>
        <v>1051.8215803345793</v>
      </c>
    </row>
    <row r="1437" spans="45:50">
      <c r="AS1437" s="55">
        <f t="shared" si="496"/>
        <v>120</v>
      </c>
      <c r="AT1437" s="56">
        <f t="shared" si="499"/>
        <v>1434</v>
      </c>
      <c r="AU1437" s="57">
        <f t="shared" si="500"/>
        <v>9.1452042582201734E-4</v>
      </c>
      <c r="AV1437" s="58">
        <f t="shared" si="497"/>
        <v>4.8675505653430484E-3</v>
      </c>
      <c r="AW1437" s="59">
        <f t="shared" si="498"/>
        <v>1.004867550565343</v>
      </c>
      <c r="AX1437" s="60">
        <f>PRODUCT(AW$4:AW1437)</f>
        <v>1056.9413750625768</v>
      </c>
    </row>
    <row r="1438" spans="45:50">
      <c r="AS1438" s="55">
        <f t="shared" si="496"/>
        <v>120</v>
      </c>
      <c r="AT1438" s="56">
        <f t="shared" si="499"/>
        <v>1435</v>
      </c>
      <c r="AU1438" s="57">
        <f t="shared" si="500"/>
        <v>9.1006895140628957E-4</v>
      </c>
      <c r="AV1438" s="58">
        <f t="shared" si="497"/>
        <v>4.8675505653430484E-3</v>
      </c>
      <c r="AW1438" s="59">
        <f t="shared" si="498"/>
        <v>1.004867550565343</v>
      </c>
      <c r="AX1438" s="60">
        <f>PRODUCT(AW$4:AW1438)</f>
        <v>1062.0860906502971</v>
      </c>
    </row>
    <row r="1439" spans="45:50">
      <c r="AS1439" s="55">
        <f t="shared" si="496"/>
        <v>120</v>
      </c>
      <c r="AT1439" s="56">
        <f t="shared" si="499"/>
        <v>1436</v>
      </c>
      <c r="AU1439" s="57">
        <f t="shared" si="500"/>
        <v>9.0563914476737069E-4</v>
      </c>
      <c r="AV1439" s="58">
        <f t="shared" si="497"/>
        <v>4.8675505653430484E-3</v>
      </c>
      <c r="AW1439" s="59">
        <f t="shared" si="498"/>
        <v>1.004867550565343</v>
      </c>
      <c r="AX1439" s="60">
        <f>PRODUCT(AW$4:AW1439)</f>
        <v>1067.255848401285</v>
      </c>
    </row>
    <row r="1440" spans="45:50">
      <c r="AS1440" s="55">
        <f t="shared" si="496"/>
        <v>120</v>
      </c>
      <c r="AT1440" s="56">
        <f t="shared" si="499"/>
        <v>1437</v>
      </c>
      <c r="AU1440" s="57">
        <f t="shared" si="500"/>
        <v>9.0123090043626151E-4</v>
      </c>
      <c r="AV1440" s="58">
        <f t="shared" si="497"/>
        <v>4.8675505653430484E-3</v>
      </c>
      <c r="AW1440" s="59">
        <f t="shared" si="498"/>
        <v>1.004867550565343</v>
      </c>
      <c r="AX1440" s="60">
        <f>PRODUCT(AW$4:AW1440)</f>
        <v>1072.4507702095364</v>
      </c>
    </row>
    <row r="1441" spans="45:50">
      <c r="AS1441" s="55">
        <f t="shared" si="496"/>
        <v>120</v>
      </c>
      <c r="AT1441" s="56">
        <f t="shared" si="499"/>
        <v>1438</v>
      </c>
      <c r="AU1441" s="57">
        <f t="shared" si="500"/>
        <v>8.9684411345733841E-4</v>
      </c>
      <c r="AV1441" s="58">
        <f t="shared" si="497"/>
        <v>4.8675505653430484E-3</v>
      </c>
      <c r="AW1441" s="59">
        <f t="shared" si="498"/>
        <v>1.004867550565343</v>
      </c>
      <c r="AX1441" s="60">
        <f>PRODUCT(AW$4:AW1441)</f>
        <v>1077.6709785623723</v>
      </c>
    </row>
    <row r="1442" spans="45:50">
      <c r="AS1442" s="55">
        <f t="shared" si="496"/>
        <v>120</v>
      </c>
      <c r="AT1442" s="56">
        <f t="shared" si="499"/>
        <v>1439</v>
      </c>
      <c r="AU1442" s="57">
        <f t="shared" si="500"/>
        <v>8.9247867938585458E-4</v>
      </c>
      <c r="AV1442" s="58">
        <f t="shared" si="497"/>
        <v>4.8675505653430484E-3</v>
      </c>
      <c r="AW1442" s="59">
        <f t="shared" si="498"/>
        <v>1.004867550565343</v>
      </c>
      <c r="AX1442" s="60">
        <f>PRODUCT(AW$4:AW1442)</f>
        <v>1082.9165965433274</v>
      </c>
    </row>
    <row r="1443" spans="45:50">
      <c r="AS1443" s="55">
        <f t="shared" si="496"/>
        <v>120</v>
      </c>
      <c r="AT1443" s="56">
        <f t="shared" si="499"/>
        <v>1440</v>
      </c>
      <c r="AU1443" s="57">
        <f t="shared" si="500"/>
        <v>8.8813449428545334E-4</v>
      </c>
      <c r="AV1443" s="58">
        <f t="shared" si="497"/>
        <v>4.8675505653430484E-3</v>
      </c>
      <c r="AW1443" s="59">
        <f t="shared" si="498"/>
        <v>1.004867550565343</v>
      </c>
      <c r="AX1443" s="60">
        <f>PRODUCT(AW$4:AW1443)</f>
        <v>1088.1877478350511</v>
      </c>
    </row>
    <row r="1444" spans="45:50">
      <c r="AS1444" s="55">
        <f t="shared" si="496"/>
        <v>121</v>
      </c>
      <c r="AT1444" s="56">
        <f t="shared" si="499"/>
        <v>1441</v>
      </c>
      <c r="AU1444" s="57">
        <f t="shared" si="500"/>
        <v>8.8381145472569349E-4</v>
      </c>
      <c r="AV1444" s="58">
        <f t="shared" si="497"/>
        <v>4.8675505653430484E-3</v>
      </c>
      <c r="AW1444" s="59">
        <f t="shared" si="498"/>
        <v>1.004867550565343</v>
      </c>
      <c r="AX1444" s="60">
        <f>PRODUCT(AW$4:AW1444)</f>
        <v>1093.4845567222251</v>
      </c>
    </row>
    <row r="1445" spans="45:50">
      <c r="AS1445" s="55">
        <f t="shared" si="496"/>
        <v>121</v>
      </c>
      <c r="AT1445" s="56">
        <f t="shared" si="499"/>
        <v>1442</v>
      </c>
      <c r="AU1445" s="57">
        <f t="shared" si="500"/>
        <v>8.7950945777958681E-4</v>
      </c>
      <c r="AV1445" s="58">
        <f t="shared" si="497"/>
        <v>4.8675505653430484E-3</v>
      </c>
      <c r="AW1445" s="59">
        <f t="shared" si="498"/>
        <v>1.004867550565343</v>
      </c>
      <c r="AX1445" s="60">
        <f>PRODUCT(AW$4:AW1445)</f>
        <v>1098.8071480944923</v>
      </c>
    </row>
    <row r="1446" spans="45:50">
      <c r="AS1446" s="55">
        <f t="shared" si="496"/>
        <v>121</v>
      </c>
      <c r="AT1446" s="56">
        <f t="shared" si="499"/>
        <v>1443</v>
      </c>
      <c r="AU1446" s="57">
        <f t="shared" si="500"/>
        <v>8.752284010211472E-4</v>
      </c>
      <c r="AV1446" s="58">
        <f t="shared" si="497"/>
        <v>4.8675505653430484E-3</v>
      </c>
      <c r="AW1446" s="59">
        <f t="shared" si="498"/>
        <v>1.004867550565343</v>
      </c>
      <c r="AX1446" s="60">
        <f>PRODUCT(AW$4:AW1446)</f>
        <v>1104.1556474494025</v>
      </c>
    </row>
    <row r="1447" spans="45:50">
      <c r="AS1447" s="55">
        <f t="shared" si="496"/>
        <v>121</v>
      </c>
      <c r="AT1447" s="56">
        <f t="shared" si="499"/>
        <v>1444</v>
      </c>
      <c r="AU1447" s="57">
        <f t="shared" si="500"/>
        <v>8.7096818252295244E-4</v>
      </c>
      <c r="AV1447" s="58">
        <f t="shared" si="497"/>
        <v>4.8675505653430484E-3</v>
      </c>
      <c r="AW1447" s="59">
        <f t="shared" si="498"/>
        <v>1.004867550565343</v>
      </c>
      <c r="AX1447" s="60">
        <f>PRODUCT(AW$4:AW1447)</f>
        <v>1109.5301808953716</v>
      </c>
    </row>
    <row r="1448" spans="45:50">
      <c r="AS1448" s="55">
        <f t="shared" si="496"/>
        <v>121</v>
      </c>
      <c r="AT1448" s="56">
        <f t="shared" si="499"/>
        <v>1445</v>
      </c>
      <c r="AU1448" s="57">
        <f t="shared" si="500"/>
        <v>8.6672870085371706E-4</v>
      </c>
      <c r="AV1448" s="58">
        <f t="shared" si="497"/>
        <v>4.8675505653430484E-3</v>
      </c>
      <c r="AW1448" s="59">
        <f t="shared" si="498"/>
        <v>1.004867550565343</v>
      </c>
      <c r="AX1448" s="60">
        <f>PRODUCT(AW$4:AW1448)</f>
        <v>1114.9308751546541</v>
      </c>
    </row>
    <row r="1449" spans="45:50">
      <c r="AS1449" s="55">
        <f t="shared" si="496"/>
        <v>121</v>
      </c>
      <c r="AT1449" s="56">
        <f t="shared" si="499"/>
        <v>1446</v>
      </c>
      <c r="AU1449" s="57">
        <f t="shared" si="500"/>
        <v>8.6250985507587753E-4</v>
      </c>
      <c r="AV1449" s="58">
        <f t="shared" si="497"/>
        <v>4.8675505653430484E-3</v>
      </c>
      <c r="AW1449" s="59">
        <f t="shared" si="498"/>
        <v>1.004867550565343</v>
      </c>
      <c r="AX1449" s="60">
        <f>PRODUCT(AW$4:AW1449)</f>
        <v>1120.3578575663316</v>
      </c>
    </row>
    <row r="1450" spans="45:50">
      <c r="AS1450" s="55">
        <f t="shared" si="496"/>
        <v>121</v>
      </c>
      <c r="AT1450" s="56">
        <f t="shared" si="499"/>
        <v>1447</v>
      </c>
      <c r="AU1450" s="57">
        <f t="shared" si="500"/>
        <v>8.5831154474318898E-4</v>
      </c>
      <c r="AV1450" s="58">
        <f t="shared" si="497"/>
        <v>4.8675505653430484E-3</v>
      </c>
      <c r="AW1450" s="59">
        <f t="shared" si="498"/>
        <v>1.004867550565343</v>
      </c>
      <c r="AX1450" s="60">
        <f>PRODUCT(AW$4:AW1450)</f>
        <v>1125.8112560893151</v>
      </c>
    </row>
    <row r="1451" spans="45:50">
      <c r="AS1451" s="55">
        <f t="shared" si="496"/>
        <v>121</v>
      </c>
      <c r="AT1451" s="56">
        <f t="shared" si="499"/>
        <v>1448</v>
      </c>
      <c r="AU1451" s="57">
        <f t="shared" si="500"/>
        <v>8.5413366989833383E-4</v>
      </c>
      <c r="AV1451" s="58">
        <f t="shared" si="497"/>
        <v>4.8675505653430484E-3</v>
      </c>
      <c r="AW1451" s="59">
        <f t="shared" si="498"/>
        <v>1.004867550565343</v>
      </c>
      <c r="AX1451" s="60">
        <f>PRODUCT(AW$4:AW1451)</f>
        <v>1131.2911993053622</v>
      </c>
    </row>
    <row r="1452" spans="45:50">
      <c r="AS1452" s="55">
        <f t="shared" si="496"/>
        <v>121</v>
      </c>
      <c r="AT1452" s="56">
        <f t="shared" si="499"/>
        <v>1449</v>
      </c>
      <c r="AU1452" s="57">
        <f t="shared" si="500"/>
        <v>8.4997613107054169E-4</v>
      </c>
      <c r="AV1452" s="58">
        <f t="shared" si="497"/>
        <v>4.8675505653430484E-3</v>
      </c>
      <c r="AW1452" s="59">
        <f t="shared" si="498"/>
        <v>1.004867550565343</v>
      </c>
      <c r="AX1452" s="60">
        <f>PRODUCT(AW$4:AW1452)</f>
        <v>1136.7978164221086</v>
      </c>
    </row>
    <row r="1453" spans="45:50">
      <c r="AS1453" s="55">
        <f t="shared" si="496"/>
        <v>121</v>
      </c>
      <c r="AT1453" s="56">
        <f t="shared" si="499"/>
        <v>1450</v>
      </c>
      <c r="AU1453" s="57">
        <f t="shared" si="500"/>
        <v>8.4583882927322118E-4</v>
      </c>
      <c r="AV1453" s="58">
        <f t="shared" si="497"/>
        <v>4.8675505653430484E-3</v>
      </c>
      <c r="AW1453" s="59">
        <f t="shared" si="498"/>
        <v>1.004867550565343</v>
      </c>
      <c r="AX1453" s="60">
        <f>PRODUCT(AW$4:AW1453)</f>
        <v>1142.3312372761147</v>
      </c>
    </row>
    <row r="1454" spans="45:50">
      <c r="AS1454" s="55">
        <f t="shared" si="496"/>
        <v>121</v>
      </c>
      <c r="AT1454" s="56">
        <f t="shared" si="499"/>
        <v>1451</v>
      </c>
      <c r="AU1454" s="57">
        <f t="shared" si="500"/>
        <v>8.4172166600160318E-4</v>
      </c>
      <c r="AV1454" s="58">
        <f t="shared" si="497"/>
        <v>4.8675505653430484E-3</v>
      </c>
      <c r="AW1454" s="59">
        <f t="shared" si="498"/>
        <v>1.004867550565343</v>
      </c>
      <c r="AX1454" s="60">
        <f>PRODUCT(AW$4:AW1454)</f>
        <v>1147.891592335927</v>
      </c>
    </row>
    <row r="1455" spans="45:50">
      <c r="AS1455" s="55">
        <f t="shared" si="496"/>
        <v>121</v>
      </c>
      <c r="AT1455" s="56">
        <f t="shared" si="499"/>
        <v>1452</v>
      </c>
      <c r="AU1455" s="57">
        <f t="shared" si="500"/>
        <v>8.3762454323039559E-4</v>
      </c>
      <c r="AV1455" s="58">
        <f t="shared" si="497"/>
        <v>4.8675505653430484E-3</v>
      </c>
      <c r="AW1455" s="59">
        <f t="shared" si="498"/>
        <v>1.004867550565343</v>
      </c>
      <c r="AX1455" s="60">
        <f>PRODUCT(AW$4:AW1455)</f>
        <v>1153.4790127051542</v>
      </c>
    </row>
    <row r="1456" spans="45:50">
      <c r="AS1456" s="55">
        <f t="shared" si="496"/>
        <v>122</v>
      </c>
      <c r="AT1456" s="56">
        <f t="shared" si="499"/>
        <v>1453</v>
      </c>
      <c r="AU1456" s="57">
        <f t="shared" si="500"/>
        <v>8.3354736341144928E-4</v>
      </c>
      <c r="AV1456" s="58">
        <f t="shared" si="497"/>
        <v>4.8675505653430484E-3</v>
      </c>
      <c r="AW1456" s="59">
        <f t="shared" si="498"/>
        <v>1.004867550565343</v>
      </c>
      <c r="AX1456" s="60">
        <f>PRODUCT(AW$4:AW1456)</f>
        <v>1159.0936301255585</v>
      </c>
    </row>
    <row r="1457" spans="45:50">
      <c r="AS1457" s="55">
        <f t="shared" si="496"/>
        <v>122</v>
      </c>
      <c r="AT1457" s="56">
        <f t="shared" si="499"/>
        <v>1454</v>
      </c>
      <c r="AU1457" s="57">
        <f t="shared" si="500"/>
        <v>8.2949002947143571E-4</v>
      </c>
      <c r="AV1457" s="58">
        <f t="shared" si="497"/>
        <v>4.8675505653430484E-3</v>
      </c>
      <c r="AW1457" s="59">
        <f t="shared" si="498"/>
        <v>1.004867550565343</v>
      </c>
      <c r="AX1457" s="60">
        <f>PRODUCT(AW$4:AW1457)</f>
        <v>1164.7355769801618</v>
      </c>
    </row>
    <row r="1458" spans="45:50">
      <c r="AS1458" s="55">
        <f t="shared" si="496"/>
        <v>122</v>
      </c>
      <c r="AT1458" s="56">
        <f t="shared" si="499"/>
        <v>1455</v>
      </c>
      <c r="AU1458" s="57">
        <f t="shared" si="500"/>
        <v>8.2545244480953562E-4</v>
      </c>
      <c r="AV1458" s="58">
        <f t="shared" si="497"/>
        <v>4.8675505653430484E-3</v>
      </c>
      <c r="AW1458" s="59">
        <f t="shared" si="498"/>
        <v>1.004867550565343</v>
      </c>
      <c r="AX1458" s="60">
        <f>PRODUCT(AW$4:AW1458)</f>
        <v>1170.4049862963668</v>
      </c>
    </row>
    <row r="1459" spans="45:50">
      <c r="AS1459" s="55">
        <f t="shared" si="496"/>
        <v>122</v>
      </c>
      <c r="AT1459" s="56">
        <f t="shared" si="499"/>
        <v>1456</v>
      </c>
      <c r="AU1459" s="57">
        <f t="shared" si="500"/>
        <v>8.2143451329513915E-4</v>
      </c>
      <c r="AV1459" s="58">
        <f t="shared" si="497"/>
        <v>4.8675505653430484E-3</v>
      </c>
      <c r="AW1459" s="59">
        <f t="shared" si="498"/>
        <v>1.004867550565343</v>
      </c>
      <c r="AX1459" s="60">
        <f>PRODUCT(AW$4:AW1459)</f>
        <v>1176.1019917490939</v>
      </c>
    </row>
    <row r="1460" spans="45:50">
      <c r="AS1460" s="55">
        <f t="shared" si="496"/>
        <v>122</v>
      </c>
      <c r="AT1460" s="56">
        <f t="shared" si="499"/>
        <v>1457</v>
      </c>
      <c r="AU1460" s="57">
        <f t="shared" si="500"/>
        <v>8.1743613926555715E-4</v>
      </c>
      <c r="AV1460" s="58">
        <f t="shared" si="497"/>
        <v>4.8675505653430484E-3</v>
      </c>
      <c r="AW1460" s="59">
        <f t="shared" si="498"/>
        <v>1.004867550565343</v>
      </c>
      <c r="AX1460" s="60">
        <f>PRODUCT(AW$4:AW1460)</f>
        <v>1181.8267276639333</v>
      </c>
    </row>
    <row r="1461" spans="45:50">
      <c r="AS1461" s="55">
        <f t="shared" si="496"/>
        <v>122</v>
      </c>
      <c r="AT1461" s="56">
        <f t="shared" si="499"/>
        <v>1458</v>
      </c>
      <c r="AU1461" s="57">
        <f t="shared" si="500"/>
        <v>8.134572275237433E-4</v>
      </c>
      <c r="AV1461" s="58">
        <f t="shared" si="497"/>
        <v>4.8675505653430484E-3</v>
      </c>
      <c r="AW1461" s="59">
        <f t="shared" si="498"/>
        <v>1.004867550565343</v>
      </c>
      <c r="AX1461" s="60">
        <f>PRODUCT(AW$4:AW1461)</f>
        <v>1187.5793290203114</v>
      </c>
    </row>
    <row r="1462" spans="45:50">
      <c r="AS1462" s="55">
        <f t="shared" si="496"/>
        <v>122</v>
      </c>
      <c r="AT1462" s="56">
        <f t="shared" si="499"/>
        <v>1459</v>
      </c>
      <c r="AU1462" s="57">
        <f t="shared" si="500"/>
        <v>8.0949768333602769E-4</v>
      </c>
      <c r="AV1462" s="58">
        <f t="shared" si="497"/>
        <v>4.8675505653430484E-3</v>
      </c>
      <c r="AW1462" s="59">
        <f t="shared" si="498"/>
        <v>1.004867550565343</v>
      </c>
      <c r="AX1462" s="60">
        <f>PRODUCT(AW$4:AW1462)</f>
        <v>1193.3599314546739</v>
      </c>
    </row>
    <row r="1463" spans="45:50">
      <c r="AS1463" s="55">
        <f t="shared" si="496"/>
        <v>122</v>
      </c>
      <c r="AT1463" s="56">
        <f t="shared" si="499"/>
        <v>1460</v>
      </c>
      <c r="AU1463" s="57">
        <f t="shared" si="500"/>
        <v>8.0555741242986157E-4</v>
      </c>
      <c r="AV1463" s="58">
        <f t="shared" si="497"/>
        <v>4.8675505653430484E-3</v>
      </c>
      <c r="AW1463" s="59">
        <f t="shared" si="498"/>
        <v>1.004867550565343</v>
      </c>
      <c r="AX1463" s="60">
        <f>PRODUCT(AW$4:AW1463)</f>
        <v>1199.1686712636838</v>
      </c>
    </row>
    <row r="1464" spans="45:50">
      <c r="AS1464" s="55">
        <f t="shared" si="496"/>
        <v>122</v>
      </c>
      <c r="AT1464" s="56">
        <f t="shared" si="499"/>
        <v>1461</v>
      </c>
      <c r="AU1464" s="57">
        <f t="shared" si="500"/>
        <v>8.0163632099157229E-4</v>
      </c>
      <c r="AV1464" s="58">
        <f t="shared" si="497"/>
        <v>4.8675505653430484E-3</v>
      </c>
      <c r="AW1464" s="59">
        <f t="shared" si="498"/>
        <v>1.004867550565343</v>
      </c>
      <c r="AX1464" s="60">
        <f>PRODUCT(AW$4:AW1464)</f>
        <v>1205.0056854074351</v>
      </c>
    </row>
    <row r="1465" spans="45:50">
      <c r="AS1465" s="55">
        <f t="shared" si="496"/>
        <v>122</v>
      </c>
      <c r="AT1465" s="56">
        <f t="shared" si="499"/>
        <v>1462</v>
      </c>
      <c r="AU1465" s="57">
        <f t="shared" si="500"/>
        <v>7.9773431566413028E-4</v>
      </c>
      <c r="AV1465" s="58">
        <f t="shared" si="497"/>
        <v>4.8675505653430484E-3</v>
      </c>
      <c r="AW1465" s="59">
        <f t="shared" si="498"/>
        <v>1.004867550565343</v>
      </c>
      <c r="AX1465" s="60">
        <f>PRODUCT(AW$4:AW1465)</f>
        <v>1210.8711115126816</v>
      </c>
    </row>
    <row r="1466" spans="45:50">
      <c r="AS1466" s="55">
        <f t="shared" si="496"/>
        <v>122</v>
      </c>
      <c r="AT1466" s="56">
        <f t="shared" si="499"/>
        <v>1463</v>
      </c>
      <c r="AU1466" s="57">
        <f t="shared" si="500"/>
        <v>7.9385130354492578E-4</v>
      </c>
      <c r="AV1466" s="58">
        <f t="shared" si="497"/>
        <v>4.8675505653430484E-3</v>
      </c>
      <c r="AW1466" s="59">
        <f t="shared" si="498"/>
        <v>1.004867550565343</v>
      </c>
      <c r="AX1466" s="60">
        <f>PRODUCT(AW$4:AW1466)</f>
        <v>1216.7650878760828</v>
      </c>
    </row>
    <row r="1467" spans="45:50">
      <c r="AS1467" s="55">
        <f t="shared" si="496"/>
        <v>122</v>
      </c>
      <c r="AT1467" s="56">
        <f t="shared" si="499"/>
        <v>1464</v>
      </c>
      <c r="AU1467" s="57">
        <f t="shared" si="500"/>
        <v>7.899871921835574E-4</v>
      </c>
      <c r="AV1467" s="58">
        <f t="shared" si="497"/>
        <v>4.8675505653430484E-3</v>
      </c>
      <c r="AW1467" s="59">
        <f t="shared" si="498"/>
        <v>1.004867550565343</v>
      </c>
      <c r="AX1467" s="60">
        <f>PRODUCT(AW$4:AW1467)</f>
        <v>1222.6877534674638</v>
      </c>
    </row>
    <row r="1468" spans="45:50">
      <c r="AS1468" s="55">
        <f t="shared" si="496"/>
        <v>123</v>
      </c>
      <c r="AT1468" s="56">
        <f t="shared" si="499"/>
        <v>1465</v>
      </c>
      <c r="AU1468" s="57">
        <f t="shared" si="500"/>
        <v>7.8614188957963052E-4</v>
      </c>
      <c r="AV1468" s="58">
        <f t="shared" si="497"/>
        <v>4.8675505653430484E-3</v>
      </c>
      <c r="AW1468" s="59">
        <f t="shared" si="498"/>
        <v>1.004867550565343</v>
      </c>
      <c r="AX1468" s="60">
        <f>PRODUCT(AW$4:AW1468)</f>
        <v>1228.6392479330925</v>
      </c>
    </row>
    <row r="1469" spans="45:50">
      <c r="AS1469" s="55">
        <f t="shared" si="496"/>
        <v>123</v>
      </c>
      <c r="AT1469" s="56">
        <f t="shared" si="499"/>
        <v>1466</v>
      </c>
      <c r="AU1469" s="57">
        <f t="shared" si="500"/>
        <v>7.8231530418056735E-4</v>
      </c>
      <c r="AV1469" s="58">
        <f t="shared" si="497"/>
        <v>4.8675505653430484E-3</v>
      </c>
      <c r="AW1469" s="59">
        <f t="shared" si="498"/>
        <v>1.004867550565343</v>
      </c>
      <c r="AX1469" s="60">
        <f>PRODUCT(AW$4:AW1469)</f>
        <v>1234.6197115989719</v>
      </c>
    </row>
    <row r="1470" spans="45:50">
      <c r="AS1470" s="55">
        <f t="shared" si="496"/>
        <v>123</v>
      </c>
      <c r="AT1470" s="56">
        <f t="shared" si="499"/>
        <v>1467</v>
      </c>
      <c r="AU1470" s="57">
        <f t="shared" si="500"/>
        <v>7.7850734487942667E-4</v>
      </c>
      <c r="AV1470" s="58">
        <f t="shared" si="497"/>
        <v>4.8675505653430484E-3</v>
      </c>
      <c r="AW1470" s="59">
        <f t="shared" si="498"/>
        <v>1.004867550565343</v>
      </c>
      <c r="AX1470" s="60">
        <f>PRODUCT(AW$4:AW1470)</f>
        <v>1240.6292854741491</v>
      </c>
    </row>
    <row r="1471" spans="45:50">
      <c r="AS1471" s="55">
        <f t="shared" si="496"/>
        <v>123</v>
      </c>
      <c r="AT1471" s="56">
        <f t="shared" si="499"/>
        <v>1468</v>
      </c>
      <c r="AU1471" s="57">
        <f t="shared" si="500"/>
        <v>7.7471792101273512E-4</v>
      </c>
      <c r="AV1471" s="58">
        <f t="shared" si="497"/>
        <v>4.8675505653430484E-3</v>
      </c>
      <c r="AW1471" s="59">
        <f t="shared" si="498"/>
        <v>1.004867550565343</v>
      </c>
      <c r="AX1471" s="60">
        <f>PRODUCT(AW$4:AW1471)</f>
        <v>1246.66811125404</v>
      </c>
    </row>
    <row r="1472" spans="45:50">
      <c r="AS1472" s="55">
        <f t="shared" si="496"/>
        <v>123</v>
      </c>
      <c r="AT1472" s="56">
        <f t="shared" si="499"/>
        <v>1469</v>
      </c>
      <c r="AU1472" s="57">
        <f t="shared" si="500"/>
        <v>7.709469423583282E-4</v>
      </c>
      <c r="AV1472" s="58">
        <f t="shared" si="497"/>
        <v>4.8675505653430484E-3</v>
      </c>
      <c r="AW1472" s="59">
        <f t="shared" si="498"/>
        <v>1.004867550565343</v>
      </c>
      <c r="AX1472" s="60">
        <f>PRODUCT(AW$4:AW1472)</f>
        <v>1252.7363313237697</v>
      </c>
    </row>
    <row r="1473" spans="45:50">
      <c r="AS1473" s="55">
        <f t="shared" si="496"/>
        <v>123</v>
      </c>
      <c r="AT1473" s="56">
        <f t="shared" si="499"/>
        <v>1470</v>
      </c>
      <c r="AU1473" s="57">
        <f t="shared" si="500"/>
        <v>7.6719431913320241E-4</v>
      </c>
      <c r="AV1473" s="58">
        <f t="shared" si="497"/>
        <v>4.8675505653430484E-3</v>
      </c>
      <c r="AW1473" s="59">
        <f t="shared" si="498"/>
        <v>1.004867550565343</v>
      </c>
      <c r="AX1473" s="60">
        <f>PRODUCT(AW$4:AW1473)</f>
        <v>1258.8340887615304</v>
      </c>
    </row>
    <row r="1474" spans="45:50">
      <c r="AS1474" s="55">
        <f t="shared" si="496"/>
        <v>123</v>
      </c>
      <c r="AT1474" s="56">
        <f t="shared" si="499"/>
        <v>1471</v>
      </c>
      <c r="AU1474" s="57">
        <f t="shared" si="500"/>
        <v>7.6345996199137759E-4</v>
      </c>
      <c r="AV1474" s="58">
        <f t="shared" si="497"/>
        <v>4.8675505653430484E-3</v>
      </c>
      <c r="AW1474" s="59">
        <f t="shared" si="498"/>
        <v>1.004867550565343</v>
      </c>
      <c r="AX1474" s="60">
        <f>PRODUCT(AW$4:AW1474)</f>
        <v>1264.9615273419547</v>
      </c>
    </row>
    <row r="1475" spans="45:50">
      <c r="AS1475" s="55">
        <f t="shared" si="496"/>
        <v>123</v>
      </c>
      <c r="AT1475" s="56">
        <f t="shared" si="499"/>
        <v>1472</v>
      </c>
      <c r="AU1475" s="57">
        <f t="shared" si="500"/>
        <v>7.5974378202176972E-4</v>
      </c>
      <c r="AV1475" s="58">
        <f t="shared" si="497"/>
        <v>4.8675505653430484E-3</v>
      </c>
      <c r="AW1475" s="59">
        <f t="shared" si="498"/>
        <v>1.004867550565343</v>
      </c>
      <c r="AX1475" s="60">
        <f>PRODUCT(AW$4:AW1475)</f>
        <v>1271.1187915395053</v>
      </c>
    </row>
    <row r="1476" spans="45:50">
      <c r="AS1476" s="55">
        <f t="shared" si="496"/>
        <v>123</v>
      </c>
      <c r="AT1476" s="56">
        <f t="shared" si="499"/>
        <v>1473</v>
      </c>
      <c r="AU1476" s="57">
        <f t="shared" si="500"/>
        <v>7.5604569074607384E-4</v>
      </c>
      <c r="AV1476" s="58">
        <f t="shared" si="497"/>
        <v>4.8675505653430484E-3</v>
      </c>
      <c r="AW1476" s="59">
        <f t="shared" si="498"/>
        <v>1.004867550565343</v>
      </c>
      <c r="AX1476" s="60">
        <f>PRODUCT(AW$4:AW1476)</f>
        <v>1277.3060265318816</v>
      </c>
    </row>
    <row r="1477" spans="45:50">
      <c r="AS1477" s="55">
        <f t="shared" ref="AS1477:AS1540" si="501">ROUNDDOWN((AT1477-1)/12,0)+1</f>
        <v>123</v>
      </c>
      <c r="AT1477" s="56">
        <f t="shared" si="499"/>
        <v>1474</v>
      </c>
      <c r="AU1477" s="57">
        <f t="shared" si="500"/>
        <v>7.523656001166576E-4</v>
      </c>
      <c r="AV1477" s="58">
        <f t="shared" ref="AV1477:AV1540" si="502">((1+$AV$1)^(1/12))-1</f>
        <v>4.8675505653430484E-3</v>
      </c>
      <c r="AW1477" s="59">
        <f t="shared" ref="AW1477:AW1540" si="503">(1+AV1477)</f>
        <v>1.004867550565343</v>
      </c>
      <c r="AX1477" s="60">
        <f>PRODUCT(AW$4:AW1477)</f>
        <v>1283.5233782034429</v>
      </c>
    </row>
    <row r="1478" spans="45:50">
      <c r="AS1478" s="55">
        <f t="shared" si="501"/>
        <v>123</v>
      </c>
      <c r="AT1478" s="56">
        <f t="shared" ref="AT1478:AT1541" si="504">AT1477+1</f>
        <v>1475</v>
      </c>
      <c r="AU1478" s="57">
        <f t="shared" si="500"/>
        <v>7.4870342251446512E-4</v>
      </c>
      <c r="AV1478" s="58">
        <f t="shared" si="502"/>
        <v>4.8675505653430484E-3</v>
      </c>
      <c r="AW1478" s="59">
        <f t="shared" si="503"/>
        <v>1.004867550565343</v>
      </c>
      <c r="AX1478" s="60">
        <f>PRODUCT(AW$4:AW1478)</f>
        <v>1289.7709931486481</v>
      </c>
    </row>
    <row r="1479" spans="45:50">
      <c r="AS1479" s="55">
        <f t="shared" si="501"/>
        <v>123</v>
      </c>
      <c r="AT1479" s="56">
        <f t="shared" si="504"/>
        <v>1476</v>
      </c>
      <c r="AU1479" s="57">
        <f t="shared" si="500"/>
        <v>7.4505907074693051E-4</v>
      </c>
      <c r="AV1479" s="58">
        <f t="shared" si="502"/>
        <v>4.8675505653430484E-3</v>
      </c>
      <c r="AW1479" s="59">
        <f t="shared" si="503"/>
        <v>1.004867550565343</v>
      </c>
      <c r="AX1479" s="60">
        <f>PRODUCT(AW$4:AW1479)</f>
        <v>1296.0490186755119</v>
      </c>
    </row>
    <row r="1480" spans="45:50">
      <c r="AS1480" s="55">
        <f t="shared" si="501"/>
        <v>124</v>
      </c>
      <c r="AT1480" s="56">
        <f t="shared" si="504"/>
        <v>1477</v>
      </c>
      <c r="AU1480" s="57">
        <f t="shared" si="500"/>
        <v>7.414324580459023E-4</v>
      </c>
      <c r="AV1480" s="58">
        <f t="shared" si="502"/>
        <v>4.8675505653430484E-3</v>
      </c>
      <c r="AW1480" s="59">
        <f t="shared" si="503"/>
        <v>1.004867550565343</v>
      </c>
      <c r="AX1480" s="60">
        <f>PRODUCT(AW$4:AW1480)</f>
        <v>1302.3576028090781</v>
      </c>
    </row>
    <row r="1481" spans="45:50">
      <c r="AS1481" s="55">
        <f t="shared" si="501"/>
        <v>124</v>
      </c>
      <c r="AT1481" s="56">
        <f t="shared" si="504"/>
        <v>1478</v>
      </c>
      <c r="AU1481" s="57">
        <f t="shared" si="500"/>
        <v>7.3782349806557725E-4</v>
      </c>
      <c r="AV1481" s="58">
        <f t="shared" si="502"/>
        <v>4.8675505653430484E-3</v>
      </c>
      <c r="AW1481" s="59">
        <f t="shared" si="503"/>
        <v>1.004867550565343</v>
      </c>
      <c r="AX1481" s="60">
        <f>PRODUCT(AW$4:AW1481)</f>
        <v>1308.6968942949102</v>
      </c>
    </row>
    <row r="1482" spans="45:50">
      <c r="AS1482" s="55">
        <f t="shared" si="501"/>
        <v>124</v>
      </c>
      <c r="AT1482" s="56">
        <f t="shared" si="504"/>
        <v>1479</v>
      </c>
      <c r="AU1482" s="57">
        <f t="shared" si="500"/>
        <v>7.3423210488044474E-4</v>
      </c>
      <c r="AV1482" s="58">
        <f t="shared" si="502"/>
        <v>4.8675505653430484E-3</v>
      </c>
      <c r="AW1482" s="59">
        <f t="shared" si="503"/>
        <v>1.004867550565343</v>
      </c>
      <c r="AX1482" s="60">
        <f>PRODUCT(AW$4:AW1482)</f>
        <v>1315.0670426025981</v>
      </c>
    </row>
    <row r="1483" spans="45:50">
      <c r="AS1483" s="55">
        <f t="shared" si="501"/>
        <v>124</v>
      </c>
      <c r="AT1483" s="56">
        <f t="shared" si="504"/>
        <v>1480</v>
      </c>
      <c r="AU1483" s="57">
        <f t="shared" si="500"/>
        <v>7.3065819298324096E-4</v>
      </c>
      <c r="AV1483" s="58">
        <f t="shared" si="502"/>
        <v>4.8675505653430484E-3</v>
      </c>
      <c r="AW1483" s="59">
        <f t="shared" si="503"/>
        <v>1.004867550565343</v>
      </c>
      <c r="AX1483" s="60">
        <f>PRODUCT(AW$4:AW1483)</f>
        <v>1321.4681979292825</v>
      </c>
    </row>
    <row r="1484" spans="45:50">
      <c r="AS1484" s="55">
        <f t="shared" si="501"/>
        <v>124</v>
      </c>
      <c r="AT1484" s="56">
        <f t="shared" si="504"/>
        <v>1481</v>
      </c>
      <c r="AU1484" s="57">
        <f t="shared" si="500"/>
        <v>7.2710167728291288E-4</v>
      </c>
      <c r="AV1484" s="58">
        <f t="shared" si="502"/>
        <v>4.8675505653430484E-3</v>
      </c>
      <c r="AW1484" s="59">
        <f t="shared" si="503"/>
        <v>1.004867550565343</v>
      </c>
      <c r="AX1484" s="60">
        <f>PRODUCT(AW$4:AW1484)</f>
        <v>1327.9005112031959</v>
      </c>
    </row>
    <row r="1485" spans="45:50">
      <c r="AS1485" s="55">
        <f t="shared" si="501"/>
        <v>124</v>
      </c>
      <c r="AT1485" s="56">
        <f t="shared" si="504"/>
        <v>1482</v>
      </c>
      <c r="AU1485" s="57">
        <f t="shared" si="500"/>
        <v>7.2356247310259255E-4</v>
      </c>
      <c r="AV1485" s="58">
        <f t="shared" si="502"/>
        <v>4.8675505653430484E-3</v>
      </c>
      <c r="AW1485" s="59">
        <f t="shared" si="503"/>
        <v>1.004867550565343</v>
      </c>
      <c r="AX1485" s="60">
        <f>PRODUCT(AW$4:AW1485)</f>
        <v>1334.3641340872223</v>
      </c>
    </row>
    <row r="1486" spans="45:50">
      <c r="AS1486" s="55">
        <f t="shared" si="501"/>
        <v>124</v>
      </c>
      <c r="AT1486" s="56">
        <f t="shared" si="504"/>
        <v>1483</v>
      </c>
      <c r="AU1486" s="57">
        <f t="shared" si="500"/>
        <v>7.2004049617758103E-4</v>
      </c>
      <c r="AV1486" s="58">
        <f t="shared" si="502"/>
        <v>4.8675505653430484E-3</v>
      </c>
      <c r="AW1486" s="59">
        <f t="shared" si="503"/>
        <v>1.004867550565343</v>
      </c>
      <c r="AX1486" s="60">
        <f>PRODUCT(AW$4:AW1486)</f>
        <v>1340.8592189824719</v>
      </c>
    </row>
    <row r="1487" spans="45:50">
      <c r="AS1487" s="55">
        <f t="shared" si="501"/>
        <v>124</v>
      </c>
      <c r="AT1487" s="56">
        <f t="shared" si="504"/>
        <v>1484</v>
      </c>
      <c r="AU1487" s="57">
        <f t="shared" si="500"/>
        <v>7.1653566265334194E-4</v>
      </c>
      <c r="AV1487" s="58">
        <f t="shared" si="502"/>
        <v>4.8675505653430484E-3</v>
      </c>
      <c r="AW1487" s="59">
        <f t="shared" si="503"/>
        <v>1.004867550565343</v>
      </c>
      <c r="AX1487" s="60">
        <f>PRODUCT(AW$4:AW1487)</f>
        <v>1347.3859190318756</v>
      </c>
    </row>
    <row r="1488" spans="45:50">
      <c r="AS1488" s="55">
        <f t="shared" si="501"/>
        <v>124</v>
      </c>
      <c r="AT1488" s="56">
        <f t="shared" si="504"/>
        <v>1485</v>
      </c>
      <c r="AU1488" s="57">
        <f t="shared" si="500"/>
        <v>7.1304788908350524E-4</v>
      </c>
      <c r="AV1488" s="58">
        <f t="shared" si="502"/>
        <v>4.8675505653430484E-3</v>
      </c>
      <c r="AW1488" s="59">
        <f t="shared" si="503"/>
        <v>1.004867550565343</v>
      </c>
      <c r="AX1488" s="60">
        <f>PRODUCT(AW$4:AW1488)</f>
        <v>1353.9443881237944</v>
      </c>
    </row>
    <row r="1489" spans="45:50">
      <c r="AS1489" s="55">
        <f t="shared" si="501"/>
        <v>124</v>
      </c>
      <c r="AT1489" s="56">
        <f t="shared" si="504"/>
        <v>1486</v>
      </c>
      <c r="AU1489" s="57">
        <f t="shared" si="500"/>
        <v>7.0957709242788021E-4</v>
      </c>
      <c r="AV1489" s="58">
        <f t="shared" si="502"/>
        <v>4.8675505653430484E-3</v>
      </c>
      <c r="AW1489" s="59">
        <f t="shared" si="503"/>
        <v>1.004867550565343</v>
      </c>
      <c r="AX1489" s="60">
        <f>PRODUCT(AW$4:AW1489)</f>
        <v>1360.5347808956494</v>
      </c>
    </row>
    <row r="1490" spans="45:50">
      <c r="AS1490" s="55">
        <f t="shared" si="501"/>
        <v>124</v>
      </c>
      <c r="AT1490" s="56">
        <f t="shared" si="504"/>
        <v>1487</v>
      </c>
      <c r="AU1490" s="57">
        <f t="shared" si="500"/>
        <v>7.0612319005047841E-4</v>
      </c>
      <c r="AV1490" s="58">
        <f t="shared" si="502"/>
        <v>4.8675505653430484E-3</v>
      </c>
      <c r="AW1490" s="59">
        <f t="shared" si="503"/>
        <v>1.004867550565343</v>
      </c>
      <c r="AX1490" s="60">
        <f>PRODUCT(AW$4:AW1490)</f>
        <v>1367.157252737567</v>
      </c>
    </row>
    <row r="1491" spans="45:50">
      <c r="AS1491" s="55">
        <f t="shared" si="501"/>
        <v>124</v>
      </c>
      <c r="AT1491" s="56">
        <f t="shared" si="504"/>
        <v>1488</v>
      </c>
      <c r="AU1491" s="57">
        <f t="shared" si="500"/>
        <v>7.026860997175464E-4</v>
      </c>
      <c r="AV1491" s="58">
        <f t="shared" si="502"/>
        <v>4.8675505653430484E-3</v>
      </c>
      <c r="AW1491" s="59">
        <f t="shared" si="503"/>
        <v>1.004867550565343</v>
      </c>
      <c r="AX1491" s="60">
        <f>PRODUCT(AW$4:AW1491)</f>
        <v>1373.8119597960426</v>
      </c>
    </row>
    <row r="1492" spans="45:50">
      <c r="AS1492" s="55">
        <f t="shared" si="501"/>
        <v>125</v>
      </c>
      <c r="AT1492" s="56">
        <f t="shared" si="504"/>
        <v>1489</v>
      </c>
      <c r="AU1492" s="57">
        <f t="shared" si="500"/>
        <v>6.9926573959560754E-4</v>
      </c>
      <c r="AV1492" s="58">
        <f t="shared" si="502"/>
        <v>4.8675505653430484E-3</v>
      </c>
      <c r="AW1492" s="59">
        <f t="shared" si="503"/>
        <v>1.004867550565343</v>
      </c>
      <c r="AX1492" s="60">
        <f>PRODUCT(AW$4:AW1492)</f>
        <v>1380.499058977623</v>
      </c>
    </row>
    <row r="1493" spans="45:50">
      <c r="AS1493" s="55">
        <f t="shared" si="501"/>
        <v>125</v>
      </c>
      <c r="AT1493" s="56">
        <f t="shared" si="504"/>
        <v>1490</v>
      </c>
      <c r="AU1493" s="57">
        <f t="shared" si="500"/>
        <v>6.9586202824951395E-4</v>
      </c>
      <c r="AV1493" s="58">
        <f t="shared" si="502"/>
        <v>4.8675505653430484E-3</v>
      </c>
      <c r="AW1493" s="59">
        <f t="shared" si="503"/>
        <v>1.004867550565343</v>
      </c>
      <c r="AX1493" s="60">
        <f>PRODUCT(AW$4:AW1493)</f>
        <v>1387.218707952605</v>
      </c>
    </row>
    <row r="1494" spans="45:50">
      <c r="AS1494" s="55">
        <f t="shared" si="501"/>
        <v>125</v>
      </c>
      <c r="AT1494" s="56">
        <f t="shared" si="504"/>
        <v>1491</v>
      </c>
      <c r="AU1494" s="57">
        <f t="shared" si="500"/>
        <v>6.9247488464050722E-4</v>
      </c>
      <c r="AV1494" s="58">
        <f t="shared" si="502"/>
        <v>4.8675505653430484E-3</v>
      </c>
      <c r="AW1494" s="59">
        <f t="shared" si="503"/>
        <v>1.004867550565343</v>
      </c>
      <c r="AX1494" s="60">
        <f>PRODUCT(AW$4:AW1494)</f>
        <v>1393.9710651587541</v>
      </c>
    </row>
    <row r="1495" spans="45:50">
      <c r="AS1495" s="55">
        <f t="shared" si="501"/>
        <v>125</v>
      </c>
      <c r="AT1495" s="56">
        <f t="shared" si="504"/>
        <v>1492</v>
      </c>
      <c r="AU1495" s="57">
        <f t="shared" ref="AU1495:AU1558" si="505">(1-AV1495)*AU1494</f>
        <v>6.8910422812428949E-4</v>
      </c>
      <c r="AV1495" s="58">
        <f t="shared" si="502"/>
        <v>4.8675505653430484E-3</v>
      </c>
      <c r="AW1495" s="59">
        <f t="shared" si="503"/>
        <v>1.004867550565343</v>
      </c>
      <c r="AX1495" s="60">
        <f>PRODUCT(AW$4:AW1495)</f>
        <v>1400.7562898050394</v>
      </c>
    </row>
    <row r="1496" spans="45:50">
      <c r="AS1496" s="55">
        <f t="shared" si="501"/>
        <v>125</v>
      </c>
      <c r="AT1496" s="56">
        <f t="shared" si="504"/>
        <v>1493</v>
      </c>
      <c r="AU1496" s="57">
        <f t="shared" si="505"/>
        <v>6.8574997844910281E-4</v>
      </c>
      <c r="AV1496" s="58">
        <f t="shared" si="502"/>
        <v>4.8675505653430484E-3</v>
      </c>
      <c r="AW1496" s="59">
        <f t="shared" si="503"/>
        <v>1.004867550565343</v>
      </c>
      <c r="AX1496" s="60">
        <f>PRODUCT(AW$4:AW1496)</f>
        <v>1407.5745418753877</v>
      </c>
    </row>
    <row r="1497" spans="45:50">
      <c r="AS1497" s="55">
        <f t="shared" si="501"/>
        <v>125</v>
      </c>
      <c r="AT1497" s="56">
        <f t="shared" si="504"/>
        <v>1494</v>
      </c>
      <c r="AU1497" s="57">
        <f t="shared" si="505"/>
        <v>6.8241205575381885E-4</v>
      </c>
      <c r="AV1497" s="58">
        <f t="shared" si="502"/>
        <v>4.8675505653430484E-3</v>
      </c>
      <c r="AW1497" s="59">
        <f t="shared" si="503"/>
        <v>1.004867550565343</v>
      </c>
      <c r="AX1497" s="60">
        <f>PRODUCT(AW$4:AW1497)</f>
        <v>1414.4259821324558</v>
      </c>
    </row>
    <row r="1498" spans="45:50">
      <c r="AS1498" s="55">
        <f t="shared" si="501"/>
        <v>125</v>
      </c>
      <c r="AT1498" s="56">
        <f t="shared" si="504"/>
        <v>1495</v>
      </c>
      <c r="AU1498" s="57">
        <f t="shared" si="505"/>
        <v>6.7909038056603748E-4</v>
      </c>
      <c r="AV1498" s="58">
        <f t="shared" si="502"/>
        <v>4.8675505653430484E-3</v>
      </c>
      <c r="AW1498" s="59">
        <f t="shared" si="503"/>
        <v>1.004867550565343</v>
      </c>
      <c r="AX1498" s="60">
        <f>PRODUCT(AW$4:AW1498)</f>
        <v>1421.3107721214205</v>
      </c>
    </row>
    <row r="1499" spans="45:50">
      <c r="AS1499" s="55">
        <f t="shared" si="501"/>
        <v>125</v>
      </c>
      <c r="AT1499" s="56">
        <f t="shared" si="504"/>
        <v>1496</v>
      </c>
      <c r="AU1499" s="57">
        <f t="shared" si="505"/>
        <v>6.7578487380019422E-4</v>
      </c>
      <c r="AV1499" s="58">
        <f t="shared" si="502"/>
        <v>4.8675505653430484E-3</v>
      </c>
      <c r="AW1499" s="59">
        <f t="shared" si="503"/>
        <v>1.004867550565343</v>
      </c>
      <c r="AX1499" s="60">
        <f>PRODUCT(AW$4:AW1499)</f>
        <v>1428.2290741737884</v>
      </c>
    </row>
    <row r="1500" spans="45:50">
      <c r="AS1500" s="55">
        <f t="shared" si="501"/>
        <v>125</v>
      </c>
      <c r="AT1500" s="56">
        <f t="shared" si="504"/>
        <v>1497</v>
      </c>
      <c r="AU1500" s="57">
        <f t="shared" si="505"/>
        <v>6.7249545675567783E-4</v>
      </c>
      <c r="AV1500" s="58">
        <f t="shared" si="502"/>
        <v>4.8675505653430484E-3</v>
      </c>
      <c r="AW1500" s="59">
        <f t="shared" si="503"/>
        <v>1.004867550565343</v>
      </c>
      <c r="AX1500" s="60">
        <f>PRODUCT(AW$4:AW1500)</f>
        <v>1435.1810514112224</v>
      </c>
    </row>
    <row r="1501" spans="45:50">
      <c r="AS1501" s="55">
        <f t="shared" si="501"/>
        <v>125</v>
      </c>
      <c r="AT1501" s="56">
        <f t="shared" si="504"/>
        <v>1498</v>
      </c>
      <c r="AU1501" s="57">
        <f t="shared" si="505"/>
        <v>6.6922205111495604E-4</v>
      </c>
      <c r="AV1501" s="58">
        <f t="shared" si="502"/>
        <v>4.8675505653430484E-3</v>
      </c>
      <c r="AW1501" s="59">
        <f t="shared" si="503"/>
        <v>1.004867550565343</v>
      </c>
      <c r="AX1501" s="60">
        <f>PRODUCT(AW$4:AW1501)</f>
        <v>1442.1668677493888</v>
      </c>
    </row>
    <row r="1502" spans="45:50">
      <c r="AS1502" s="55">
        <f t="shared" si="501"/>
        <v>125</v>
      </c>
      <c r="AT1502" s="56">
        <f t="shared" si="504"/>
        <v>1499</v>
      </c>
      <c r="AU1502" s="57">
        <f t="shared" si="505"/>
        <v>6.6596457894171142E-4</v>
      </c>
      <c r="AV1502" s="58">
        <f t="shared" si="502"/>
        <v>4.8675505653430484E-3</v>
      </c>
      <c r="AW1502" s="59">
        <f t="shared" si="503"/>
        <v>1.004867550565343</v>
      </c>
      <c r="AX1502" s="60">
        <f>PRODUCT(AW$4:AW1502)</f>
        <v>1449.1866879018214</v>
      </c>
    </row>
    <row r="1503" spans="45:50">
      <c r="AS1503" s="55">
        <f t="shared" si="501"/>
        <v>125</v>
      </c>
      <c r="AT1503" s="56">
        <f t="shared" si="504"/>
        <v>1500</v>
      </c>
      <c r="AU1503" s="57">
        <f t="shared" si="505"/>
        <v>6.6272296267898528E-4</v>
      </c>
      <c r="AV1503" s="58">
        <f t="shared" si="502"/>
        <v>4.8675505653430484E-3</v>
      </c>
      <c r="AW1503" s="59">
        <f t="shared" si="503"/>
        <v>1.004867550565343</v>
      </c>
      <c r="AX1503" s="60">
        <f>PRODUCT(AW$4:AW1503)</f>
        <v>1456.2406773838056</v>
      </c>
    </row>
    <row r="1504" spans="45:50">
      <c r="AS1504" s="55">
        <f t="shared" si="501"/>
        <v>126</v>
      </c>
      <c r="AT1504" s="56">
        <f t="shared" si="504"/>
        <v>1501</v>
      </c>
      <c r="AU1504" s="57">
        <f t="shared" si="505"/>
        <v>6.594971251473314E-4</v>
      </c>
      <c r="AV1504" s="58">
        <f t="shared" si="502"/>
        <v>4.8675505653430484E-3</v>
      </c>
      <c r="AW1504" s="59">
        <f t="shared" si="503"/>
        <v>1.004867550565343</v>
      </c>
      <c r="AX1504" s="60">
        <f>PRODUCT(AW$4:AW1504)</f>
        <v>1463.3290025162808</v>
      </c>
    </row>
    <row r="1505" spans="45:50">
      <c r="AS1505" s="55">
        <f t="shared" si="501"/>
        <v>126</v>
      </c>
      <c r="AT1505" s="56">
        <f t="shared" si="504"/>
        <v>1502</v>
      </c>
      <c r="AU1505" s="57">
        <f t="shared" si="505"/>
        <v>6.5628698954297844E-4</v>
      </c>
      <c r="AV1505" s="58">
        <f t="shared" si="502"/>
        <v>4.8675505653430484E-3</v>
      </c>
      <c r="AW1505" s="59">
        <f t="shared" si="503"/>
        <v>1.004867550565343</v>
      </c>
      <c r="AX1505" s="60">
        <f>PRODUCT(AW$4:AW1505)</f>
        <v>1470.4518304297617</v>
      </c>
    </row>
    <row r="1506" spans="45:50">
      <c r="AS1506" s="55">
        <f t="shared" si="501"/>
        <v>126</v>
      </c>
      <c r="AT1506" s="56">
        <f t="shared" si="504"/>
        <v>1503</v>
      </c>
      <c r="AU1506" s="57">
        <f t="shared" si="505"/>
        <v>6.5309247943600118E-4</v>
      </c>
      <c r="AV1506" s="58">
        <f t="shared" si="502"/>
        <v>4.8675505653430484E-3</v>
      </c>
      <c r="AW1506" s="59">
        <f t="shared" si="503"/>
        <v>1.004867550565343</v>
      </c>
      <c r="AX1506" s="60">
        <f>PRODUCT(AW$4:AW1506)</f>
        <v>1477.6093290682797</v>
      </c>
    </row>
    <row r="1507" spans="45:50">
      <c r="AS1507" s="55">
        <f t="shared" si="501"/>
        <v>126</v>
      </c>
      <c r="AT1507" s="56">
        <f t="shared" si="504"/>
        <v>1504</v>
      </c>
      <c r="AU1507" s="57">
        <f t="shared" si="505"/>
        <v>6.4991351876850115E-4</v>
      </c>
      <c r="AV1507" s="58">
        <f t="shared" si="502"/>
        <v>4.8675505653430484E-3</v>
      </c>
      <c r="AW1507" s="59">
        <f t="shared" si="503"/>
        <v>1.004867550565343</v>
      </c>
      <c r="AX1507" s="60">
        <f>PRODUCT(AW$4:AW1507)</f>
        <v>1484.8016671933422</v>
      </c>
    </row>
    <row r="1508" spans="45:50">
      <c r="AS1508" s="55">
        <f t="shared" si="501"/>
        <v>126</v>
      </c>
      <c r="AT1508" s="56">
        <f t="shared" si="504"/>
        <v>1505</v>
      </c>
      <c r="AU1508" s="57">
        <f t="shared" si="505"/>
        <v>6.4675003185279544E-4</v>
      </c>
      <c r="AV1508" s="58">
        <f t="shared" si="502"/>
        <v>4.8675505653430484E-3</v>
      </c>
      <c r="AW1508" s="59">
        <f t="shared" si="503"/>
        <v>1.004867550565343</v>
      </c>
      <c r="AX1508" s="60">
        <f>PRODUCT(AW$4:AW1508)</f>
        <v>1492.0290143879115</v>
      </c>
    </row>
    <row r="1509" spans="45:50">
      <c r="AS1509" s="55">
        <f t="shared" si="501"/>
        <v>126</v>
      </c>
      <c r="AT1509" s="56">
        <f t="shared" si="504"/>
        <v>1506</v>
      </c>
      <c r="AU1509" s="57">
        <f t="shared" si="505"/>
        <v>6.4360194336961468E-4</v>
      </c>
      <c r="AV1509" s="58">
        <f t="shared" si="502"/>
        <v>4.8675505653430484E-3</v>
      </c>
      <c r="AW1509" s="59">
        <f t="shared" si="503"/>
        <v>1.004867550565343</v>
      </c>
      <c r="AX1509" s="60">
        <f>PRODUCT(AW$4:AW1509)</f>
        <v>1499.2915410604037</v>
      </c>
    </row>
    <row r="1510" spans="45:50">
      <c r="AS1510" s="55">
        <f t="shared" si="501"/>
        <v>126</v>
      </c>
      <c r="AT1510" s="56">
        <f t="shared" si="504"/>
        <v>1507</v>
      </c>
      <c r="AU1510" s="57">
        <f t="shared" si="505"/>
        <v>6.4046917836631007E-4</v>
      </c>
      <c r="AV1510" s="58">
        <f t="shared" si="502"/>
        <v>4.8675505653430484E-3</v>
      </c>
      <c r="AW1510" s="59">
        <f t="shared" si="503"/>
        <v>1.004867550565343</v>
      </c>
      <c r="AX1510" s="60">
        <f>PRODUCT(AW$4:AW1510)</f>
        <v>1506.5894184487063</v>
      </c>
    </row>
    <row r="1511" spans="45:50">
      <c r="AS1511" s="55">
        <f t="shared" si="501"/>
        <v>126</v>
      </c>
      <c r="AT1511" s="56">
        <f t="shared" si="504"/>
        <v>1508</v>
      </c>
      <c r="AU1511" s="57">
        <f t="shared" si="505"/>
        <v>6.3735166225506836E-4</v>
      </c>
      <c r="AV1511" s="58">
        <f t="shared" si="502"/>
        <v>4.8675505653430484E-3</v>
      </c>
      <c r="AW1511" s="59">
        <f t="shared" si="503"/>
        <v>1.004867550565343</v>
      </c>
      <c r="AX1511" s="60">
        <f>PRODUCT(AW$4:AW1511)</f>
        <v>1513.9228186242162</v>
      </c>
    </row>
    <row r="1512" spans="45:50">
      <c r="AS1512" s="55">
        <f t="shared" si="501"/>
        <v>126</v>
      </c>
      <c r="AT1512" s="56">
        <f t="shared" si="504"/>
        <v>1509</v>
      </c>
      <c r="AU1512" s="57">
        <f t="shared" si="505"/>
        <v>6.3424932081113637E-4</v>
      </c>
      <c r="AV1512" s="58">
        <f t="shared" si="502"/>
        <v>4.8675505653430484E-3</v>
      </c>
      <c r="AW1512" s="59">
        <f t="shared" si="503"/>
        <v>1.004867550565343</v>
      </c>
      <c r="AX1512" s="60">
        <f>PRODUCT(AW$4:AW1512)</f>
        <v>1521.2919144958962</v>
      </c>
    </row>
    <row r="1513" spans="45:50">
      <c r="AS1513" s="55">
        <f t="shared" si="501"/>
        <v>126</v>
      </c>
      <c r="AT1513" s="56">
        <f t="shared" si="504"/>
        <v>1510</v>
      </c>
      <c r="AU1513" s="57">
        <f t="shared" si="505"/>
        <v>6.3116208017105371E-4</v>
      </c>
      <c r="AV1513" s="58">
        <f t="shared" si="502"/>
        <v>4.8675505653430484E-3</v>
      </c>
      <c r="AW1513" s="59">
        <f t="shared" si="503"/>
        <v>1.004867550565343</v>
      </c>
      <c r="AX1513" s="60">
        <f>PRODUCT(AW$4:AW1513)</f>
        <v>1528.6968798143525</v>
      </c>
    </row>
    <row r="1514" spans="45:50">
      <c r="AS1514" s="55">
        <f t="shared" si="501"/>
        <v>126</v>
      </c>
      <c r="AT1514" s="56">
        <f t="shared" si="504"/>
        <v>1511</v>
      </c>
      <c r="AU1514" s="57">
        <f t="shared" si="505"/>
        <v>6.2808986683089403E-4</v>
      </c>
      <c r="AV1514" s="58">
        <f t="shared" si="502"/>
        <v>4.8675505653430484E-3</v>
      </c>
      <c r="AW1514" s="59">
        <f t="shared" si="503"/>
        <v>1.004867550565343</v>
      </c>
      <c r="AX1514" s="60">
        <f>PRODUCT(AW$4:AW1514)</f>
        <v>1536.1378891759312</v>
      </c>
    </row>
    <row r="1515" spans="45:50">
      <c r="AS1515" s="55">
        <f t="shared" si="501"/>
        <v>126</v>
      </c>
      <c r="AT1515" s="56">
        <f t="shared" si="504"/>
        <v>1512</v>
      </c>
      <c r="AU1515" s="57">
        <f t="shared" si="505"/>
        <v>6.2503260764451508E-4</v>
      </c>
      <c r="AV1515" s="58">
        <f t="shared" si="502"/>
        <v>4.8675505653430484E-3</v>
      </c>
      <c r="AW1515" s="59">
        <f t="shared" si="503"/>
        <v>1.004867550565343</v>
      </c>
      <c r="AX1515" s="60">
        <f>PRODUCT(AW$4:AW1515)</f>
        <v>1543.6151180268344</v>
      </c>
    </row>
    <row r="1516" spans="45:50">
      <c r="AS1516" s="55">
        <f t="shared" si="501"/>
        <v>127</v>
      </c>
      <c r="AT1516" s="56">
        <f t="shared" si="504"/>
        <v>1513</v>
      </c>
      <c r="AU1516" s="57">
        <f t="shared" si="505"/>
        <v>6.2199022982181718E-4</v>
      </c>
      <c r="AV1516" s="58">
        <f t="shared" si="502"/>
        <v>4.8675505653430484E-3</v>
      </c>
      <c r="AW1516" s="59">
        <f t="shared" si="503"/>
        <v>1.004867550565343</v>
      </c>
      <c r="AX1516" s="60">
        <f>PRODUCT(AW$4:AW1516)</f>
        <v>1551.1287426672579</v>
      </c>
    </row>
    <row r="1517" spans="45:50">
      <c r="AS1517" s="55">
        <f t="shared" si="501"/>
        <v>127</v>
      </c>
      <c r="AT1517" s="56">
        <f t="shared" si="504"/>
        <v>1514</v>
      </c>
      <c r="AU1517" s="57">
        <f t="shared" si="505"/>
        <v>6.1896266092701009E-4</v>
      </c>
      <c r="AV1517" s="58">
        <f t="shared" si="502"/>
        <v>4.8675505653430484E-3</v>
      </c>
      <c r="AW1517" s="59">
        <f t="shared" si="503"/>
        <v>1.004867550565343</v>
      </c>
      <c r="AX1517" s="60">
        <f>PRODUCT(AW$4:AW1517)</f>
        <v>1558.6789402555478</v>
      </c>
    </row>
    <row r="1518" spans="45:50">
      <c r="AS1518" s="55">
        <f t="shared" si="501"/>
        <v>127</v>
      </c>
      <c r="AT1518" s="56">
        <f t="shared" si="504"/>
        <v>1515</v>
      </c>
      <c r="AU1518" s="57">
        <f t="shared" si="505"/>
        <v>6.1594982887688853E-4</v>
      </c>
      <c r="AV1518" s="58">
        <f t="shared" si="502"/>
        <v>4.8675505653430484E-3</v>
      </c>
      <c r="AW1518" s="59">
        <f t="shared" si="503"/>
        <v>1.004867550565343</v>
      </c>
      <c r="AX1518" s="60">
        <f>PRODUCT(AW$4:AW1518)</f>
        <v>1566.2658888123769</v>
      </c>
    </row>
    <row r="1519" spans="45:50">
      <c r="AS1519" s="55">
        <f t="shared" si="501"/>
        <v>127</v>
      </c>
      <c r="AT1519" s="56">
        <f t="shared" si="504"/>
        <v>1516</v>
      </c>
      <c r="AU1519" s="57">
        <f t="shared" si="505"/>
        <v>6.1295166193911586E-4</v>
      </c>
      <c r="AV1519" s="58">
        <f t="shared" si="502"/>
        <v>4.8675505653430484E-3</v>
      </c>
      <c r="AW1519" s="59">
        <f t="shared" si="503"/>
        <v>1.004867550565343</v>
      </c>
      <c r="AX1519" s="60">
        <f>PRODUCT(AW$4:AW1519)</f>
        <v>1573.8897672249432</v>
      </c>
    </row>
    <row r="1520" spans="45:50">
      <c r="AS1520" s="55">
        <f t="shared" si="501"/>
        <v>127</v>
      </c>
      <c r="AT1520" s="56">
        <f t="shared" si="504"/>
        <v>1517</v>
      </c>
      <c r="AU1520" s="57">
        <f t="shared" si="505"/>
        <v>6.0996808873051611E-4</v>
      </c>
      <c r="AV1520" s="58">
        <f t="shared" si="502"/>
        <v>4.8675505653430484E-3</v>
      </c>
      <c r="AW1520" s="59">
        <f t="shared" si="503"/>
        <v>1.004867550565343</v>
      </c>
      <c r="AX1520" s="60">
        <f>PRODUCT(AW$4:AW1520)</f>
        <v>1581.5507552511865</v>
      </c>
    </row>
    <row r="1521" spans="45:50">
      <c r="AS1521" s="55">
        <f t="shared" si="501"/>
        <v>127</v>
      </c>
      <c r="AT1521" s="56">
        <f t="shared" si="504"/>
        <v>1518</v>
      </c>
      <c r="AU1521" s="57">
        <f t="shared" si="505"/>
        <v>6.0699903821537465E-4</v>
      </c>
      <c r="AV1521" s="58">
        <f t="shared" si="502"/>
        <v>4.8675505653430484E-3</v>
      </c>
      <c r="AW1521" s="59">
        <f t="shared" si="503"/>
        <v>1.004867550565343</v>
      </c>
      <c r="AX1521" s="60">
        <f>PRODUCT(AW$4:AW1521)</f>
        <v>1589.2490335240282</v>
      </c>
    </row>
    <row r="1522" spans="45:50">
      <c r="AS1522" s="55">
        <f t="shared" si="501"/>
        <v>127</v>
      </c>
      <c r="AT1522" s="56">
        <f t="shared" si="504"/>
        <v>1519</v>
      </c>
      <c r="AU1522" s="57">
        <f t="shared" si="505"/>
        <v>6.040444397037467E-4</v>
      </c>
      <c r="AV1522" s="58">
        <f t="shared" si="502"/>
        <v>4.8675505653430484E-3</v>
      </c>
      <c r="AW1522" s="59">
        <f t="shared" si="503"/>
        <v>1.004867550565343</v>
      </c>
      <c r="AX1522" s="60">
        <f>PRODUCT(AW$4:AW1522)</f>
        <v>1596.9847835556288</v>
      </c>
    </row>
    <row r="1523" spans="45:50">
      <c r="AS1523" s="55">
        <f t="shared" si="501"/>
        <v>127</v>
      </c>
      <c r="AT1523" s="56">
        <f t="shared" si="504"/>
        <v>1520</v>
      </c>
      <c r="AU1523" s="57">
        <f t="shared" si="505"/>
        <v>6.0110422284977442E-4</v>
      </c>
      <c r="AV1523" s="58">
        <f t="shared" si="502"/>
        <v>4.8675505653430484E-3</v>
      </c>
      <c r="AW1523" s="59">
        <f t="shared" si="503"/>
        <v>1.004867550565343</v>
      </c>
      <c r="AX1523" s="60">
        <f>PRODUCT(AW$4:AW1523)</f>
        <v>1604.7581877416692</v>
      </c>
    </row>
    <row r="1524" spans="45:50">
      <c r="AS1524" s="55">
        <f t="shared" si="501"/>
        <v>127</v>
      </c>
      <c r="AT1524" s="56">
        <f t="shared" si="504"/>
        <v>1521</v>
      </c>
      <c r="AU1524" s="57">
        <f t="shared" si="505"/>
        <v>5.9817831765001186E-4</v>
      </c>
      <c r="AV1524" s="58">
        <f t="shared" si="502"/>
        <v>4.8675505653430484E-3</v>
      </c>
      <c r="AW1524" s="59">
        <f t="shared" si="503"/>
        <v>1.004867550565343</v>
      </c>
      <c r="AX1524" s="60">
        <f>PRODUCT(AW$4:AW1524)</f>
        <v>1612.56942936565</v>
      </c>
    </row>
    <row r="1525" spans="45:50">
      <c r="AS1525" s="55">
        <f t="shared" si="501"/>
        <v>127</v>
      </c>
      <c r="AT1525" s="56">
        <f t="shared" si="504"/>
        <v>1522</v>
      </c>
      <c r="AU1525" s="57">
        <f t="shared" si="505"/>
        <v>5.952666544417586E-4</v>
      </c>
      <c r="AV1525" s="58">
        <f t="shared" si="502"/>
        <v>4.8675505653430484E-3</v>
      </c>
      <c r="AW1525" s="59">
        <f t="shared" si="503"/>
        <v>1.004867550565343</v>
      </c>
      <c r="AX1525" s="60">
        <f>PRODUCT(AW$4:AW1525)</f>
        <v>1620.4186926032137</v>
      </c>
    </row>
    <row r="1526" spans="45:50">
      <c r="AS1526" s="55">
        <f t="shared" si="501"/>
        <v>127</v>
      </c>
      <c r="AT1526" s="56">
        <f t="shared" si="504"/>
        <v>1523</v>
      </c>
      <c r="AU1526" s="57">
        <f t="shared" si="505"/>
        <v>5.9236916390140073E-4</v>
      </c>
      <c r="AV1526" s="58">
        <f t="shared" si="502"/>
        <v>4.8675505653430484E-3</v>
      </c>
      <c r="AW1526" s="59">
        <f t="shared" si="503"/>
        <v>1.004867550565343</v>
      </c>
      <c r="AX1526" s="60">
        <f>PRODUCT(AW$4:AW1526)</f>
        <v>1628.306162526487</v>
      </c>
    </row>
    <row r="1527" spans="45:50">
      <c r="AS1527" s="55">
        <f t="shared" si="501"/>
        <v>127</v>
      </c>
      <c r="AT1527" s="56">
        <f t="shared" si="504"/>
        <v>1524</v>
      </c>
      <c r="AU1527" s="57">
        <f t="shared" si="505"/>
        <v>5.894857770427607E-4</v>
      </c>
      <c r="AV1527" s="58">
        <f t="shared" si="502"/>
        <v>4.8675505653430484E-3</v>
      </c>
      <c r="AW1527" s="59">
        <f t="shared" si="503"/>
        <v>1.004867550565343</v>
      </c>
      <c r="AX1527" s="60">
        <f>PRODUCT(AW$4:AW1527)</f>
        <v>1636.2320251084443</v>
      </c>
    </row>
    <row r="1528" spans="45:50">
      <c r="AS1528" s="55">
        <f t="shared" si="501"/>
        <v>128</v>
      </c>
      <c r="AT1528" s="56">
        <f t="shared" si="504"/>
        <v>1525</v>
      </c>
      <c r="AU1528" s="57">
        <f t="shared" si="505"/>
        <v>5.8661642521545452E-4</v>
      </c>
      <c r="AV1528" s="58">
        <f t="shared" si="502"/>
        <v>4.8675505653430484E-3</v>
      </c>
      <c r="AW1528" s="59">
        <f t="shared" si="503"/>
        <v>1.004867550565343</v>
      </c>
      <c r="AX1528" s="60">
        <f>PRODUCT(AW$4:AW1528)</f>
        <v>1644.1964672272934</v>
      </c>
    </row>
    <row r="1529" spans="45:50">
      <c r="AS1529" s="55">
        <f t="shared" si="501"/>
        <v>128</v>
      </c>
      <c r="AT1529" s="56">
        <f t="shared" si="504"/>
        <v>1526</v>
      </c>
      <c r="AU1529" s="57">
        <f t="shared" si="505"/>
        <v>5.8376104010325754E-4</v>
      </c>
      <c r="AV1529" s="58">
        <f t="shared" si="502"/>
        <v>4.8675505653430484E-3</v>
      </c>
      <c r="AW1529" s="59">
        <f t="shared" si="503"/>
        <v>1.004867550565343</v>
      </c>
      <c r="AX1529" s="60">
        <f>PRODUCT(AW$4:AW1529)</f>
        <v>1652.1996766708808</v>
      </c>
    </row>
    <row r="1530" spans="45:50">
      <c r="AS1530" s="55">
        <f t="shared" si="501"/>
        <v>128</v>
      </c>
      <c r="AT1530" s="56">
        <f t="shared" si="504"/>
        <v>1527</v>
      </c>
      <c r="AU1530" s="57">
        <f t="shared" si="505"/>
        <v>5.8091955372247765E-4</v>
      </c>
      <c r="AV1530" s="58">
        <f t="shared" si="502"/>
        <v>4.8675505653430484E-3</v>
      </c>
      <c r="AW1530" s="59">
        <f t="shared" si="503"/>
        <v>1.004867550565343</v>
      </c>
      <c r="AX1530" s="60">
        <f>PRODUCT(AW$4:AW1530)</f>
        <v>1660.2418421411196</v>
      </c>
    </row>
    <row r="1531" spans="45:50">
      <c r="AS1531" s="55">
        <f t="shared" si="501"/>
        <v>128</v>
      </c>
      <c r="AT1531" s="56">
        <f t="shared" si="504"/>
        <v>1528</v>
      </c>
      <c r="AU1531" s="57">
        <f t="shared" si="505"/>
        <v>5.7809189842033702E-4</v>
      </c>
      <c r="AV1531" s="58">
        <f t="shared" si="502"/>
        <v>4.8675505653430484E-3</v>
      </c>
      <c r="AW1531" s="59">
        <f t="shared" si="503"/>
        <v>1.004867550565343</v>
      </c>
      <c r="AX1531" s="60">
        <f>PRODUCT(AW$4:AW1531)</f>
        <v>1668.3231532584398</v>
      </c>
    </row>
    <row r="1532" spans="45:50">
      <c r="AS1532" s="55">
        <f t="shared" si="501"/>
        <v>128</v>
      </c>
      <c r="AT1532" s="56">
        <f t="shared" si="504"/>
        <v>1529</v>
      </c>
      <c r="AU1532" s="57">
        <f t="shared" si="505"/>
        <v>5.7527800687336085E-4</v>
      </c>
      <c r="AV1532" s="58">
        <f t="shared" si="502"/>
        <v>4.8675505653430484E-3</v>
      </c>
      <c r="AW1532" s="59">
        <f t="shared" si="503"/>
        <v>1.004867550565343</v>
      </c>
      <c r="AX1532" s="60">
        <f>PRODUCT(AW$4:AW1532)</f>
        <v>1676.4438005662578</v>
      </c>
    </row>
    <row r="1533" spans="45:50">
      <c r="AS1533" s="55">
        <f t="shared" si="501"/>
        <v>128</v>
      </c>
      <c r="AT1533" s="56">
        <f t="shared" si="504"/>
        <v>1530</v>
      </c>
      <c r="AU1533" s="57">
        <f t="shared" si="505"/>
        <v>5.7247781208577498E-4</v>
      </c>
      <c r="AV1533" s="58">
        <f t="shared" si="502"/>
        <v>4.8675505653430484E-3</v>
      </c>
      <c r="AW1533" s="59">
        <f t="shared" si="503"/>
        <v>1.004867550565343</v>
      </c>
      <c r="AX1533" s="60">
        <f>PRODUCT(AW$4:AW1533)</f>
        <v>1684.60397553547</v>
      </c>
    </row>
    <row r="1534" spans="45:50">
      <c r="AS1534" s="55">
        <f t="shared" si="501"/>
        <v>128</v>
      </c>
      <c r="AT1534" s="56">
        <f t="shared" si="504"/>
        <v>1531</v>
      </c>
      <c r="AU1534" s="57">
        <f t="shared" si="505"/>
        <v>5.6969124738791049E-4</v>
      </c>
      <c r="AV1534" s="58">
        <f t="shared" si="502"/>
        <v>4.8675505653430484E-3</v>
      </c>
      <c r="AW1534" s="59">
        <f t="shared" si="503"/>
        <v>1.004867550565343</v>
      </c>
      <c r="AX1534" s="60">
        <f>PRODUCT(AW$4:AW1534)</f>
        <v>1692.8038705689669</v>
      </c>
    </row>
    <row r="1535" spans="45:50">
      <c r="AS1535" s="55">
        <f t="shared" si="501"/>
        <v>128</v>
      </c>
      <c r="AT1535" s="56">
        <f t="shared" si="504"/>
        <v>1532</v>
      </c>
      <c r="AU1535" s="57">
        <f t="shared" si="505"/>
        <v>5.6691824643461644E-4</v>
      </c>
      <c r="AV1535" s="58">
        <f t="shared" si="502"/>
        <v>4.8675505653430484E-3</v>
      </c>
      <c r="AW1535" s="59">
        <f t="shared" si="503"/>
        <v>1.004867550565343</v>
      </c>
      <c r="AX1535" s="60">
        <f>PRODUCT(AW$4:AW1535)</f>
        <v>1701.0436790061697</v>
      </c>
    </row>
    <row r="1536" spans="45:50">
      <c r="AS1536" s="55">
        <f t="shared" si="501"/>
        <v>128</v>
      </c>
      <c r="AT1536" s="56">
        <f t="shared" si="504"/>
        <v>1533</v>
      </c>
      <c r="AU1536" s="57">
        <f t="shared" si="505"/>
        <v>5.6415874320368039E-4</v>
      </c>
      <c r="AV1536" s="58">
        <f t="shared" si="502"/>
        <v>4.8675505653430484E-3</v>
      </c>
      <c r="AW1536" s="59">
        <f t="shared" si="503"/>
        <v>1.004867550565343</v>
      </c>
      <c r="AX1536" s="60">
        <f>PRODUCT(AW$4:AW1536)</f>
        <v>1709.3235951275894</v>
      </c>
    </row>
    <row r="1537" spans="45:50">
      <c r="AS1537" s="55">
        <f t="shared" si="501"/>
        <v>128</v>
      </c>
      <c r="AT1537" s="56">
        <f t="shared" si="504"/>
        <v>1534</v>
      </c>
      <c r="AU1537" s="57">
        <f t="shared" si="505"/>
        <v>5.614126719942561E-4</v>
      </c>
      <c r="AV1537" s="58">
        <f t="shared" si="502"/>
        <v>4.8675505653430484E-3</v>
      </c>
      <c r="AW1537" s="59">
        <f t="shared" si="503"/>
        <v>1.004867550565343</v>
      </c>
      <c r="AX1537" s="60">
        <f>PRODUCT(AW$4:AW1537)</f>
        <v>1717.6438141594069</v>
      </c>
    </row>
    <row r="1538" spans="45:50">
      <c r="AS1538" s="55">
        <f t="shared" si="501"/>
        <v>128</v>
      </c>
      <c r="AT1538" s="56">
        <f t="shared" si="504"/>
        <v>1535</v>
      </c>
      <c r="AU1538" s="57">
        <f t="shared" si="505"/>
        <v>5.5867996742529967E-4</v>
      </c>
      <c r="AV1538" s="58">
        <f t="shared" si="502"/>
        <v>4.8675505653430484E-3</v>
      </c>
      <c r="AW1538" s="59">
        <f t="shared" si="503"/>
        <v>1.004867550565343</v>
      </c>
      <c r="AX1538" s="60">
        <f>PRODUCT(AW$4:AW1538)</f>
        <v>1726.0045322780766</v>
      </c>
    </row>
    <row r="1539" spans="45:50">
      <c r="AS1539" s="55">
        <f t="shared" si="501"/>
        <v>128</v>
      </c>
      <c r="AT1539" s="56">
        <f t="shared" si="504"/>
        <v>1536</v>
      </c>
      <c r="AU1539" s="57">
        <f t="shared" si="505"/>
        <v>5.5596056443401286E-4</v>
      </c>
      <c r="AV1539" s="58">
        <f t="shared" si="502"/>
        <v>4.8675505653430484E-3</v>
      </c>
      <c r="AW1539" s="59">
        <f t="shared" si="503"/>
        <v>1.004867550565343</v>
      </c>
      <c r="AX1539" s="60">
        <f>PRODUCT(AW$4:AW1539)</f>
        <v>1734.4059466149513</v>
      </c>
    </row>
    <row r="1540" spans="45:50">
      <c r="AS1540" s="55">
        <f t="shared" si="501"/>
        <v>129</v>
      </c>
      <c r="AT1540" s="56">
        <f t="shared" si="504"/>
        <v>1537</v>
      </c>
      <c r="AU1540" s="57">
        <f t="shared" si="505"/>
        <v>5.5325439827429363E-4</v>
      </c>
      <c r="AV1540" s="58">
        <f t="shared" si="502"/>
        <v>4.8675505653430484E-3</v>
      </c>
      <c r="AW1540" s="59">
        <f t="shared" si="503"/>
        <v>1.004867550565343</v>
      </c>
      <c r="AX1540" s="60">
        <f>PRODUCT(AW$4:AW1540)</f>
        <v>1742.8482552609312</v>
      </c>
    </row>
    <row r="1541" spans="45:50">
      <c r="AS1541" s="55">
        <f t="shared" ref="AS1541:AS1604" si="506">ROUNDDOWN((AT1541-1)/12,0)+1</f>
        <v>129</v>
      </c>
      <c r="AT1541" s="56">
        <f t="shared" si="504"/>
        <v>1538</v>
      </c>
      <c r="AU1541" s="57">
        <f t="shared" si="505"/>
        <v>5.5056140451519508E-4</v>
      </c>
      <c r="AV1541" s="58">
        <f t="shared" ref="AV1541:AV1604" si="507">((1+$AV$1)^(1/12))-1</f>
        <v>4.8675505653430484E-3</v>
      </c>
      <c r="AW1541" s="59">
        <f t="shared" ref="AW1541:AW1604" si="508">(1+AV1541)</f>
        <v>1.004867550565343</v>
      </c>
      <c r="AX1541" s="60">
        <f>PRODUCT(AW$4:AW1541)</f>
        <v>1751.3316572711337</v>
      </c>
    </row>
    <row r="1542" spans="45:50">
      <c r="AS1542" s="55">
        <f t="shared" si="506"/>
        <v>129</v>
      </c>
      <c r="AT1542" s="56">
        <f t="shared" ref="AT1542:AT1605" si="509">AT1541+1</f>
        <v>1539</v>
      </c>
      <c r="AU1542" s="57">
        <f t="shared" si="505"/>
        <v>5.4788151903939107E-4</v>
      </c>
      <c r="AV1542" s="58">
        <f t="shared" si="507"/>
        <v>4.8675505653430484E-3</v>
      </c>
      <c r="AW1542" s="59">
        <f t="shared" si="508"/>
        <v>1.004867550565343</v>
      </c>
      <c r="AX1542" s="60">
        <f>PRODUCT(AW$4:AW1542)</f>
        <v>1759.8563526695871</v>
      </c>
    </row>
    <row r="1543" spans="45:50">
      <c r="AS1543" s="55">
        <f t="shared" si="506"/>
        <v>129</v>
      </c>
      <c r="AT1543" s="56">
        <f t="shared" si="509"/>
        <v>1540</v>
      </c>
      <c r="AU1543" s="57">
        <f t="shared" si="505"/>
        <v>5.4521467804164987E-4</v>
      </c>
      <c r="AV1543" s="58">
        <f t="shared" si="507"/>
        <v>4.8675505653430484E-3</v>
      </c>
      <c r="AW1543" s="59">
        <f t="shared" si="508"/>
        <v>1.004867550565343</v>
      </c>
      <c r="AX1543" s="60">
        <f>PRODUCT(AW$4:AW1543)</f>
        <v>1768.4225424539466</v>
      </c>
    </row>
    <row r="1544" spans="45:50">
      <c r="AS1544" s="55">
        <f t="shared" si="506"/>
        <v>129</v>
      </c>
      <c r="AT1544" s="56">
        <f t="shared" si="509"/>
        <v>1541</v>
      </c>
      <c r="AU1544" s="57">
        <f t="shared" si="505"/>
        <v>5.4256081802731492E-4</v>
      </c>
      <c r="AV1544" s="58">
        <f t="shared" si="507"/>
        <v>4.8675505653430484E-3</v>
      </c>
      <c r="AW1544" s="59">
        <f t="shared" si="508"/>
        <v>1.004867550565343</v>
      </c>
      <c r="AX1544" s="60">
        <f>PRODUCT(AW$4:AW1544)</f>
        <v>1777.0304286002336</v>
      </c>
    </row>
    <row r="1545" spans="45:50">
      <c r="AS1545" s="55">
        <f t="shared" si="506"/>
        <v>129</v>
      </c>
      <c r="AT1545" s="56">
        <f t="shared" si="509"/>
        <v>1542</v>
      </c>
      <c r="AU1545" s="57">
        <f t="shared" si="505"/>
        <v>5.3991987581079306E-4</v>
      </c>
      <c r="AV1545" s="58">
        <f t="shared" si="507"/>
        <v>4.8675505653430484E-3</v>
      </c>
      <c r="AW1545" s="59">
        <f t="shared" si="508"/>
        <v>1.004867550565343</v>
      </c>
      <c r="AX1545" s="60">
        <f>PRODUCT(AW$4:AW1545)</f>
        <v>1785.6802140675984</v>
      </c>
    </row>
    <row r="1546" spans="45:50">
      <c r="AS1546" s="55">
        <f t="shared" si="506"/>
        <v>129</v>
      </c>
      <c r="AT1546" s="56">
        <f t="shared" si="509"/>
        <v>1543</v>
      </c>
      <c r="AU1546" s="57">
        <f t="shared" si="505"/>
        <v>5.3729178851405024E-4</v>
      </c>
      <c r="AV1546" s="58">
        <f t="shared" si="507"/>
        <v>4.8675505653430484E-3</v>
      </c>
      <c r="AW1546" s="59">
        <f t="shared" si="508"/>
        <v>1.004867550565343</v>
      </c>
      <c r="AX1546" s="60">
        <f>PRODUCT(AW$4:AW1546)</f>
        <v>1794.372102803105</v>
      </c>
    </row>
    <row r="1547" spans="45:50">
      <c r="AS1547" s="55">
        <f t="shared" si="506"/>
        <v>129</v>
      </c>
      <c r="AT1547" s="56">
        <f t="shared" si="509"/>
        <v>1544</v>
      </c>
      <c r="AU1547" s="57">
        <f t="shared" si="505"/>
        <v>5.3467649356511455E-4</v>
      </c>
      <c r="AV1547" s="58">
        <f t="shared" si="507"/>
        <v>4.8675505653430484E-3</v>
      </c>
      <c r="AW1547" s="59">
        <f t="shared" si="508"/>
        <v>1.004867550565343</v>
      </c>
      <c r="AX1547" s="60">
        <f>PRODUCT(AW$4:AW1547)</f>
        <v>1803.1062997465401</v>
      </c>
    </row>
    <row r="1548" spans="45:50">
      <c r="AS1548" s="55">
        <f t="shared" si="506"/>
        <v>129</v>
      </c>
      <c r="AT1548" s="56">
        <f t="shared" si="509"/>
        <v>1545</v>
      </c>
      <c r="AU1548" s="57">
        <f t="shared" si="505"/>
        <v>5.3207392869658598E-4</v>
      </c>
      <c r="AV1548" s="58">
        <f t="shared" si="507"/>
        <v>4.8675505653430484E-3</v>
      </c>
      <c r="AW1548" s="59">
        <f t="shared" si="508"/>
        <v>1.004867550565343</v>
      </c>
      <c r="AX1548" s="60">
        <f>PRODUCT(AW$4:AW1548)</f>
        <v>1811.8830108352449</v>
      </c>
    </row>
    <row r="1549" spans="45:50">
      <c r="AS1549" s="55">
        <f t="shared" si="506"/>
        <v>129</v>
      </c>
      <c r="AT1549" s="56">
        <f t="shared" si="509"/>
        <v>1546</v>
      </c>
      <c r="AU1549" s="57">
        <f t="shared" si="505"/>
        <v>5.2948403194415467E-4</v>
      </c>
      <c r="AV1549" s="58">
        <f t="shared" si="507"/>
        <v>4.8675505653430484E-3</v>
      </c>
      <c r="AW1549" s="59">
        <f t="shared" si="508"/>
        <v>1.004867550565343</v>
      </c>
      <c r="AX1549" s="60">
        <f>PRODUCT(AW$4:AW1549)</f>
        <v>1820.7024430089714</v>
      </c>
    </row>
    <row r="1550" spans="45:50">
      <c r="AS1550" s="55">
        <f t="shared" si="506"/>
        <v>129</v>
      </c>
      <c r="AT1550" s="56">
        <f t="shared" si="509"/>
        <v>1547</v>
      </c>
      <c r="AU1550" s="57">
        <f t="shared" si="505"/>
        <v>5.2690674164512482E-4</v>
      </c>
      <c r="AV1550" s="58">
        <f t="shared" si="507"/>
        <v>4.8675505653430484E-3</v>
      </c>
      <c r="AW1550" s="59">
        <f t="shared" si="508"/>
        <v>1.004867550565343</v>
      </c>
      <c r="AX1550" s="60">
        <f>PRODUCT(AW$4:AW1550)</f>
        <v>1829.5648042147611</v>
      </c>
    </row>
    <row r="1551" spans="45:50">
      <c r="AS1551" s="55">
        <f t="shared" si="506"/>
        <v>129</v>
      </c>
      <c r="AT1551" s="56">
        <f t="shared" si="509"/>
        <v>1548</v>
      </c>
      <c r="AU1551" s="57">
        <f t="shared" si="505"/>
        <v>5.2434199643694706E-4</v>
      </c>
      <c r="AV1551" s="58">
        <f t="shared" si="507"/>
        <v>4.8675505653430484E-3</v>
      </c>
      <c r="AW1551" s="59">
        <f t="shared" si="508"/>
        <v>1.004867550565343</v>
      </c>
      <c r="AX1551" s="60">
        <f>PRODUCT(AW$4:AW1551)</f>
        <v>1838.4703034118484</v>
      </c>
    </row>
    <row r="1552" spans="45:50">
      <c r="AS1552" s="55">
        <f t="shared" si="506"/>
        <v>130</v>
      </c>
      <c r="AT1552" s="56">
        <f t="shared" si="509"/>
        <v>1549</v>
      </c>
      <c r="AU1552" s="57">
        <f t="shared" si="505"/>
        <v>5.2178973525575725E-4</v>
      </c>
      <c r="AV1552" s="58">
        <f t="shared" si="507"/>
        <v>4.8675505653430484E-3</v>
      </c>
      <c r="AW1552" s="59">
        <f t="shared" si="508"/>
        <v>1.004867550565343</v>
      </c>
      <c r="AX1552" s="60">
        <f>PRODUCT(AW$4:AW1552)</f>
        <v>1847.4191505765871</v>
      </c>
    </row>
    <row r="1553" spans="45:50">
      <c r="AS1553" s="55">
        <f t="shared" si="506"/>
        <v>130</v>
      </c>
      <c r="AT1553" s="56">
        <f t="shared" si="509"/>
        <v>1550</v>
      </c>
      <c r="AU1553" s="57">
        <f t="shared" si="505"/>
        <v>5.1924989733492289E-4</v>
      </c>
      <c r="AV1553" s="58">
        <f t="shared" si="507"/>
        <v>4.8675505653430484E-3</v>
      </c>
      <c r="AW1553" s="59">
        <f t="shared" si="508"/>
        <v>1.004867550565343</v>
      </c>
      <c r="AX1553" s="60">
        <f>PRODUCT(AW$4:AW1553)</f>
        <v>1856.4115567074018</v>
      </c>
    </row>
    <row r="1554" spans="45:50">
      <c r="AS1554" s="55">
        <f t="shared" si="506"/>
        <v>130</v>
      </c>
      <c r="AT1554" s="56">
        <f t="shared" si="509"/>
        <v>1551</v>
      </c>
      <c r="AU1554" s="57">
        <f t="shared" si="505"/>
        <v>5.1672242220359593E-4</v>
      </c>
      <c r="AV1554" s="58">
        <f t="shared" si="507"/>
        <v>4.8675505653430484E-3</v>
      </c>
      <c r="AW1554" s="59">
        <f t="shared" si="508"/>
        <v>1.004867550565343</v>
      </c>
      <c r="AX1554" s="60">
        <f>PRODUCT(AW$4:AW1554)</f>
        <v>1865.4477338297622</v>
      </c>
    </row>
    <row r="1555" spans="45:50">
      <c r="AS1555" s="55">
        <f t="shared" si="506"/>
        <v>130</v>
      </c>
      <c r="AT1555" s="56">
        <f t="shared" si="509"/>
        <v>1552</v>
      </c>
      <c r="AU1555" s="57">
        <f t="shared" si="505"/>
        <v>5.1420724968527336E-4</v>
      </c>
      <c r="AV1555" s="58">
        <f t="shared" si="507"/>
        <v>4.8675505653430484E-3</v>
      </c>
      <c r="AW1555" s="59">
        <f t="shared" si="508"/>
        <v>1.004867550565343</v>
      </c>
      <c r="AX1555" s="60">
        <f>PRODUCT(AW$4:AW1555)</f>
        <v>1874.5278950011832</v>
      </c>
    </row>
    <row r="1556" spans="45:50">
      <c r="AS1556" s="55">
        <f t="shared" si="506"/>
        <v>130</v>
      </c>
      <c r="AT1556" s="56">
        <f t="shared" si="509"/>
        <v>1553</v>
      </c>
      <c r="AU1556" s="57">
        <f t="shared" si="505"/>
        <v>5.1170431989636426E-4</v>
      </c>
      <c r="AV1556" s="58">
        <f t="shared" si="507"/>
        <v>4.8675505653430484E-3</v>
      </c>
      <c r="AW1556" s="59">
        <f t="shared" si="508"/>
        <v>1.004867550565343</v>
      </c>
      <c r="AX1556" s="60">
        <f>PRODUCT(AW$4:AW1556)</f>
        <v>1883.6522543162475</v>
      </c>
    </row>
    <row r="1557" spans="45:50">
      <c r="AS1557" s="55">
        <f t="shared" si="506"/>
        <v>130</v>
      </c>
      <c r="AT1557" s="56">
        <f t="shared" si="509"/>
        <v>1554</v>
      </c>
      <c r="AU1557" s="57">
        <f t="shared" si="505"/>
        <v>5.0921357324476427E-4</v>
      </c>
      <c r="AV1557" s="58">
        <f t="shared" si="507"/>
        <v>4.8675505653430484E-3</v>
      </c>
      <c r="AW1557" s="59">
        <f t="shared" si="508"/>
        <v>1.004867550565343</v>
      </c>
      <c r="AX1557" s="60">
        <f>PRODUCT(AW$4:AW1557)</f>
        <v>1892.8210269116544</v>
      </c>
    </row>
    <row r="1558" spans="45:50">
      <c r="AS1558" s="55">
        <f t="shared" si="506"/>
        <v>130</v>
      </c>
      <c r="AT1558" s="56">
        <f t="shared" si="509"/>
        <v>1555</v>
      </c>
      <c r="AU1558" s="57">
        <f t="shared" si="505"/>
        <v>5.0673495042843637E-4</v>
      </c>
      <c r="AV1558" s="58">
        <f t="shared" si="507"/>
        <v>4.8675505653430484E-3</v>
      </c>
      <c r="AW1558" s="59">
        <f t="shared" si="508"/>
        <v>1.004867550565343</v>
      </c>
      <c r="AX1558" s="60">
        <f>PRODUCT(AW$4:AW1558)</f>
        <v>1902.0344289712914</v>
      </c>
    </row>
    <row r="1559" spans="45:50">
      <c r="AS1559" s="55">
        <f t="shared" si="506"/>
        <v>130</v>
      </c>
      <c r="AT1559" s="56">
        <f t="shared" si="509"/>
        <v>1556</v>
      </c>
      <c r="AU1559" s="57">
        <f t="shared" ref="AU1559:AU1614" si="510">(1-AV1559)*AU1558</f>
        <v>5.0426839243399935E-4</v>
      </c>
      <c r="AV1559" s="58">
        <f t="shared" si="507"/>
        <v>4.8675505653430484E-3</v>
      </c>
      <c r="AW1559" s="59">
        <f t="shared" si="508"/>
        <v>1.004867550565343</v>
      </c>
      <c r="AX1559" s="60">
        <f>PRODUCT(AW$4:AW1559)</f>
        <v>1911.2926777313326</v>
      </c>
    </row>
    <row r="1560" spans="45:50">
      <c r="AS1560" s="55">
        <f t="shared" si="506"/>
        <v>130</v>
      </c>
      <c r="AT1560" s="56">
        <f t="shared" si="509"/>
        <v>1557</v>
      </c>
      <c r="AU1560" s="57">
        <f t="shared" si="510"/>
        <v>5.0181384053532259E-4</v>
      </c>
      <c r="AV1560" s="58">
        <f t="shared" si="507"/>
        <v>4.8675505653430484E-3</v>
      </c>
      <c r="AW1560" s="59">
        <f t="shared" si="508"/>
        <v>1.004867550565343</v>
      </c>
      <c r="AX1560" s="60">
        <f>PRODUCT(AW$4:AW1560)</f>
        <v>1920.5959914853597</v>
      </c>
    </row>
    <row r="1561" spans="45:50">
      <c r="AS1561" s="55">
        <f t="shared" si="506"/>
        <v>130</v>
      </c>
      <c r="AT1561" s="56">
        <f t="shared" si="509"/>
        <v>1558</v>
      </c>
      <c r="AU1561" s="57">
        <f t="shared" si="510"/>
        <v>4.9937123629212787E-4</v>
      </c>
      <c r="AV1561" s="58">
        <f t="shared" si="507"/>
        <v>4.8675505653430484E-3</v>
      </c>
      <c r="AW1561" s="59">
        <f t="shared" si="508"/>
        <v>1.004867550565343</v>
      </c>
      <c r="AX1561" s="60">
        <f>PRODUCT(AW$4:AW1561)</f>
        <v>1929.9445895895099</v>
      </c>
    </row>
    <row r="1562" spans="45:50">
      <c r="AS1562" s="55">
        <f t="shared" si="506"/>
        <v>130</v>
      </c>
      <c r="AT1562" s="56">
        <f t="shared" si="509"/>
        <v>1559</v>
      </c>
      <c r="AU1562" s="57">
        <f t="shared" si="510"/>
        <v>4.9694052154859811E-4</v>
      </c>
      <c r="AV1562" s="58">
        <f t="shared" si="507"/>
        <v>4.8675505653430484E-3</v>
      </c>
      <c r="AW1562" s="59">
        <f t="shared" si="508"/>
        <v>1.004867550565343</v>
      </c>
      <c r="AX1562" s="60">
        <f>PRODUCT(AW$4:AW1562)</f>
        <v>1939.338692467647</v>
      </c>
    </row>
    <row r="1563" spans="45:50">
      <c r="AS1563" s="55">
        <f t="shared" si="506"/>
        <v>130</v>
      </c>
      <c r="AT1563" s="56">
        <f t="shared" si="509"/>
        <v>1560</v>
      </c>
      <c r="AU1563" s="57">
        <f t="shared" si="510"/>
        <v>4.9452163843199232E-4</v>
      </c>
      <c r="AV1563" s="58">
        <f t="shared" si="507"/>
        <v>4.8675505653430484E-3</v>
      </c>
      <c r="AW1563" s="59">
        <f t="shared" si="508"/>
        <v>1.004867550565343</v>
      </c>
      <c r="AX1563" s="60">
        <f>PRODUCT(AW$4:AW1563)</f>
        <v>1948.7785216165596</v>
      </c>
    </row>
    <row r="1564" spans="45:50">
      <c r="AS1564" s="55">
        <f t="shared" si="506"/>
        <v>131</v>
      </c>
      <c r="AT1564" s="56">
        <f t="shared" si="509"/>
        <v>1561</v>
      </c>
      <c r="AU1564" s="57">
        <f t="shared" si="510"/>
        <v>4.9211452935126832E-4</v>
      </c>
      <c r="AV1564" s="58">
        <f t="shared" si="507"/>
        <v>4.8675505653430484E-3</v>
      </c>
      <c r="AW1564" s="59">
        <f t="shared" si="508"/>
        <v>1.004867550565343</v>
      </c>
      <c r="AX1564" s="60">
        <f>PRODUCT(AW$4:AW1564)</f>
        <v>1958.2642996111827</v>
      </c>
    </row>
    <row r="1565" spans="45:50">
      <c r="AS1565" s="55">
        <f t="shared" si="506"/>
        <v>131</v>
      </c>
      <c r="AT1565" s="56">
        <f t="shared" si="509"/>
        <v>1562</v>
      </c>
      <c r="AU1565" s="57">
        <f t="shared" si="510"/>
        <v>4.89719136995711E-4</v>
      </c>
      <c r="AV1565" s="58">
        <f t="shared" si="507"/>
        <v>4.8675505653430484E-3</v>
      </c>
      <c r="AW1565" s="59">
        <f t="shared" si="508"/>
        <v>1.004867550565343</v>
      </c>
      <c r="AX1565" s="60">
        <f>PRODUCT(AW$4:AW1565)</f>
        <v>1967.7962501098461</v>
      </c>
    </row>
    <row r="1566" spans="45:50">
      <c r="AS1566" s="55">
        <f t="shared" si="506"/>
        <v>131</v>
      </c>
      <c r="AT1566" s="56">
        <f t="shared" si="509"/>
        <v>1563</v>
      </c>
      <c r="AU1566" s="57">
        <f t="shared" si="510"/>
        <v>4.8733540433356824E-4</v>
      </c>
      <c r="AV1566" s="58">
        <f t="shared" si="507"/>
        <v>4.8675505653430484E-3</v>
      </c>
      <c r="AW1566" s="59">
        <f t="shared" si="508"/>
        <v>1.004867550565343</v>
      </c>
      <c r="AX1566" s="60">
        <f>PRODUCT(AW$4:AW1566)</f>
        <v>1977.3745978595482</v>
      </c>
    </row>
    <row r="1567" spans="45:50">
      <c r="AS1567" s="55">
        <f t="shared" si="506"/>
        <v>131</v>
      </c>
      <c r="AT1567" s="56">
        <f t="shared" si="509"/>
        <v>1564</v>
      </c>
      <c r="AU1567" s="57">
        <f t="shared" si="510"/>
        <v>4.8496327461069268E-4</v>
      </c>
      <c r="AV1567" s="58">
        <f t="shared" si="507"/>
        <v>4.8675505653430484E-3</v>
      </c>
      <c r="AW1567" s="59">
        <f t="shared" si="508"/>
        <v>1.004867550565343</v>
      </c>
      <c r="AX1567" s="60">
        <f>PRODUCT(AW$4:AW1567)</f>
        <v>1986.9995687012545</v>
      </c>
    </row>
    <row r="1568" spans="45:50">
      <c r="AS1568" s="55">
        <f t="shared" si="506"/>
        <v>131</v>
      </c>
      <c r="AT1568" s="56">
        <f t="shared" si="509"/>
        <v>1565</v>
      </c>
      <c r="AU1568" s="57">
        <f t="shared" si="510"/>
        <v>4.8260269134919078E-4</v>
      </c>
      <c r="AV1568" s="58">
        <f t="shared" si="507"/>
        <v>4.8675505653430484E-3</v>
      </c>
      <c r="AW1568" s="59">
        <f t="shared" si="508"/>
        <v>1.004867550565343</v>
      </c>
      <c r="AX1568" s="60">
        <f>PRODUCT(AW$4:AW1568)</f>
        <v>1996.6713895752227</v>
      </c>
    </row>
    <row r="1569" spans="45:50">
      <c r="AS1569" s="55">
        <f t="shared" si="506"/>
        <v>131</v>
      </c>
      <c r="AT1569" s="56">
        <f t="shared" si="509"/>
        <v>1566</v>
      </c>
      <c r="AU1569" s="57">
        <f t="shared" si="510"/>
        <v>4.8025359834607796E-4</v>
      </c>
      <c r="AV1569" s="58">
        <f t="shared" si="507"/>
        <v>4.8675505653430484E-3</v>
      </c>
      <c r="AW1569" s="59">
        <f t="shared" si="508"/>
        <v>1.004867550565343</v>
      </c>
      <c r="AX1569" s="60">
        <f>PRODUCT(AW$4:AW1569)</f>
        <v>2006.390288526354</v>
      </c>
    </row>
    <row r="1570" spans="45:50">
      <c r="AS1570" s="55">
        <f t="shared" si="506"/>
        <v>131</v>
      </c>
      <c r="AT1570" s="56">
        <f t="shared" si="509"/>
        <v>1567</v>
      </c>
      <c r="AU1570" s="57">
        <f t="shared" si="510"/>
        <v>4.779159396719405E-4</v>
      </c>
      <c r="AV1570" s="58">
        <f t="shared" si="507"/>
        <v>4.8675505653430484E-3</v>
      </c>
      <c r="AW1570" s="59">
        <f t="shared" si="508"/>
        <v>1.004867550565343</v>
      </c>
      <c r="AX1570" s="60">
        <f>PRODUCT(AW$4:AW1570)</f>
        <v>2016.1564947095692</v>
      </c>
    </row>
    <row r="1571" spans="45:50">
      <c r="AS1571" s="55">
        <f t="shared" si="506"/>
        <v>131</v>
      </c>
      <c r="AT1571" s="56">
        <f t="shared" si="509"/>
        <v>1568</v>
      </c>
      <c r="AU1571" s="57">
        <f t="shared" si="510"/>
        <v>4.7558965966960388E-4</v>
      </c>
      <c r="AV1571" s="58">
        <f t="shared" si="507"/>
        <v>4.8675505653430484E-3</v>
      </c>
      <c r="AW1571" s="59">
        <f t="shared" si="508"/>
        <v>1.004867550565343</v>
      </c>
      <c r="AX1571" s="60">
        <f>PRODUCT(AW$4:AW1571)</f>
        <v>2025.9702383952128</v>
      </c>
    </row>
    <row r="1572" spans="45:50">
      <c r="AS1572" s="55">
        <f t="shared" si="506"/>
        <v>131</v>
      </c>
      <c r="AT1572" s="56">
        <f t="shared" si="509"/>
        <v>1569</v>
      </c>
      <c r="AU1572" s="57">
        <f t="shared" si="510"/>
        <v>4.7327470295280782E-4</v>
      </c>
      <c r="AV1572" s="58">
        <f t="shared" si="507"/>
        <v>4.8675505653430484E-3</v>
      </c>
      <c r="AW1572" s="59">
        <f t="shared" si="508"/>
        <v>1.004867550565343</v>
      </c>
      <c r="AX1572" s="60">
        <f>PRODUCT(AW$4:AW1572)</f>
        <v>2035.8317509744816</v>
      </c>
    </row>
    <row r="1573" spans="45:50">
      <c r="AS1573" s="55">
        <f t="shared" si="506"/>
        <v>131</v>
      </c>
      <c r="AT1573" s="56">
        <f t="shared" si="509"/>
        <v>1570</v>
      </c>
      <c r="AU1573" s="57">
        <f t="shared" si="510"/>
        <v>4.7097101440488732E-4</v>
      </c>
      <c r="AV1573" s="58">
        <f t="shared" si="507"/>
        <v>4.8675505653430484E-3</v>
      </c>
      <c r="AW1573" s="59">
        <f t="shared" si="508"/>
        <v>1.004867550565343</v>
      </c>
      <c r="AX1573" s="60">
        <f>PRODUCT(AW$4:AW1573)</f>
        <v>2045.7412649648807</v>
      </c>
    </row>
    <row r="1574" spans="45:50">
      <c r="AS1574" s="55">
        <f t="shared" si="506"/>
        <v>131</v>
      </c>
      <c r="AT1574" s="56">
        <f t="shared" si="509"/>
        <v>1571</v>
      </c>
      <c r="AU1574" s="57">
        <f t="shared" si="510"/>
        <v>4.6867853917746064E-4</v>
      </c>
      <c r="AV1574" s="58">
        <f t="shared" si="507"/>
        <v>4.8675505653430484E-3</v>
      </c>
      <c r="AW1574" s="59">
        <f t="shared" si="508"/>
        <v>1.004867550565343</v>
      </c>
      <c r="AX1574" s="60">
        <f>PRODUCT(AW$4:AW1574)</f>
        <v>2055.6990140157059</v>
      </c>
    </row>
    <row r="1575" spans="45:50">
      <c r="AS1575" s="55">
        <f t="shared" si="506"/>
        <v>131</v>
      </c>
      <c r="AT1575" s="56">
        <f t="shared" si="509"/>
        <v>1572</v>
      </c>
      <c r="AU1575" s="57">
        <f t="shared" si="510"/>
        <v>4.6639722268912323E-4</v>
      </c>
      <c r="AV1575" s="58">
        <f t="shared" si="507"/>
        <v>4.8675505653430484E-3</v>
      </c>
      <c r="AW1575" s="59">
        <f t="shared" si="508"/>
        <v>1.004867550565343</v>
      </c>
      <c r="AX1575" s="60">
        <f>PRODUCT(AW$4:AW1575)</f>
        <v>2065.7052329135531</v>
      </c>
    </row>
    <row r="1576" spans="45:50">
      <c r="AS1576" s="55">
        <f t="shared" si="506"/>
        <v>132</v>
      </c>
      <c r="AT1576" s="56">
        <f t="shared" si="509"/>
        <v>1573</v>
      </c>
      <c r="AU1576" s="57">
        <f t="shared" si="510"/>
        <v>4.6412701062414837E-4</v>
      </c>
      <c r="AV1576" s="58">
        <f t="shared" si="507"/>
        <v>4.8675505653430484E-3</v>
      </c>
      <c r="AW1576" s="59">
        <f t="shared" si="508"/>
        <v>1.004867550565343</v>
      </c>
      <c r="AX1576" s="60">
        <f>PRODUCT(AW$4:AW1576)</f>
        <v>2075.7601575878534</v>
      </c>
    </row>
    <row r="1577" spans="45:50">
      <c r="AS1577" s="55">
        <f t="shared" si="506"/>
        <v>132</v>
      </c>
      <c r="AT1577" s="56">
        <f t="shared" si="509"/>
        <v>1574</v>
      </c>
      <c r="AU1577" s="57">
        <f t="shared" si="510"/>
        <v>4.6186784893119382E-4</v>
      </c>
      <c r="AV1577" s="58">
        <f t="shared" si="507"/>
        <v>4.8675505653430484E-3</v>
      </c>
      <c r="AW1577" s="59">
        <f t="shared" si="508"/>
        <v>1.004867550565343</v>
      </c>
      <c r="AX1577" s="60">
        <f>PRODUCT(AW$4:AW1577)</f>
        <v>2085.8640251164366</v>
      </c>
    </row>
    <row r="1578" spans="45:50">
      <c r="AS1578" s="55">
        <f t="shared" si="506"/>
        <v>132</v>
      </c>
      <c r="AT1578" s="56">
        <f t="shared" si="509"/>
        <v>1575</v>
      </c>
      <c r="AU1578" s="57">
        <f t="shared" si="510"/>
        <v>4.59619683822015E-4</v>
      </c>
      <c r="AV1578" s="58">
        <f t="shared" si="507"/>
        <v>4.8675505653430484E-3</v>
      </c>
      <c r="AW1578" s="59">
        <f t="shared" si="508"/>
        <v>1.004867550565343</v>
      </c>
      <c r="AX1578" s="60">
        <f>PRODUCT(AW$4:AW1578)</f>
        <v>2096.0170737311209</v>
      </c>
    </row>
    <row r="1579" spans="45:50">
      <c r="AS1579" s="55">
        <f t="shared" si="506"/>
        <v>132</v>
      </c>
      <c r="AT1579" s="56">
        <f t="shared" si="509"/>
        <v>1576</v>
      </c>
      <c r="AU1579" s="57">
        <f t="shared" si="510"/>
        <v>4.5738246177018437E-4</v>
      </c>
      <c r="AV1579" s="58">
        <f t="shared" si="507"/>
        <v>4.8675505653430484E-3</v>
      </c>
      <c r="AW1579" s="59">
        <f t="shared" si="508"/>
        <v>1.004867550565343</v>
      </c>
      <c r="AX1579" s="60">
        <f>PRODUCT(AW$4:AW1579)</f>
        <v>2106.2195428233294</v>
      </c>
    </row>
    <row r="1580" spans="45:50">
      <c r="AS1580" s="55">
        <f t="shared" si="506"/>
        <v>132</v>
      </c>
      <c r="AT1580" s="56">
        <f t="shared" si="509"/>
        <v>1577</v>
      </c>
      <c r="AU1580" s="57">
        <f t="shared" si="510"/>
        <v>4.551561295098169E-4</v>
      </c>
      <c r="AV1580" s="58">
        <f t="shared" si="507"/>
        <v>4.8675505653430484E-3</v>
      </c>
      <c r="AW1580" s="59">
        <f t="shared" si="508"/>
        <v>1.004867550565343</v>
      </c>
      <c r="AX1580" s="60">
        <f>PRODUCT(AW$4:AW1580)</f>
        <v>2116.4716729497359</v>
      </c>
    </row>
    <row r="1581" spans="45:50">
      <c r="AS1581" s="55">
        <f t="shared" si="506"/>
        <v>132</v>
      </c>
      <c r="AT1581" s="56">
        <f t="shared" si="509"/>
        <v>1578</v>
      </c>
      <c r="AU1581" s="57">
        <f t="shared" si="510"/>
        <v>4.5294063403430204E-4</v>
      </c>
      <c r="AV1581" s="58">
        <f t="shared" si="507"/>
        <v>4.8675505653430484E-3</v>
      </c>
      <c r="AW1581" s="59">
        <f t="shared" si="508"/>
        <v>1.004867550565343</v>
      </c>
      <c r="AX1581" s="60">
        <f>PRODUCT(AW$4:AW1581)</f>
        <v>2126.7737058379348</v>
      </c>
    </row>
    <row r="1582" spans="45:50">
      <c r="AS1582" s="55">
        <f t="shared" si="506"/>
        <v>132</v>
      </c>
      <c r="AT1582" s="56">
        <f t="shared" si="509"/>
        <v>1579</v>
      </c>
      <c r="AU1582" s="57">
        <f t="shared" si="510"/>
        <v>4.5073592259504156E-4</v>
      </c>
      <c r="AV1582" s="58">
        <f t="shared" si="507"/>
        <v>4.8675505653430484E-3</v>
      </c>
      <c r="AW1582" s="59">
        <f t="shared" si="508"/>
        <v>1.004867550565343</v>
      </c>
      <c r="AX1582" s="60">
        <f>PRODUCT(AW$4:AW1582)</f>
        <v>2137.1258843921428</v>
      </c>
    </row>
    <row r="1583" spans="45:50">
      <c r="AS1583" s="55">
        <f t="shared" si="506"/>
        <v>132</v>
      </c>
      <c r="AT1583" s="56">
        <f t="shared" si="509"/>
        <v>1580</v>
      </c>
      <c r="AU1583" s="57">
        <f t="shared" si="510"/>
        <v>4.4854194270019362E-4</v>
      </c>
      <c r="AV1583" s="58">
        <f t="shared" si="507"/>
        <v>4.8675505653430484E-3</v>
      </c>
      <c r="AW1583" s="59">
        <f t="shared" si="508"/>
        <v>1.004867550565343</v>
      </c>
      <c r="AX1583" s="60">
        <f>PRODUCT(AW$4:AW1583)</f>
        <v>2147.5284526989249</v>
      </c>
    </row>
    <row r="1584" spans="45:50">
      <c r="AS1584" s="55">
        <f t="shared" si="506"/>
        <v>132</v>
      </c>
      <c r="AT1584" s="56">
        <f t="shared" si="509"/>
        <v>1581</v>
      </c>
      <c r="AU1584" s="57">
        <f t="shared" si="510"/>
        <v>4.4635864211342325E-4</v>
      </c>
      <c r="AV1584" s="58">
        <f t="shared" si="507"/>
        <v>4.8675505653430484E-3</v>
      </c>
      <c r="AW1584" s="59">
        <f t="shared" si="508"/>
        <v>1.004867550565343</v>
      </c>
      <c r="AX1584" s="60">
        <f>PRODUCT(AW$4:AW1584)</f>
        <v>2157.98165603295</v>
      </c>
    </row>
    <row r="1585" spans="45:50">
      <c r="AS1585" s="55">
        <f t="shared" si="506"/>
        <v>132</v>
      </c>
      <c r="AT1585" s="56">
        <f t="shared" si="509"/>
        <v>1582</v>
      </c>
      <c r="AU1585" s="57">
        <f t="shared" si="510"/>
        <v>4.441859688526583E-4</v>
      </c>
      <c r="AV1585" s="58">
        <f t="shared" si="507"/>
        <v>4.8675505653430484E-3</v>
      </c>
      <c r="AW1585" s="59">
        <f t="shared" si="508"/>
        <v>1.004867550565343</v>
      </c>
      <c r="AX1585" s="60">
        <f>PRODUCT(AW$4:AW1585)</f>
        <v>2168.4857408627731</v>
      </c>
    </row>
    <row r="1586" spans="45:50">
      <c r="AS1586" s="55">
        <f t="shared" si="506"/>
        <v>132</v>
      </c>
      <c r="AT1586" s="56">
        <f t="shared" si="509"/>
        <v>1583</v>
      </c>
      <c r="AU1586" s="57">
        <f t="shared" si="510"/>
        <v>4.4202387118885212E-4</v>
      </c>
      <c r="AV1586" s="58">
        <f t="shared" si="507"/>
        <v>4.8675505653430484E-3</v>
      </c>
      <c r="AW1586" s="59">
        <f t="shared" si="508"/>
        <v>1.004867550565343</v>
      </c>
      <c r="AX1586" s="60">
        <f>PRODUCT(AW$4:AW1586)</f>
        <v>2179.0409548566481</v>
      </c>
    </row>
    <row r="1587" spans="45:50">
      <c r="AS1587" s="55">
        <f t="shared" si="506"/>
        <v>132</v>
      </c>
      <c r="AT1587" s="56">
        <f t="shared" si="509"/>
        <v>1584</v>
      </c>
      <c r="AU1587" s="57">
        <f t="shared" si="510"/>
        <v>4.3987229764475168E-4</v>
      </c>
      <c r="AV1587" s="58">
        <f t="shared" si="507"/>
        <v>4.8675505653430484E-3</v>
      </c>
      <c r="AW1587" s="59">
        <f t="shared" si="508"/>
        <v>1.004867550565343</v>
      </c>
      <c r="AX1587" s="60">
        <f>PRODUCT(AW$4:AW1587)</f>
        <v>2189.6475468883664</v>
      </c>
    </row>
    <row r="1588" spans="45:50">
      <c r="AS1588" s="55">
        <f t="shared" si="506"/>
        <v>133</v>
      </c>
      <c r="AT1588" s="56">
        <f t="shared" si="509"/>
        <v>1585</v>
      </c>
      <c r="AU1588" s="57">
        <f t="shared" si="510"/>
        <v>4.377311969936722E-4</v>
      </c>
      <c r="AV1588" s="58">
        <f t="shared" si="507"/>
        <v>4.8675505653430484E-3</v>
      </c>
      <c r="AW1588" s="59">
        <f t="shared" si="508"/>
        <v>1.004867550565343</v>
      </c>
      <c r="AX1588" s="60">
        <f>PRODUCT(AW$4:AW1588)</f>
        <v>2200.3057670431249</v>
      </c>
    </row>
    <row r="1589" spans="45:50">
      <c r="AS1589" s="55">
        <f t="shared" si="506"/>
        <v>133</v>
      </c>
      <c r="AT1589" s="56">
        <f t="shared" si="509"/>
        <v>1586</v>
      </c>
      <c r="AU1589" s="57">
        <f t="shared" si="510"/>
        <v>4.3560051825827735E-4</v>
      </c>
      <c r="AV1589" s="58">
        <f t="shared" si="507"/>
        <v>4.8675505653430484E-3</v>
      </c>
      <c r="AW1589" s="59">
        <f t="shared" si="508"/>
        <v>1.004867550565343</v>
      </c>
      <c r="AX1589" s="60">
        <f>PRODUCT(AW$4:AW1589)</f>
        <v>2211.0158666234233</v>
      </c>
    </row>
    <row r="1590" spans="45:50">
      <c r="AS1590" s="55">
        <f t="shared" si="506"/>
        <v>133</v>
      </c>
      <c r="AT1590" s="56">
        <f t="shared" si="509"/>
        <v>1587</v>
      </c>
      <c r="AU1590" s="57">
        <f t="shared" si="510"/>
        <v>4.3348021070936557E-4</v>
      </c>
      <c r="AV1590" s="58">
        <f t="shared" si="507"/>
        <v>4.8675505653430484E-3</v>
      </c>
      <c r="AW1590" s="59">
        <f t="shared" si="508"/>
        <v>1.004867550565343</v>
      </c>
      <c r="AX1590" s="60">
        <f>PRODUCT(AW$4:AW1590)</f>
        <v>2221.7780981549886</v>
      </c>
    </row>
    <row r="1591" spans="45:50">
      <c r="AS1591" s="55">
        <f t="shared" si="506"/>
        <v>133</v>
      </c>
      <c r="AT1591" s="56">
        <f t="shared" si="509"/>
        <v>1588</v>
      </c>
      <c r="AU1591" s="57">
        <f t="shared" si="510"/>
        <v>4.313702238646622E-4</v>
      </c>
      <c r="AV1591" s="58">
        <f t="shared" si="507"/>
        <v>4.8675505653430484E-3</v>
      </c>
      <c r="AW1591" s="59">
        <f t="shared" si="508"/>
        <v>1.004867550565343</v>
      </c>
      <c r="AX1591" s="60">
        <f>PRODUCT(AW$4:AW1591)</f>
        <v>2232.5927153927296</v>
      </c>
    </row>
    <row r="1592" spans="45:50">
      <c r="AS1592" s="55">
        <f t="shared" si="506"/>
        <v>133</v>
      </c>
      <c r="AT1592" s="56">
        <f t="shared" si="509"/>
        <v>1589</v>
      </c>
      <c r="AU1592" s="57">
        <f t="shared" si="510"/>
        <v>4.2927050748761762E-4</v>
      </c>
      <c r="AV1592" s="58">
        <f t="shared" si="507"/>
        <v>4.8675505653430484E-3</v>
      </c>
      <c r="AW1592" s="59">
        <f t="shared" si="508"/>
        <v>1.004867550565343</v>
      </c>
      <c r="AX1592" s="60">
        <f>PRODUCT(AW$4:AW1592)</f>
        <v>2243.45997332672</v>
      </c>
    </row>
    <row r="1593" spans="45:50">
      <c r="AS1593" s="55">
        <f t="shared" si="506"/>
        <v>133</v>
      </c>
      <c r="AT1593" s="56">
        <f t="shared" si="509"/>
        <v>1590</v>
      </c>
      <c r="AU1593" s="57">
        <f t="shared" si="510"/>
        <v>4.2718101158621116E-4</v>
      </c>
      <c r="AV1593" s="58">
        <f t="shared" si="507"/>
        <v>4.8675505653430484E-3</v>
      </c>
      <c r="AW1593" s="59">
        <f t="shared" si="508"/>
        <v>1.004867550565343</v>
      </c>
      <c r="AX1593" s="60">
        <f>PRODUCT(AW$4:AW1593)</f>
        <v>2254.3801281882111</v>
      </c>
    </row>
    <row r="1594" spans="45:50">
      <c r="AS1594" s="55">
        <f t="shared" si="506"/>
        <v>133</v>
      </c>
      <c r="AT1594" s="56">
        <f t="shared" si="509"/>
        <v>1591</v>
      </c>
      <c r="AU1594" s="57">
        <f t="shared" si="510"/>
        <v>4.2510168641176087E-4</v>
      </c>
      <c r="AV1594" s="58">
        <f t="shared" si="507"/>
        <v>4.8675505653430484E-3</v>
      </c>
      <c r="AW1594" s="59">
        <f t="shared" si="508"/>
        <v>1.004867550565343</v>
      </c>
      <c r="AX1594" s="60">
        <f>PRODUCT(AW$4:AW1594)</f>
        <v>2265.3534374556716</v>
      </c>
    </row>
    <row r="1595" spans="45:50">
      <c r="AS1595" s="55">
        <f t="shared" si="506"/>
        <v>133</v>
      </c>
      <c r="AT1595" s="56">
        <f t="shared" si="509"/>
        <v>1592</v>
      </c>
      <c r="AU1595" s="57">
        <f t="shared" si="510"/>
        <v>4.2303248245773901E-4</v>
      </c>
      <c r="AV1595" s="58">
        <f t="shared" si="507"/>
        <v>4.8675505653430484E-3</v>
      </c>
      <c r="AW1595" s="59">
        <f t="shared" si="508"/>
        <v>1.004867550565343</v>
      </c>
      <c r="AX1595" s="60">
        <f>PRODUCT(AW$4:AW1595)</f>
        <v>2276.3801598608607</v>
      </c>
    </row>
    <row r="1596" spans="45:50">
      <c r="AS1596" s="55">
        <f t="shared" si="506"/>
        <v>133</v>
      </c>
      <c r="AT1596" s="56">
        <f t="shared" si="509"/>
        <v>1593</v>
      </c>
      <c r="AU1596" s="57">
        <f t="shared" si="510"/>
        <v>4.2097335045859335E-4</v>
      </c>
      <c r="AV1596" s="58">
        <f t="shared" si="507"/>
        <v>4.8675505653430484E-3</v>
      </c>
      <c r="AW1596" s="59">
        <f t="shared" si="508"/>
        <v>1.004867550565343</v>
      </c>
      <c r="AX1596" s="60">
        <f>PRODUCT(AW$4:AW1596)</f>
        <v>2287.4605553949273</v>
      </c>
    </row>
    <row r="1597" spans="45:50">
      <c r="AS1597" s="55">
        <f t="shared" si="506"/>
        <v>133</v>
      </c>
      <c r="AT1597" s="56">
        <f t="shared" si="509"/>
        <v>1594</v>
      </c>
      <c r="AU1597" s="57">
        <f t="shared" si="510"/>
        <v>4.1892424138857427E-4</v>
      </c>
      <c r="AV1597" s="58">
        <f t="shared" si="507"/>
        <v>4.8675505653430484E-3</v>
      </c>
      <c r="AW1597" s="59">
        <f t="shared" si="508"/>
        <v>1.004867550565343</v>
      </c>
      <c r="AX1597" s="60">
        <f>PRODUCT(AW$4:AW1597)</f>
        <v>2298.5948853145396</v>
      </c>
    </row>
    <row r="1598" spans="45:50">
      <c r="AS1598" s="55">
        <f t="shared" si="506"/>
        <v>133</v>
      </c>
      <c r="AT1598" s="56">
        <f t="shared" si="509"/>
        <v>1595</v>
      </c>
      <c r="AU1598" s="57">
        <f t="shared" si="510"/>
        <v>4.1688510646056739E-4</v>
      </c>
      <c r="AV1598" s="58">
        <f t="shared" si="507"/>
        <v>4.8675505653430484E-3</v>
      </c>
      <c r="AW1598" s="59">
        <f t="shared" si="508"/>
        <v>1.004867550565343</v>
      </c>
      <c r="AX1598" s="60">
        <f>PRODUCT(AW$4:AW1598)</f>
        <v>2309.7834121480469</v>
      </c>
    </row>
    <row r="1599" spans="45:50">
      <c r="AS1599" s="55">
        <f t="shared" si="506"/>
        <v>133</v>
      </c>
      <c r="AT1599" s="56">
        <f t="shared" si="509"/>
        <v>1596</v>
      </c>
      <c r="AU1599" s="57">
        <f t="shared" si="510"/>
        <v>4.1485589712493217E-4</v>
      </c>
      <c r="AV1599" s="58">
        <f t="shared" si="507"/>
        <v>4.8675505653430484E-3</v>
      </c>
      <c r="AW1599" s="59">
        <f t="shared" si="508"/>
        <v>1.004867550565343</v>
      </c>
      <c r="AX1599" s="60">
        <f>PRODUCT(AW$4:AW1599)</f>
        <v>2321.0263997016682</v>
      </c>
    </row>
    <row r="1600" spans="45:50">
      <c r="AS1600" s="55">
        <f t="shared" si="506"/>
        <v>134</v>
      </c>
      <c r="AT1600" s="56">
        <f t="shared" si="509"/>
        <v>1597</v>
      </c>
      <c r="AU1600" s="57">
        <f t="shared" si="510"/>
        <v>4.1283656506834582E-4</v>
      </c>
      <c r="AV1600" s="58">
        <f t="shared" si="507"/>
        <v>4.8675505653430484E-3</v>
      </c>
      <c r="AW1600" s="59">
        <f t="shared" si="508"/>
        <v>1.004867550565343</v>
      </c>
      <c r="AX1600" s="60">
        <f>PRODUCT(AW$4:AW1600)</f>
        <v>2332.324113065712</v>
      </c>
    </row>
    <row r="1601" spans="45:50">
      <c r="AS1601" s="55">
        <f t="shared" si="506"/>
        <v>134</v>
      </c>
      <c r="AT1601" s="56">
        <f t="shared" si="509"/>
        <v>1598</v>
      </c>
      <c r="AU1601" s="57">
        <f t="shared" si="510"/>
        <v>4.1082706221265311E-4</v>
      </c>
      <c r="AV1601" s="58">
        <f t="shared" si="507"/>
        <v>4.8675505653430484E-3</v>
      </c>
      <c r="AW1601" s="59">
        <f t="shared" si="508"/>
        <v>1.004867550565343</v>
      </c>
      <c r="AX1601" s="60">
        <f>PRODUCT(AW$4:AW1601)</f>
        <v>2343.6768186208283</v>
      </c>
    </row>
    <row r="1602" spans="45:50">
      <c r="AS1602" s="55">
        <f t="shared" si="506"/>
        <v>134</v>
      </c>
      <c r="AT1602" s="56">
        <f t="shared" si="509"/>
        <v>1599</v>
      </c>
      <c r="AU1602" s="57">
        <f t="shared" si="510"/>
        <v>4.0882734071372168E-4</v>
      </c>
      <c r="AV1602" s="58">
        <f t="shared" si="507"/>
        <v>4.8675505653430484E-3</v>
      </c>
      <c r="AW1602" s="59">
        <f t="shared" si="508"/>
        <v>1.004867550565343</v>
      </c>
      <c r="AX1602" s="60">
        <f>PRODUCT(AW$4:AW1602)</f>
        <v>2355.0847840442875</v>
      </c>
    </row>
    <row r="1603" spans="45:50">
      <c r="AS1603" s="55">
        <f t="shared" si="506"/>
        <v>134</v>
      </c>
      <c r="AT1603" s="56">
        <f t="shared" si="509"/>
        <v>1600</v>
      </c>
      <c r="AU1603" s="57">
        <f t="shared" si="510"/>
        <v>4.0683735296030292E-4</v>
      </c>
      <c r="AV1603" s="58">
        <f t="shared" si="507"/>
        <v>4.8675505653430484E-3</v>
      </c>
      <c r="AW1603" s="59">
        <f t="shared" si="508"/>
        <v>1.004867550565343</v>
      </c>
      <c r="AX1603" s="60">
        <f>PRODUCT(AW$4:AW1603)</f>
        <v>2366.5482783162929</v>
      </c>
    </row>
    <row r="1604" spans="45:50">
      <c r="AS1604" s="55">
        <f t="shared" si="506"/>
        <v>134</v>
      </c>
      <c r="AT1604" s="56">
        <f t="shared" si="509"/>
        <v>1601</v>
      </c>
      <c r="AU1604" s="57">
        <f t="shared" si="510"/>
        <v>4.0485705157289835E-4</v>
      </c>
      <c r="AV1604" s="58">
        <f t="shared" si="507"/>
        <v>4.8675505653430484E-3</v>
      </c>
      <c r="AW1604" s="59">
        <f t="shared" si="508"/>
        <v>1.004867550565343</v>
      </c>
      <c r="AX1604" s="60">
        <f>PRODUCT(AW$4:AW1604)</f>
        <v>2378.067571726323</v>
      </c>
    </row>
    <row r="1605" spans="45:50">
      <c r="AS1605" s="55">
        <f t="shared" ref="AS1605:AS1668" si="511">ROUNDDOWN((AT1605-1)/12,0)+1</f>
        <v>134</v>
      </c>
      <c r="AT1605" s="56">
        <f t="shared" si="509"/>
        <v>1602</v>
      </c>
      <c r="AU1605" s="57">
        <f t="shared" si="510"/>
        <v>4.0288638940263159E-4</v>
      </c>
      <c r="AV1605" s="58">
        <f t="shared" ref="AV1605:AV1668" si="512">((1+$AV$1)^(1/12))-1</f>
        <v>4.8675505653430484E-3</v>
      </c>
      <c r="AW1605" s="59">
        <f t="shared" ref="AW1605:AW1668" si="513">(1+AV1605)</f>
        <v>1.004867550565343</v>
      </c>
      <c r="AX1605" s="60">
        <f>PRODUCT(AW$4:AW1605)</f>
        <v>2389.6429358795035</v>
      </c>
    </row>
    <row r="1606" spans="45:50">
      <c r="AS1606" s="55">
        <f t="shared" si="511"/>
        <v>134</v>
      </c>
      <c r="AT1606" s="56">
        <f t="shared" ref="AT1606:AT1669" si="514">AT1605+1</f>
        <v>1603</v>
      </c>
      <c r="AU1606" s="57">
        <f t="shared" si="510"/>
        <v>4.0092531953012578E-4</v>
      </c>
      <c r="AV1606" s="58">
        <f t="shared" si="512"/>
        <v>4.8675505653430484E-3</v>
      </c>
      <c r="AW1606" s="59">
        <f t="shared" si="513"/>
        <v>1.004867550565343</v>
      </c>
      <c r="AX1606" s="60">
        <f>PRODUCT(AW$4:AW1606)</f>
        <v>2401.2746437030119</v>
      </c>
    </row>
    <row r="1607" spans="45:50">
      <c r="AS1607" s="55">
        <f t="shared" si="511"/>
        <v>134</v>
      </c>
      <c r="AT1607" s="56">
        <f t="shared" si="514"/>
        <v>1604</v>
      </c>
      <c r="AU1607" s="57">
        <f t="shared" si="510"/>
        <v>3.9897379526438657E-4</v>
      </c>
      <c r="AV1607" s="58">
        <f t="shared" si="512"/>
        <v>4.8675505653430484E-3</v>
      </c>
      <c r="AW1607" s="59">
        <f t="shared" si="513"/>
        <v>1.004867550565343</v>
      </c>
      <c r="AX1607" s="60">
        <f>PRODUCT(AW$4:AW1607)</f>
        <v>2412.9629694525124</v>
      </c>
    </row>
    <row r="1608" spans="45:50">
      <c r="AS1608" s="55">
        <f t="shared" si="511"/>
        <v>134</v>
      </c>
      <c r="AT1608" s="56">
        <f t="shared" si="514"/>
        <v>1605</v>
      </c>
      <c r="AU1608" s="57">
        <f t="shared" si="510"/>
        <v>3.9703177014169033E-4</v>
      </c>
      <c r="AV1608" s="58">
        <f t="shared" si="512"/>
        <v>4.8675505653430484E-3</v>
      </c>
      <c r="AW1608" s="59">
        <f t="shared" si="513"/>
        <v>1.004867550565343</v>
      </c>
      <c r="AX1608" s="60">
        <f>PRODUCT(AW$4:AW1608)</f>
        <v>2424.7081887186228</v>
      </c>
    </row>
    <row r="1609" spans="45:50">
      <c r="AS1609" s="55">
        <f t="shared" si="511"/>
        <v>134</v>
      </c>
      <c r="AT1609" s="56">
        <f t="shared" si="514"/>
        <v>1606</v>
      </c>
      <c r="AU1609" s="57">
        <f t="shared" si="510"/>
        <v>3.9509919792447802E-4</v>
      </c>
      <c r="AV1609" s="58">
        <f t="shared" si="512"/>
        <v>4.8675505653430484E-3</v>
      </c>
      <c r="AW1609" s="59">
        <f t="shared" si="513"/>
        <v>1.004867550565343</v>
      </c>
      <c r="AX1609" s="60">
        <f>PRODUCT(AW$4:AW1609)</f>
        <v>2436.5105784334119</v>
      </c>
    </row>
    <row r="1610" spans="45:50">
      <c r="AS1610" s="55">
        <f t="shared" si="511"/>
        <v>134</v>
      </c>
      <c r="AT1610" s="56">
        <f t="shared" si="514"/>
        <v>1607</v>
      </c>
      <c r="AU1610" s="57">
        <f t="shared" si="510"/>
        <v>3.9317603260025411E-4</v>
      </c>
      <c r="AV1610" s="58">
        <f t="shared" si="512"/>
        <v>4.8675505653430484E-3</v>
      </c>
      <c r="AW1610" s="59">
        <f t="shared" si="513"/>
        <v>1.004867550565343</v>
      </c>
      <c r="AX1610" s="60">
        <f>PRODUCT(AW$4:AW1610)</f>
        <v>2448.3704168769295</v>
      </c>
    </row>
    <row r="1611" spans="45:50">
      <c r="AS1611" s="55">
        <f t="shared" si="511"/>
        <v>134</v>
      </c>
      <c r="AT1611" s="56">
        <f t="shared" si="514"/>
        <v>1608</v>
      </c>
      <c r="AU1611" s="57">
        <f t="shared" si="510"/>
        <v>3.9126222838049141E-4</v>
      </c>
      <c r="AV1611" s="58">
        <f t="shared" si="512"/>
        <v>4.8675505653430484E-3</v>
      </c>
      <c r="AW1611" s="59">
        <f t="shared" si="513"/>
        <v>1.004867550565343</v>
      </c>
      <c r="AX1611" s="60">
        <f>PRODUCT(AW$4:AW1611)</f>
        <v>2460.2879836837678</v>
      </c>
    </row>
    <row r="1612" spans="45:50">
      <c r="AS1612" s="55">
        <f t="shared" si="511"/>
        <v>135</v>
      </c>
      <c r="AT1612" s="56">
        <f t="shared" si="514"/>
        <v>1609</v>
      </c>
      <c r="AU1612" s="57">
        <f t="shared" si="510"/>
        <v>3.8935773969954056E-4</v>
      </c>
      <c r="AV1612" s="58">
        <f t="shared" si="512"/>
        <v>4.8675505653430484E-3</v>
      </c>
      <c r="AW1612" s="59">
        <f t="shared" si="513"/>
        <v>1.004867550565343</v>
      </c>
      <c r="AX1612" s="60">
        <f>PRODUCT(AW$4:AW1612)</f>
        <v>2472.2635598496545</v>
      </c>
    </row>
    <row r="1613" spans="45:50">
      <c r="AS1613" s="55">
        <f t="shared" si="511"/>
        <v>135</v>
      </c>
      <c r="AT1613" s="56">
        <f t="shared" si="514"/>
        <v>1610</v>
      </c>
      <c r="AU1613" s="57">
        <f t="shared" si="510"/>
        <v>3.8746252121354534E-4</v>
      </c>
      <c r="AV1613" s="58">
        <f t="shared" si="512"/>
        <v>4.8675505653430484E-3</v>
      </c>
      <c r="AW1613" s="59">
        <f t="shared" si="513"/>
        <v>1.004867550565343</v>
      </c>
      <c r="AX1613" s="60">
        <f>PRODUCT(AW$4:AW1613)</f>
        <v>2484.2974277380777</v>
      </c>
    </row>
    <row r="1614" spans="45:50">
      <c r="AS1614" s="55">
        <f t="shared" si="511"/>
        <v>135</v>
      </c>
      <c r="AT1614" s="56">
        <f t="shared" si="514"/>
        <v>1611</v>
      </c>
      <c r="AU1614" s="57">
        <f t="shared" si="510"/>
        <v>3.8557652779936313E-4</v>
      </c>
      <c r="AV1614" s="58">
        <f t="shared" si="512"/>
        <v>4.8675505653430484E-3</v>
      </c>
      <c r="AW1614" s="59">
        <f t="shared" si="513"/>
        <v>1.004867550565343</v>
      </c>
      <c r="AX1614" s="60">
        <f>PRODUCT(AW$4:AW1614)</f>
        <v>2496.3898710869444</v>
      </c>
    </row>
    <row r="1615" spans="45:50">
      <c r="AS1615" s="55">
        <f t="shared" si="511"/>
        <v>135</v>
      </c>
      <c r="AT1615" s="56">
        <f t="shared" si="514"/>
        <v>1612</v>
      </c>
      <c r="AU1615" s="57">
        <f t="shared" ref="AU1615:AU1678" si="515">(1-AV1615)*AU1614</f>
        <v>3.8369971455349031E-4</v>
      </c>
      <c r="AV1615" s="58">
        <f t="shared" si="512"/>
        <v>4.8675505653430484E-3</v>
      </c>
      <c r="AW1615" s="59">
        <f t="shared" si="513"/>
        <v>1.004867550565343</v>
      </c>
      <c r="AX1615" s="60">
        <f>PRODUCT(AW$4:AW1615)</f>
        <v>2508.5411750152703</v>
      </c>
    </row>
    <row r="1616" spans="45:50">
      <c r="AS1616" s="55">
        <f t="shared" si="511"/>
        <v>135</v>
      </c>
      <c r="AT1616" s="56">
        <f t="shared" si="514"/>
        <v>1613</v>
      </c>
      <c r="AU1616" s="57">
        <f t="shared" si="515"/>
        <v>3.8183203679099351E-4</v>
      </c>
      <c r="AV1616" s="58">
        <f t="shared" si="512"/>
        <v>4.8675505653430484E-3</v>
      </c>
      <c r="AW1616" s="59">
        <f t="shared" si="513"/>
        <v>1.004867550565343</v>
      </c>
      <c r="AX1616" s="60">
        <f>PRODUCT(AW$4:AW1616)</f>
        <v>2520.7516260299021</v>
      </c>
    </row>
    <row r="1617" spans="45:50">
      <c r="AS1617" s="55">
        <f t="shared" si="511"/>
        <v>135</v>
      </c>
      <c r="AT1617" s="56">
        <f t="shared" si="514"/>
        <v>1614</v>
      </c>
      <c r="AU1617" s="57">
        <f t="shared" si="515"/>
        <v>3.7997345004444542E-4</v>
      </c>
      <c r="AV1617" s="58">
        <f t="shared" si="512"/>
        <v>4.8675505653430484E-3</v>
      </c>
      <c r="AW1617" s="59">
        <f t="shared" si="513"/>
        <v>1.004867550565343</v>
      </c>
      <c r="AX1617" s="60">
        <f>PRODUCT(AW$4:AW1617)</f>
        <v>2533.0215120322732</v>
      </c>
    </row>
    <row r="1618" spans="45:50">
      <c r="AS1618" s="55">
        <f t="shared" si="511"/>
        <v>135</v>
      </c>
      <c r="AT1618" s="56">
        <f t="shared" si="514"/>
        <v>1615</v>
      </c>
      <c r="AU1618" s="57">
        <f t="shared" si="515"/>
        <v>3.7812391006286622E-4</v>
      </c>
      <c r="AV1618" s="58">
        <f t="shared" si="512"/>
        <v>4.8675505653430484E-3</v>
      </c>
      <c r="AW1618" s="59">
        <f t="shared" si="513"/>
        <v>1.004867550565343</v>
      </c>
      <c r="AX1618" s="60">
        <f>PRODUCT(AW$4:AW1618)</f>
        <v>2545.3511223251921</v>
      </c>
    </row>
    <row r="1619" spans="45:50">
      <c r="AS1619" s="55">
        <f t="shared" si="511"/>
        <v>135</v>
      </c>
      <c r="AT1619" s="56">
        <f t="shared" si="514"/>
        <v>1616</v>
      </c>
      <c r="AU1619" s="57">
        <f t="shared" si="515"/>
        <v>3.7628337281067002E-4</v>
      </c>
      <c r="AV1619" s="58">
        <f t="shared" si="512"/>
        <v>4.8675505653430484E-3</v>
      </c>
      <c r="AW1619" s="59">
        <f t="shared" si="513"/>
        <v>1.004867550565343</v>
      </c>
      <c r="AX1619" s="60">
        <f>PRODUCT(AW$4:AW1619)</f>
        <v>2557.7407476196627</v>
      </c>
    </row>
    <row r="1620" spans="45:50">
      <c r="AS1620" s="55">
        <f t="shared" si="511"/>
        <v>135</v>
      </c>
      <c r="AT1620" s="56">
        <f t="shared" si="514"/>
        <v>1617</v>
      </c>
      <c r="AU1620" s="57">
        <f t="shared" si="515"/>
        <v>3.7445179446661623E-4</v>
      </c>
      <c r="AV1620" s="58">
        <f t="shared" si="512"/>
        <v>4.8675505653430484E-3</v>
      </c>
      <c r="AW1620" s="59">
        <f t="shared" si="513"/>
        <v>1.004867550565343</v>
      </c>
      <c r="AX1620" s="60">
        <f>PRODUCT(AW$4:AW1620)</f>
        <v>2570.1906800417396</v>
      </c>
    </row>
    <row r="1621" spans="45:50">
      <c r="AS1621" s="55">
        <f t="shared" si="511"/>
        <v>135</v>
      </c>
      <c r="AT1621" s="56">
        <f t="shared" si="514"/>
        <v>1618</v>
      </c>
      <c r="AU1621" s="57">
        <f t="shared" si="515"/>
        <v>3.7262913142276652E-4</v>
      </c>
      <c r="AV1621" s="58">
        <f t="shared" si="512"/>
        <v>4.8675505653430484E-3</v>
      </c>
      <c r="AW1621" s="59">
        <f t="shared" si="513"/>
        <v>1.004867550565343</v>
      </c>
      <c r="AX1621" s="60">
        <f>PRODUCT(AW$4:AW1621)</f>
        <v>2582.7012131394163</v>
      </c>
    </row>
    <row r="1622" spans="45:50">
      <c r="AS1622" s="55">
        <f t="shared" si="511"/>
        <v>135</v>
      </c>
      <c r="AT1622" s="56">
        <f t="shared" si="514"/>
        <v>1619</v>
      </c>
      <c r="AU1622" s="57">
        <f t="shared" si="515"/>
        <v>3.7081534028344637E-4</v>
      </c>
      <c r="AV1622" s="58">
        <f t="shared" si="512"/>
        <v>4.8675505653430484E-3</v>
      </c>
      <c r="AW1622" s="59">
        <f t="shared" si="513"/>
        <v>1.004867550565343</v>
      </c>
      <c r="AX1622" s="60">
        <f>PRODUCT(AW$4:AW1622)</f>
        <v>2595.2726418895454</v>
      </c>
    </row>
    <row r="1623" spans="45:50">
      <c r="AS1623" s="55">
        <f t="shared" si="511"/>
        <v>135</v>
      </c>
      <c r="AT1623" s="56">
        <f t="shared" si="514"/>
        <v>1620</v>
      </c>
      <c r="AU1623" s="57">
        <f t="shared" si="515"/>
        <v>3.6901037786421178E-4</v>
      </c>
      <c r="AV1623" s="58">
        <f t="shared" si="512"/>
        <v>4.8675505653430484E-3</v>
      </c>
      <c r="AW1623" s="59">
        <f t="shared" si="513"/>
        <v>1.004867550565343</v>
      </c>
      <c r="AX1623" s="60">
        <f>PRODUCT(AW$4:AW1623)</f>
        <v>2607.905262704794</v>
      </c>
    </row>
    <row r="1624" spans="45:50">
      <c r="AS1624" s="55">
        <f t="shared" si="511"/>
        <v>136</v>
      </c>
      <c r="AT1624" s="56">
        <f t="shared" si="514"/>
        <v>1621</v>
      </c>
      <c r="AU1624" s="57">
        <f t="shared" si="515"/>
        <v>3.6721420119082137E-4</v>
      </c>
      <c r="AV1624" s="58">
        <f t="shared" si="512"/>
        <v>4.8675505653430484E-3</v>
      </c>
      <c r="AW1624" s="59">
        <f t="shared" si="513"/>
        <v>1.004867550565343</v>
      </c>
      <c r="AX1624" s="60">
        <f>PRODUCT(AW$4:AW1624)</f>
        <v>2620.5993734406338</v>
      </c>
    </row>
    <row r="1625" spans="45:50">
      <c r="AS1625" s="55">
        <f t="shared" si="511"/>
        <v>136</v>
      </c>
      <c r="AT1625" s="56">
        <f t="shared" si="514"/>
        <v>1622</v>
      </c>
      <c r="AU1625" s="57">
        <f t="shared" si="515"/>
        <v>3.6542676749821301E-4</v>
      </c>
      <c r="AV1625" s="58">
        <f t="shared" si="512"/>
        <v>4.8675505653430484E-3</v>
      </c>
      <c r="AW1625" s="59">
        <f t="shared" si="513"/>
        <v>1.004867550565343</v>
      </c>
      <c r="AX1625" s="60">
        <f>PRODUCT(AW$4:AW1625)</f>
        <v>2633.3552734023624</v>
      </c>
    </row>
    <row r="1626" spans="45:50">
      <c r="AS1626" s="55">
        <f t="shared" si="511"/>
        <v>136</v>
      </c>
      <c r="AT1626" s="56">
        <f t="shared" si="514"/>
        <v>1623</v>
      </c>
      <c r="AU1626" s="57">
        <f t="shared" si="515"/>
        <v>3.6364803422948562E-4</v>
      </c>
      <c r="AV1626" s="58">
        <f t="shared" si="512"/>
        <v>4.8675505653430484E-3</v>
      </c>
      <c r="AW1626" s="59">
        <f t="shared" si="513"/>
        <v>1.004867550565343</v>
      </c>
      <c r="AX1626" s="60">
        <f>PRODUCT(AW$4:AW1626)</f>
        <v>2646.173263352161</v>
      </c>
    </row>
    <row r="1627" spans="45:50">
      <c r="AS1627" s="55">
        <f t="shared" si="511"/>
        <v>136</v>
      </c>
      <c r="AT1627" s="56">
        <f t="shared" si="514"/>
        <v>1624</v>
      </c>
      <c r="AU1627" s="57">
        <f t="shared" si="515"/>
        <v>3.6187795903488599E-4</v>
      </c>
      <c r="AV1627" s="58">
        <f t="shared" si="512"/>
        <v>4.8675505653430484E-3</v>
      </c>
      <c r="AW1627" s="59">
        <f t="shared" si="513"/>
        <v>1.004867550565343</v>
      </c>
      <c r="AX1627" s="60">
        <f>PRODUCT(AW$4:AW1627)</f>
        <v>2659.0536455161864</v>
      </c>
    </row>
    <row r="1628" spans="45:50">
      <c r="AS1628" s="55">
        <f t="shared" si="511"/>
        <v>136</v>
      </c>
      <c r="AT1628" s="56">
        <f t="shared" si="514"/>
        <v>1625</v>
      </c>
      <c r="AU1628" s="57">
        <f t="shared" si="515"/>
        <v>3.6011649977080054E-4</v>
      </c>
      <c r="AV1628" s="58">
        <f t="shared" si="512"/>
        <v>4.8675505653430484E-3</v>
      </c>
      <c r="AW1628" s="59">
        <f t="shared" si="513"/>
        <v>1.004867550565343</v>
      </c>
      <c r="AX1628" s="60">
        <f>PRODUCT(AW$4:AW1628)</f>
        <v>2671.9967235916961</v>
      </c>
    </row>
    <row r="1629" spans="45:50">
      <c r="AS1629" s="55">
        <f t="shared" si="511"/>
        <v>136</v>
      </c>
      <c r="AT1629" s="56">
        <f t="shared" si="514"/>
        <v>1626</v>
      </c>
      <c r="AU1629" s="57">
        <f t="shared" si="515"/>
        <v>3.5836361449875185E-4</v>
      </c>
      <c r="AV1629" s="58">
        <f t="shared" si="512"/>
        <v>4.8675505653430484E-3</v>
      </c>
      <c r="AW1629" s="59">
        <f t="shared" si="513"/>
        <v>1.004867550565343</v>
      </c>
      <c r="AX1629" s="60">
        <f>PRODUCT(AW$4:AW1629)</f>
        <v>2685.0028027542098</v>
      </c>
    </row>
    <row r="1630" spans="45:50">
      <c r="AS1630" s="55">
        <f t="shared" si="511"/>
        <v>136</v>
      </c>
      <c r="AT1630" s="56">
        <f t="shared" si="514"/>
        <v>1627</v>
      </c>
      <c r="AU1630" s="57">
        <f t="shared" si="515"/>
        <v>3.5661926148440007E-4</v>
      </c>
      <c r="AV1630" s="58">
        <f t="shared" si="512"/>
        <v>4.8675505653430484E-3</v>
      </c>
      <c r="AW1630" s="59">
        <f t="shared" si="513"/>
        <v>1.004867550565343</v>
      </c>
      <c r="AX1630" s="60">
        <f>PRODUCT(AW$4:AW1630)</f>
        <v>2698.0721896647037</v>
      </c>
    </row>
    <row r="1631" spans="45:50">
      <c r="AS1631" s="55">
        <f t="shared" si="511"/>
        <v>136</v>
      </c>
      <c r="AT1631" s="56">
        <f t="shared" si="514"/>
        <v>1628</v>
      </c>
      <c r="AU1631" s="57">
        <f t="shared" si="515"/>
        <v>3.5488339919654947E-4</v>
      </c>
      <c r="AV1631" s="58">
        <f t="shared" si="512"/>
        <v>4.8675505653430484E-3</v>
      </c>
      <c r="AW1631" s="59">
        <f t="shared" si="513"/>
        <v>1.004867550565343</v>
      </c>
      <c r="AX1631" s="60">
        <f>PRODUCT(AW$4:AW1631)</f>
        <v>2711.2051924768425</v>
      </c>
    </row>
    <row r="1632" spans="45:50">
      <c r="AS1632" s="55">
        <f t="shared" si="511"/>
        <v>136</v>
      </c>
      <c r="AT1632" s="56">
        <f t="shared" si="514"/>
        <v>1629</v>
      </c>
      <c r="AU1632" s="57">
        <f t="shared" si="515"/>
        <v>3.5315598630615943E-4</v>
      </c>
      <c r="AV1632" s="58">
        <f t="shared" si="512"/>
        <v>4.8675505653430484E-3</v>
      </c>
      <c r="AW1632" s="59">
        <f t="shared" si="513"/>
        <v>1.004867550565343</v>
      </c>
      <c r="AX1632" s="60">
        <f>PRODUCT(AW$4:AW1632)</f>
        <v>2724.4021208442441</v>
      </c>
    </row>
    <row r="1633" spans="45:50">
      <c r="AS1633" s="55">
        <f t="shared" si="511"/>
        <v>136</v>
      </c>
      <c r="AT1633" s="56">
        <f t="shared" si="514"/>
        <v>1630</v>
      </c>
      <c r="AU1633" s="57">
        <f t="shared" si="515"/>
        <v>3.5143698168536061E-4</v>
      </c>
      <c r="AV1633" s="58">
        <f t="shared" si="512"/>
        <v>4.8675505653430484E-3</v>
      </c>
      <c r="AW1633" s="59">
        <f t="shared" si="513"/>
        <v>1.004867550565343</v>
      </c>
      <c r="AX1633" s="60">
        <f>PRODUCT(AW$4:AW1633)</f>
        <v>2737.6632859277811</v>
      </c>
    </row>
    <row r="1634" spans="45:50">
      <c r="AS1634" s="55">
        <f t="shared" si="511"/>
        <v>136</v>
      </c>
      <c r="AT1634" s="56">
        <f t="shared" si="514"/>
        <v>1631</v>
      </c>
      <c r="AU1634" s="57">
        <f t="shared" si="515"/>
        <v>3.4972634440647558E-4</v>
      </c>
      <c r="AV1634" s="58">
        <f t="shared" si="512"/>
        <v>4.8675505653430484E-3</v>
      </c>
      <c r="AW1634" s="59">
        <f t="shared" si="513"/>
        <v>1.004867550565343</v>
      </c>
      <c r="AX1634" s="60">
        <f>PRODUCT(AW$4:AW1634)</f>
        <v>2750.9890004029176</v>
      </c>
    </row>
    <row r="1635" spans="45:50">
      <c r="AS1635" s="55">
        <f t="shared" si="511"/>
        <v>136</v>
      </c>
      <c r="AT1635" s="56">
        <f t="shared" si="514"/>
        <v>1632</v>
      </c>
      <c r="AU1635" s="57">
        <f t="shared" si="515"/>
        <v>3.4802403374104446E-4</v>
      </c>
      <c r="AV1635" s="58">
        <f t="shared" si="512"/>
        <v>4.8675505653430484E-3</v>
      </c>
      <c r="AW1635" s="59">
        <f t="shared" si="513"/>
        <v>1.004867550565343</v>
      </c>
      <c r="AX1635" s="60">
        <f>PRODUCT(AW$4:AW1635)</f>
        <v>2764.3795784670815</v>
      </c>
    </row>
    <row r="1636" spans="45:50">
      <c r="AS1636" s="55">
        <f t="shared" si="511"/>
        <v>137</v>
      </c>
      <c r="AT1636" s="56">
        <f t="shared" si="514"/>
        <v>1633</v>
      </c>
      <c r="AU1636" s="57">
        <f t="shared" si="515"/>
        <v>3.4633000915885526E-4</v>
      </c>
      <c r="AV1636" s="58">
        <f t="shared" si="512"/>
        <v>4.8675505653430484E-3</v>
      </c>
      <c r="AW1636" s="59">
        <f t="shared" si="513"/>
        <v>1.004867550565343</v>
      </c>
      <c r="AX1636" s="60">
        <f>PRODUCT(AW$4:AW1636)</f>
        <v>2777.8353358470717</v>
      </c>
    </row>
    <row r="1637" spans="45:50">
      <c r="AS1637" s="55">
        <f t="shared" si="511"/>
        <v>137</v>
      </c>
      <c r="AT1637" s="56">
        <f t="shared" si="514"/>
        <v>1634</v>
      </c>
      <c r="AU1637" s="57">
        <f t="shared" si="515"/>
        <v>3.4464423032697881E-4</v>
      </c>
      <c r="AV1637" s="58">
        <f t="shared" si="512"/>
        <v>4.8675505653430484E-3</v>
      </c>
      <c r="AW1637" s="59">
        <f t="shared" si="513"/>
        <v>1.004867550565343</v>
      </c>
      <c r="AX1637" s="60">
        <f>PRODUCT(AW$4:AW1637)</f>
        <v>2791.356589806504</v>
      </c>
    </row>
    <row r="1638" spans="45:50">
      <c r="AS1638" s="55">
        <f t="shared" si="511"/>
        <v>137</v>
      </c>
      <c r="AT1638" s="56">
        <f t="shared" si="514"/>
        <v>1635</v>
      </c>
      <c r="AU1638" s="57">
        <f t="shared" si="515"/>
        <v>3.429666571088085E-4</v>
      </c>
      <c r="AV1638" s="58">
        <f t="shared" si="512"/>
        <v>4.8675505653430484E-3</v>
      </c>
      <c r="AW1638" s="59">
        <f t="shared" si="513"/>
        <v>1.004867550565343</v>
      </c>
      <c r="AX1638" s="60">
        <f>PRODUCT(AW$4:AW1638)</f>
        <v>2804.9436591532908</v>
      </c>
    </row>
    <row r="1639" spans="45:50">
      <c r="AS1639" s="55">
        <f t="shared" si="511"/>
        <v>137</v>
      </c>
      <c r="AT1639" s="56">
        <f t="shared" si="514"/>
        <v>1636</v>
      </c>
      <c r="AU1639" s="57">
        <f t="shared" si="515"/>
        <v>3.4129724956310467E-4</v>
      </c>
      <c r="AV1639" s="58">
        <f t="shared" si="512"/>
        <v>4.8675505653430484E-3</v>
      </c>
      <c r="AW1639" s="59">
        <f t="shared" si="513"/>
        <v>1.004867550565343</v>
      </c>
      <c r="AX1639" s="60">
        <f>PRODUCT(AW$4:AW1639)</f>
        <v>2818.596864247158</v>
      </c>
    </row>
    <row r="1640" spans="45:50">
      <c r="AS1640" s="55">
        <f t="shared" si="511"/>
        <v>137</v>
      </c>
      <c r="AT1640" s="56">
        <f t="shared" si="514"/>
        <v>1637</v>
      </c>
      <c r="AU1640" s="57">
        <f t="shared" si="515"/>
        <v>3.3963596794304377E-4</v>
      </c>
      <c r="AV1640" s="58">
        <f t="shared" si="512"/>
        <v>4.8675505653430484E-3</v>
      </c>
      <c r="AW1640" s="59">
        <f t="shared" si="513"/>
        <v>1.004867550565343</v>
      </c>
      <c r="AX1640" s="60">
        <f>PRODUCT(AW$4:AW1640)</f>
        <v>2832.3165270071986</v>
      </c>
    </row>
    <row r="1641" spans="45:50">
      <c r="AS1641" s="55">
        <f t="shared" si="511"/>
        <v>137</v>
      </c>
      <c r="AT1641" s="56">
        <f t="shared" si="514"/>
        <v>1638</v>
      </c>
      <c r="AU1641" s="57">
        <f t="shared" si="515"/>
        <v>3.3798277269527177E-4</v>
      </c>
      <c r="AV1641" s="58">
        <f t="shared" si="512"/>
        <v>4.8675505653430484E-3</v>
      </c>
      <c r="AW1641" s="59">
        <f t="shared" si="513"/>
        <v>1.004867550565343</v>
      </c>
      <c r="AX1641" s="60">
        <f>PRODUCT(AW$4:AW1641)</f>
        <v>2846.1029709194631</v>
      </c>
    </row>
    <row r="1642" spans="45:50">
      <c r="AS1642" s="55">
        <f t="shared" si="511"/>
        <v>137</v>
      </c>
      <c r="AT1642" s="56">
        <f t="shared" si="514"/>
        <v>1639</v>
      </c>
      <c r="AU1642" s="57">
        <f t="shared" si="515"/>
        <v>3.363376244589627E-4</v>
      </c>
      <c r="AV1642" s="58">
        <f t="shared" si="512"/>
        <v>4.8675505653430484E-3</v>
      </c>
      <c r="AW1642" s="59">
        <f t="shared" si="513"/>
        <v>1.004867550565343</v>
      </c>
      <c r="AX1642" s="60">
        <f>PRODUCT(AW$4:AW1642)</f>
        <v>2859.9565210445867</v>
      </c>
    </row>
    <row r="1643" spans="45:50">
      <c r="AS1643" s="55">
        <f t="shared" si="511"/>
        <v>137</v>
      </c>
      <c r="AT1643" s="56">
        <f t="shared" si="514"/>
        <v>1640</v>
      </c>
      <c r="AU1643" s="57">
        <f t="shared" si="515"/>
        <v>3.3470048406488134E-4</v>
      </c>
      <c r="AV1643" s="58">
        <f t="shared" si="512"/>
        <v>4.8675505653430484E-3</v>
      </c>
      <c r="AW1643" s="59">
        <f t="shared" si="513"/>
        <v>1.004867550565343</v>
      </c>
      <c r="AX1643" s="60">
        <f>PRODUCT(AW$4:AW1643)</f>
        <v>2873.8775040254536</v>
      </c>
    </row>
    <row r="1644" spans="45:50">
      <c r="AS1644" s="55">
        <f t="shared" si="511"/>
        <v>137</v>
      </c>
      <c r="AT1644" s="56">
        <f t="shared" si="514"/>
        <v>1641</v>
      </c>
      <c r="AU1644" s="57">
        <f t="shared" si="515"/>
        <v>3.3307131253445074E-4</v>
      </c>
      <c r="AV1644" s="58">
        <f t="shared" si="512"/>
        <v>4.8675505653430484E-3</v>
      </c>
      <c r="AW1644" s="59">
        <f t="shared" si="513"/>
        <v>1.004867550565343</v>
      </c>
      <c r="AX1644" s="60">
        <f>PRODUCT(AW$4:AW1644)</f>
        <v>2887.8662480948992</v>
      </c>
    </row>
    <row r="1645" spans="45:50">
      <c r="AS1645" s="55">
        <f t="shared" si="511"/>
        <v>137</v>
      </c>
      <c r="AT1645" s="56">
        <f t="shared" si="514"/>
        <v>1642</v>
      </c>
      <c r="AU1645" s="57">
        <f t="shared" si="515"/>
        <v>3.3145007107882409E-4</v>
      </c>
      <c r="AV1645" s="58">
        <f t="shared" si="512"/>
        <v>4.8675505653430484E-3</v>
      </c>
      <c r="AW1645" s="59">
        <f t="shared" si="513"/>
        <v>1.004867550565343</v>
      </c>
      <c r="AX1645" s="60">
        <f>PRODUCT(AW$4:AW1645)</f>
        <v>2901.9230830834485</v>
      </c>
    </row>
    <row r="1646" spans="45:50">
      <c r="AS1646" s="55">
        <f t="shared" si="511"/>
        <v>137</v>
      </c>
      <c r="AT1646" s="56">
        <f t="shared" si="514"/>
        <v>1643</v>
      </c>
      <c r="AU1646" s="57">
        <f t="shared" si="515"/>
        <v>3.2983672109796136E-4</v>
      </c>
      <c r="AV1646" s="58">
        <f t="shared" si="512"/>
        <v>4.8675505653430484E-3</v>
      </c>
      <c r="AW1646" s="59">
        <f t="shared" si="513"/>
        <v>1.004867550565343</v>
      </c>
      <c r="AX1646" s="60">
        <f>PRODUCT(AW$4:AW1646)</f>
        <v>2916.0483404270935</v>
      </c>
    </row>
    <row r="1647" spans="45:50">
      <c r="AS1647" s="55">
        <f t="shared" si="511"/>
        <v>137</v>
      </c>
      <c r="AT1647" s="56">
        <f t="shared" si="514"/>
        <v>1644</v>
      </c>
      <c r="AU1647" s="57">
        <f t="shared" si="515"/>
        <v>3.2823122417971007E-4</v>
      </c>
      <c r="AV1647" s="58">
        <f t="shared" si="512"/>
        <v>4.8675505653430484E-3</v>
      </c>
      <c r="AW1647" s="59">
        <f t="shared" si="513"/>
        <v>1.004867550565343</v>
      </c>
      <c r="AX1647" s="60">
        <f>PRODUCT(AW$4:AW1647)</f>
        <v>2930.2423531751069</v>
      </c>
    </row>
    <row r="1648" spans="45:50">
      <c r="AS1648" s="55">
        <f t="shared" si="511"/>
        <v>138</v>
      </c>
      <c r="AT1648" s="56">
        <f t="shared" si="514"/>
        <v>1645</v>
      </c>
      <c r="AU1648" s="57">
        <f t="shared" si="515"/>
        <v>3.266335420988909E-4</v>
      </c>
      <c r="AV1648" s="58">
        <f t="shared" si="512"/>
        <v>4.8675505653430484E-3</v>
      </c>
      <c r="AW1648" s="59">
        <f t="shared" si="513"/>
        <v>1.004867550565343</v>
      </c>
      <c r="AX1648" s="60">
        <f>PRODUCT(AW$4:AW1648)</f>
        <v>2944.5054559978967</v>
      </c>
    </row>
    <row r="1649" spans="45:50">
      <c r="AS1649" s="55">
        <f t="shared" si="511"/>
        <v>138</v>
      </c>
      <c r="AT1649" s="56">
        <f t="shared" si="514"/>
        <v>1646</v>
      </c>
      <c r="AU1649" s="57">
        <f t="shared" si="515"/>
        <v>3.2504363681638745E-4</v>
      </c>
      <c r="AV1649" s="58">
        <f t="shared" si="512"/>
        <v>4.8675505653430484E-3</v>
      </c>
      <c r="AW1649" s="59">
        <f t="shared" si="513"/>
        <v>1.004867550565343</v>
      </c>
      <c r="AX1649" s="60">
        <f>PRODUCT(AW$4:AW1649)</f>
        <v>2958.8379851948948</v>
      </c>
    </row>
    <row r="1650" spans="45:50">
      <c r="AS1650" s="55">
        <f t="shared" si="511"/>
        <v>138</v>
      </c>
      <c r="AT1650" s="56">
        <f t="shared" si="514"/>
        <v>1647</v>
      </c>
      <c r="AU1650" s="57">
        <f t="shared" si="515"/>
        <v>3.2346147047824066E-4</v>
      </c>
      <c r="AV1650" s="58">
        <f t="shared" si="512"/>
        <v>4.8675505653430484E-3</v>
      </c>
      <c r="AW1650" s="59">
        <f t="shared" si="513"/>
        <v>1.004867550565343</v>
      </c>
      <c r="AX1650" s="60">
        <f>PRODUCT(AW$4:AW1650)</f>
        <v>2973.2402787024889</v>
      </c>
    </row>
    <row r="1651" spans="45:50">
      <c r="AS1651" s="55">
        <f t="shared" si="511"/>
        <v>138</v>
      </c>
      <c r="AT1651" s="56">
        <f t="shared" si="514"/>
        <v>1648</v>
      </c>
      <c r="AU1651" s="57">
        <f t="shared" si="515"/>
        <v>3.2188700541474762E-4</v>
      </c>
      <c r="AV1651" s="58">
        <f t="shared" si="512"/>
        <v>4.8675505653430484E-3</v>
      </c>
      <c r="AW1651" s="59">
        <f t="shared" si="513"/>
        <v>1.004867550565343</v>
      </c>
      <c r="AX1651" s="60">
        <f>PRODUCT(AW$4:AW1651)</f>
        <v>2987.7126761019881</v>
      </c>
    </row>
    <row r="1652" spans="45:50">
      <c r="AS1652" s="55">
        <f t="shared" si="511"/>
        <v>138</v>
      </c>
      <c r="AT1652" s="56">
        <f t="shared" si="514"/>
        <v>1649</v>
      </c>
      <c r="AU1652" s="57">
        <f t="shared" si="515"/>
        <v>3.2032020413956449E-4</v>
      </c>
      <c r="AV1652" s="58">
        <f t="shared" si="512"/>
        <v>4.8675505653430484E-3</v>
      </c>
      <c r="AW1652" s="59">
        <f t="shared" si="513"/>
        <v>1.004867550565343</v>
      </c>
      <c r="AX1652" s="60">
        <f>PRODUCT(AW$4:AW1652)</f>
        <v>3002.2555186276309</v>
      </c>
    </row>
    <row r="1653" spans="45:50">
      <c r="AS1653" s="55">
        <f t="shared" si="511"/>
        <v>138</v>
      </c>
      <c r="AT1653" s="56">
        <f t="shared" si="514"/>
        <v>1650</v>
      </c>
      <c r="AU1653" s="57">
        <f t="shared" si="515"/>
        <v>3.1876102934881416E-4</v>
      </c>
      <c r="AV1653" s="58">
        <f t="shared" si="512"/>
        <v>4.8675505653430484E-3</v>
      </c>
      <c r="AW1653" s="59">
        <f t="shared" si="513"/>
        <v>1.004867550565343</v>
      </c>
      <c r="AX1653" s="60">
        <f>PRODUCT(AW$4:AW1653)</f>
        <v>3016.8691491746313</v>
      </c>
    </row>
    <row r="1654" spans="45:50">
      <c r="AS1654" s="55">
        <f t="shared" si="511"/>
        <v>138</v>
      </c>
      <c r="AT1654" s="56">
        <f t="shared" si="514"/>
        <v>1651</v>
      </c>
      <c r="AU1654" s="57">
        <f t="shared" si="515"/>
        <v>3.1720944392019801E-4</v>
      </c>
      <c r="AV1654" s="58">
        <f t="shared" si="512"/>
        <v>4.8675505653430484E-3</v>
      </c>
      <c r="AW1654" s="59">
        <f t="shared" si="513"/>
        <v>1.004867550565343</v>
      </c>
      <c r="AX1654" s="60">
        <f>PRODUCT(AW$4:AW1654)</f>
        <v>3031.5539123072622</v>
      </c>
    </row>
    <row r="1655" spans="45:50">
      <c r="AS1655" s="55">
        <f t="shared" si="511"/>
        <v>138</v>
      </c>
      <c r="AT1655" s="56">
        <f t="shared" si="514"/>
        <v>1652</v>
      </c>
      <c r="AU1655" s="57">
        <f t="shared" si="515"/>
        <v>3.1566541091211208E-4</v>
      </c>
      <c r="AV1655" s="58">
        <f t="shared" si="512"/>
        <v>4.8675505653430484E-3</v>
      </c>
      <c r="AW1655" s="59">
        <f t="shared" si="513"/>
        <v>1.004867550565343</v>
      </c>
      <c r="AX1655" s="60">
        <f>PRODUCT(AW$4:AW1655)</f>
        <v>3046.3101542669815</v>
      </c>
    </row>
    <row r="1656" spans="45:50">
      <c r="AS1656" s="55">
        <f t="shared" si="511"/>
        <v>138</v>
      </c>
      <c r="AT1656" s="56">
        <f t="shared" si="514"/>
        <v>1653</v>
      </c>
      <c r="AU1656" s="57">
        <f t="shared" si="515"/>
        <v>3.1412889356276756E-4</v>
      </c>
      <c r="AV1656" s="58">
        <f t="shared" si="512"/>
        <v>4.8675505653430484E-3</v>
      </c>
      <c r="AW1656" s="59">
        <f t="shared" si="513"/>
        <v>1.004867550565343</v>
      </c>
      <c r="AX1656" s="60">
        <f>PRODUCT(AW$4:AW1656)</f>
        <v>3061.138222980594</v>
      </c>
    </row>
    <row r="1657" spans="45:50">
      <c r="AS1657" s="55">
        <f t="shared" si="511"/>
        <v>138</v>
      </c>
      <c r="AT1657" s="56">
        <f t="shared" si="514"/>
        <v>1654</v>
      </c>
      <c r="AU1657" s="57">
        <f t="shared" si="515"/>
        <v>3.1259985528931555E-4</v>
      </c>
      <c r="AV1657" s="58">
        <f t="shared" si="512"/>
        <v>4.8675505653430484E-3</v>
      </c>
      <c r="AW1657" s="59">
        <f t="shared" si="513"/>
        <v>1.004867550565343</v>
      </c>
      <c r="AX1657" s="60">
        <f>PRODUCT(AW$4:AW1657)</f>
        <v>3076.0384680684565</v>
      </c>
    </row>
    <row r="1658" spans="45:50">
      <c r="AS1658" s="55">
        <f t="shared" si="511"/>
        <v>138</v>
      </c>
      <c r="AT1658" s="56">
        <f t="shared" si="514"/>
        <v>1655</v>
      </c>
      <c r="AU1658" s="57">
        <f t="shared" si="515"/>
        <v>3.1107825968697587E-4</v>
      </c>
      <c r="AV1658" s="58">
        <f t="shared" si="512"/>
        <v>4.8675505653430484E-3</v>
      </c>
      <c r="AW1658" s="59">
        <f t="shared" si="513"/>
        <v>1.004867550565343</v>
      </c>
      <c r="AX1658" s="60">
        <f>PRODUCT(AW$4:AW1658)</f>
        <v>3091.0112408527202</v>
      </c>
    </row>
    <row r="1659" spans="45:50">
      <c r="AS1659" s="55">
        <f t="shared" si="511"/>
        <v>138</v>
      </c>
      <c r="AT1659" s="56">
        <f t="shared" si="514"/>
        <v>1656</v>
      </c>
      <c r="AU1659" s="57">
        <f t="shared" si="515"/>
        <v>3.0956407052817062E-4</v>
      </c>
      <c r="AV1659" s="58">
        <f t="shared" si="512"/>
        <v>4.8675505653430484E-3</v>
      </c>
      <c r="AW1659" s="59">
        <f t="shared" si="513"/>
        <v>1.004867550565343</v>
      </c>
      <c r="AX1659" s="60">
        <f>PRODUCT(AW$4:AW1659)</f>
        <v>3106.0568943656144</v>
      </c>
    </row>
    <row r="1660" spans="45:50">
      <c r="AS1660" s="55">
        <f t="shared" si="511"/>
        <v>139</v>
      </c>
      <c r="AT1660" s="56">
        <f t="shared" si="514"/>
        <v>1657</v>
      </c>
      <c r="AU1660" s="57">
        <f t="shared" si="515"/>
        <v>3.080572517616613E-4</v>
      </c>
      <c r="AV1660" s="58">
        <f t="shared" si="512"/>
        <v>4.8675505653430484E-3</v>
      </c>
      <c r="AW1660" s="59">
        <f t="shared" si="513"/>
        <v>1.004867550565343</v>
      </c>
      <c r="AX1660" s="60">
        <f>PRODUCT(AW$4:AW1660)</f>
        <v>3121.1757833577713</v>
      </c>
    </row>
    <row r="1661" spans="45:50">
      <c r="AS1661" s="55">
        <f t="shared" si="511"/>
        <v>139</v>
      </c>
      <c r="AT1661" s="56">
        <f t="shared" si="514"/>
        <v>1658</v>
      </c>
      <c r="AU1661" s="57">
        <f t="shared" si="515"/>
        <v>3.0655776751169081E-4</v>
      </c>
      <c r="AV1661" s="58">
        <f t="shared" si="512"/>
        <v>4.8675505653430484E-3</v>
      </c>
      <c r="AW1661" s="59">
        <f t="shared" si="513"/>
        <v>1.004867550565343</v>
      </c>
      <c r="AX1661" s="60">
        <f>PRODUCT(AW$4:AW1661)</f>
        <v>3136.3682643065895</v>
      </c>
    </row>
    <row r="1662" spans="45:50">
      <c r="AS1662" s="55">
        <f t="shared" si="511"/>
        <v>139</v>
      </c>
      <c r="AT1662" s="56">
        <f t="shared" si="514"/>
        <v>1659</v>
      </c>
      <c r="AU1662" s="57">
        <f t="shared" si="515"/>
        <v>3.0506558207712899E-4</v>
      </c>
      <c r="AV1662" s="58">
        <f t="shared" si="512"/>
        <v>4.8675505653430484E-3</v>
      </c>
      <c r="AW1662" s="59">
        <f t="shared" si="513"/>
        <v>1.004867550565343</v>
      </c>
      <c r="AX1662" s="60">
        <f>PRODUCT(AW$4:AW1662)</f>
        <v>3151.6346954246392</v>
      </c>
    </row>
    <row r="1663" spans="45:50">
      <c r="AS1663" s="55">
        <f t="shared" si="511"/>
        <v>139</v>
      </c>
      <c r="AT1663" s="56">
        <f t="shared" si="514"/>
        <v>1660</v>
      </c>
      <c r="AU1663" s="57">
        <f t="shared" si="515"/>
        <v>3.0358065993062275E-4</v>
      </c>
      <c r="AV1663" s="58">
        <f t="shared" si="512"/>
        <v>4.8675505653430484E-3</v>
      </c>
      <c r="AW1663" s="59">
        <f t="shared" si="513"/>
        <v>1.004867550565343</v>
      </c>
      <c r="AX1663" s="60">
        <f>PRODUCT(AW$4:AW1663)</f>
        <v>3166.9754366681082</v>
      </c>
    </row>
    <row r="1664" spans="45:50">
      <c r="AS1664" s="55">
        <f t="shared" si="511"/>
        <v>139</v>
      </c>
      <c r="AT1664" s="56">
        <f t="shared" si="514"/>
        <v>1661</v>
      </c>
      <c r="AU1664" s="57">
        <f t="shared" si="515"/>
        <v>3.0210296571775024E-4</v>
      </c>
      <c r="AV1664" s="58">
        <f t="shared" si="512"/>
        <v>4.8675505653430484E-3</v>
      </c>
      <c r="AW1664" s="59">
        <f t="shared" si="513"/>
        <v>1.004867550565343</v>
      </c>
      <c r="AX1664" s="60">
        <f>PRODUCT(AW$4:AW1664)</f>
        <v>3182.3908497452894</v>
      </c>
    </row>
    <row r="1665" spans="45:50">
      <c r="AS1665" s="55">
        <f t="shared" si="511"/>
        <v>139</v>
      </c>
      <c r="AT1665" s="56">
        <f t="shared" si="514"/>
        <v>1662</v>
      </c>
      <c r="AU1665" s="57">
        <f t="shared" si="515"/>
        <v>3.0063246425617897E-4</v>
      </c>
      <c r="AV1665" s="58">
        <f t="shared" si="512"/>
        <v>4.8675505653430484E-3</v>
      </c>
      <c r="AW1665" s="59">
        <f t="shared" si="513"/>
        <v>1.004867550565343</v>
      </c>
      <c r="AX1665" s="60">
        <f>PRODUCT(AW$4:AW1665)</f>
        <v>3197.8812981251094</v>
      </c>
    </row>
    <row r="1666" spans="45:50">
      <c r="AS1666" s="55">
        <f t="shared" si="511"/>
        <v>139</v>
      </c>
      <c r="AT1666" s="56">
        <f t="shared" si="514"/>
        <v>1663</v>
      </c>
      <c r="AU1666" s="57">
        <f t="shared" si="515"/>
        <v>2.9916912053482833E-4</v>
      </c>
      <c r="AV1666" s="58">
        <f t="shared" si="512"/>
        <v>4.8675505653430484E-3</v>
      </c>
      <c r="AW1666" s="59">
        <f t="shared" si="513"/>
        <v>1.004867550565343</v>
      </c>
      <c r="AX1666" s="60">
        <f>PRODUCT(AW$4:AW1666)</f>
        <v>3213.4471470456983</v>
      </c>
    </row>
    <row r="1667" spans="45:50">
      <c r="AS1667" s="55">
        <f t="shared" si="511"/>
        <v>139</v>
      </c>
      <c r="AT1667" s="56">
        <f t="shared" si="514"/>
        <v>1664</v>
      </c>
      <c r="AU1667" s="57">
        <f t="shared" si="515"/>
        <v>2.9771289971303584E-4</v>
      </c>
      <c r="AV1667" s="58">
        <f t="shared" si="512"/>
        <v>4.8675505653430484E-3</v>
      </c>
      <c r="AW1667" s="59">
        <f t="shared" si="513"/>
        <v>1.004867550565343</v>
      </c>
      <c r="AX1667" s="60">
        <f>PRODUCT(AW$4:AW1667)</f>
        <v>3229.0887635230006</v>
      </c>
    </row>
    <row r="1668" spans="45:50">
      <c r="AS1668" s="55">
        <f t="shared" si="511"/>
        <v>139</v>
      </c>
      <c r="AT1668" s="56">
        <f t="shared" si="514"/>
        <v>1665</v>
      </c>
      <c r="AU1668" s="57">
        <f t="shared" si="515"/>
        <v>2.9626376711972772E-4</v>
      </c>
      <c r="AV1668" s="58">
        <f t="shared" si="512"/>
        <v>4.8675505653430484E-3</v>
      </c>
      <c r="AW1668" s="59">
        <f t="shared" si="513"/>
        <v>1.004867550565343</v>
      </c>
      <c r="AX1668" s="60">
        <f>PRODUCT(AW$4:AW1668)</f>
        <v>3244.8065163594297</v>
      </c>
    </row>
    <row r="1669" spans="45:50">
      <c r="AS1669" s="55">
        <f t="shared" ref="AS1669:AS1732" si="516">ROUNDDOWN((AT1669-1)/12,0)+1</f>
        <v>139</v>
      </c>
      <c r="AT1669" s="56">
        <f t="shared" si="514"/>
        <v>1666</v>
      </c>
      <c r="AU1669" s="57">
        <f t="shared" si="515"/>
        <v>2.9482168825259344E-4</v>
      </c>
      <c r="AV1669" s="58">
        <f t="shared" ref="AV1669:AV1732" si="517">((1+$AV$1)^(1/12))-1</f>
        <v>4.8675505653430484E-3</v>
      </c>
      <c r="AW1669" s="59">
        <f t="shared" ref="AW1669:AW1732" si="518">(1+AV1669)</f>
        <v>1.004867550565343</v>
      </c>
      <c r="AX1669" s="60">
        <f>PRODUCT(AW$4:AW1669)</f>
        <v>3260.6007761525639</v>
      </c>
    </row>
    <row r="1670" spans="45:50">
      <c r="AS1670" s="55">
        <f t="shared" si="516"/>
        <v>139</v>
      </c>
      <c r="AT1670" s="56">
        <f t="shared" ref="AT1670:AT1733" si="519">AT1669+1</f>
        <v>1667</v>
      </c>
      <c r="AU1670" s="57">
        <f t="shared" si="515"/>
        <v>2.9338662877726411E-4</v>
      </c>
      <c r="AV1670" s="58">
        <f t="shared" si="517"/>
        <v>4.8675505653430484E-3</v>
      </c>
      <c r="AW1670" s="59">
        <f t="shared" si="518"/>
        <v>1.004867550565343</v>
      </c>
      <c r="AX1670" s="60">
        <f>PRODUCT(AW$4:AW1670)</f>
        <v>3276.4719153038832</v>
      </c>
    </row>
    <row r="1671" spans="45:50">
      <c r="AS1671" s="55">
        <f t="shared" si="516"/>
        <v>139</v>
      </c>
      <c r="AT1671" s="56">
        <f t="shared" si="519"/>
        <v>1668</v>
      </c>
      <c r="AU1671" s="57">
        <f t="shared" si="515"/>
        <v>2.9195855452649524E-4</v>
      </c>
      <c r="AV1671" s="58">
        <f t="shared" si="517"/>
        <v>4.8675505653430484E-3</v>
      </c>
      <c r="AW1671" s="59">
        <f t="shared" si="518"/>
        <v>1.004867550565343</v>
      </c>
      <c r="AX1671" s="60">
        <f>PRODUCT(AW$4:AW1671)</f>
        <v>3292.4203080275511</v>
      </c>
    </row>
    <row r="1672" spans="45:50">
      <c r="AS1672" s="55">
        <f t="shared" si="516"/>
        <v>140</v>
      </c>
      <c r="AT1672" s="56">
        <f t="shared" si="519"/>
        <v>1669</v>
      </c>
      <c r="AU1672" s="57">
        <f t="shared" si="515"/>
        <v>2.9053743149935307E-4</v>
      </c>
      <c r="AV1672" s="58">
        <f t="shared" si="517"/>
        <v>4.8675505653430484E-3</v>
      </c>
      <c r="AW1672" s="59">
        <f t="shared" si="518"/>
        <v>1.004867550565343</v>
      </c>
      <c r="AX1672" s="60">
        <f>PRODUCT(AW$4:AW1672)</f>
        <v>3308.4463303592374</v>
      </c>
    </row>
    <row r="1673" spans="45:50">
      <c r="AS1673" s="55">
        <f t="shared" si="516"/>
        <v>140</v>
      </c>
      <c r="AT1673" s="56">
        <f t="shared" si="519"/>
        <v>1670</v>
      </c>
      <c r="AU1673" s="57">
        <f t="shared" si="515"/>
        <v>2.8912322586040505E-4</v>
      </c>
      <c r="AV1673" s="58">
        <f t="shared" si="517"/>
        <v>4.8675505653430484E-3</v>
      </c>
      <c r="AW1673" s="59">
        <f t="shared" si="518"/>
        <v>1.004867550565343</v>
      </c>
      <c r="AX1673" s="60">
        <f>PRODUCT(AW$4:AW1673)</f>
        <v>3324.5503601649848</v>
      </c>
    </row>
    <row r="1674" spans="45:50">
      <c r="AS1674" s="55">
        <f t="shared" si="516"/>
        <v>140</v>
      </c>
      <c r="AT1674" s="56">
        <f t="shared" si="519"/>
        <v>1671</v>
      </c>
      <c r="AU1674" s="57">
        <f t="shared" si="515"/>
        <v>2.8771590393891441E-4</v>
      </c>
      <c r="AV1674" s="58">
        <f t="shared" si="517"/>
        <v>4.8675505653430484E-3</v>
      </c>
      <c r="AW1674" s="59">
        <f t="shared" si="518"/>
        <v>1.004867550565343</v>
      </c>
      <c r="AX1674" s="60">
        <f>PRODUCT(AW$4:AW1674)</f>
        <v>3340.7327771501173</v>
      </c>
    </row>
    <row r="1675" spans="45:50">
      <c r="AS1675" s="55">
        <f t="shared" si="516"/>
        <v>140</v>
      </c>
      <c r="AT1675" s="56">
        <f t="shared" si="519"/>
        <v>1672</v>
      </c>
      <c r="AU1675" s="57">
        <f t="shared" si="515"/>
        <v>2.8631543222803834E-4</v>
      </c>
      <c r="AV1675" s="58">
        <f t="shared" si="517"/>
        <v>4.8675505653430484E-3</v>
      </c>
      <c r="AW1675" s="59">
        <f t="shared" si="518"/>
        <v>1.004867550565343</v>
      </c>
      <c r="AX1675" s="60">
        <f>PRODUCT(AW$4:AW1675)</f>
        <v>3356.9939628681946</v>
      </c>
    </row>
    <row r="1676" spans="45:50">
      <c r="AS1676" s="55">
        <f t="shared" si="516"/>
        <v>140</v>
      </c>
      <c r="AT1676" s="56">
        <f t="shared" si="519"/>
        <v>1673</v>
      </c>
      <c r="AU1676" s="57">
        <f t="shared" si="515"/>
        <v>2.849217773840303E-4</v>
      </c>
      <c r="AV1676" s="58">
        <f t="shared" si="517"/>
        <v>4.8675505653430484E-3</v>
      </c>
      <c r="AW1676" s="59">
        <f t="shared" si="518"/>
        <v>1.004867550565343</v>
      </c>
      <c r="AX1676" s="60">
        <f>PRODUCT(AW$4:AW1676)</f>
        <v>3373.3343007300068</v>
      </c>
    </row>
    <row r="1677" spans="45:50">
      <c r="AS1677" s="55">
        <f t="shared" si="516"/>
        <v>140</v>
      </c>
      <c r="AT1677" s="56">
        <f t="shared" si="519"/>
        <v>1674</v>
      </c>
      <c r="AU1677" s="57">
        <f t="shared" si="515"/>
        <v>2.8353490622544614E-4</v>
      </c>
      <c r="AV1677" s="58">
        <f t="shared" si="517"/>
        <v>4.8675505653430484E-3</v>
      </c>
      <c r="AW1677" s="59">
        <f t="shared" si="518"/>
        <v>1.004867550565343</v>
      </c>
      <c r="AX1677" s="60">
        <f>PRODUCT(AW$4:AW1677)</f>
        <v>3389.7541760126164</v>
      </c>
    </row>
    <row r="1678" spans="45:50">
      <c r="AS1678" s="55">
        <f t="shared" si="516"/>
        <v>140</v>
      </c>
      <c r="AT1678" s="56">
        <f t="shared" si="519"/>
        <v>1675</v>
      </c>
      <c r="AU1678" s="57">
        <f t="shared" si="515"/>
        <v>2.8215478573235397E-4</v>
      </c>
      <c r="AV1678" s="58">
        <f t="shared" si="517"/>
        <v>4.8675505653430484E-3</v>
      </c>
      <c r="AW1678" s="59">
        <f t="shared" si="518"/>
        <v>1.004867550565343</v>
      </c>
      <c r="AX1678" s="60">
        <f>PRODUCT(AW$4:AW1678)</f>
        <v>3406.2539758684406</v>
      </c>
    </row>
    <row r="1679" spans="45:50">
      <c r="AS1679" s="55">
        <f t="shared" si="516"/>
        <v>140</v>
      </c>
      <c r="AT1679" s="56">
        <f t="shared" si="519"/>
        <v>1676</v>
      </c>
      <c r="AU1679" s="57">
        <f t="shared" ref="AU1679:AU1742" si="520">(1-AV1679)*AU1678</f>
        <v>2.8078138304554821E-4</v>
      </c>
      <c r="AV1679" s="58">
        <f t="shared" si="517"/>
        <v>4.8675505653430484E-3</v>
      </c>
      <c r="AW1679" s="59">
        <f t="shared" si="518"/>
        <v>1.004867550565343</v>
      </c>
      <c r="AX1679" s="60">
        <f>PRODUCT(AW$4:AW1679)</f>
        <v>3422.8340893343811</v>
      </c>
    </row>
    <row r="1680" spans="45:50">
      <c r="AS1680" s="55">
        <f t="shared" si="516"/>
        <v>140</v>
      </c>
      <c r="AT1680" s="56">
        <f t="shared" si="519"/>
        <v>1677</v>
      </c>
      <c r="AU1680" s="57">
        <f t="shared" si="520"/>
        <v>2.7941466546576704E-4</v>
      </c>
      <c r="AV1680" s="58">
        <f t="shared" si="517"/>
        <v>4.8675505653430484E-3</v>
      </c>
      <c r="AW1680" s="59">
        <f t="shared" si="518"/>
        <v>1.004867550565343</v>
      </c>
      <c r="AX1680" s="60">
        <f>PRODUCT(AW$4:AW1680)</f>
        <v>3439.4949073409962</v>
      </c>
    </row>
    <row r="1681" spans="45:50">
      <c r="AS1681" s="55">
        <f t="shared" si="516"/>
        <v>140</v>
      </c>
      <c r="AT1681" s="56">
        <f t="shared" si="519"/>
        <v>1678</v>
      </c>
      <c r="AU1681" s="57">
        <f t="shared" si="520"/>
        <v>2.7805460045291403E-4</v>
      </c>
      <c r="AV1681" s="58">
        <f t="shared" si="517"/>
        <v>4.8675505653430484E-3</v>
      </c>
      <c r="AW1681" s="59">
        <f t="shared" si="518"/>
        <v>1.004867550565343</v>
      </c>
      <c r="AX1681" s="60">
        <f>PRODUCT(AW$4:AW1681)</f>
        <v>3456.2368227217185</v>
      </c>
    </row>
    <row r="1682" spans="45:50">
      <c r="AS1682" s="55">
        <f t="shared" si="516"/>
        <v>140</v>
      </c>
      <c r="AT1682" s="56">
        <f t="shared" si="519"/>
        <v>1679</v>
      </c>
      <c r="AU1682" s="57">
        <f t="shared" si="520"/>
        <v>2.7670115562528319E-4</v>
      </c>
      <c r="AV1682" s="58">
        <f t="shared" si="517"/>
        <v>4.8675505653430484E-3</v>
      </c>
      <c r="AW1682" s="59">
        <f t="shared" si="518"/>
        <v>1.004867550565343</v>
      </c>
      <c r="AX1682" s="60">
        <f>PRODUCT(AW$4:AW1682)</f>
        <v>3473.0602302221168</v>
      </c>
    </row>
    <row r="1683" spans="45:50">
      <c r="AS1683" s="55">
        <f t="shared" si="516"/>
        <v>140</v>
      </c>
      <c r="AT1683" s="56">
        <f t="shared" si="519"/>
        <v>1680</v>
      </c>
      <c r="AU1683" s="57">
        <f t="shared" si="520"/>
        <v>2.7535429875878828E-4</v>
      </c>
      <c r="AV1683" s="58">
        <f t="shared" si="517"/>
        <v>4.8675505653430484E-3</v>
      </c>
      <c r="AW1683" s="59">
        <f t="shared" si="518"/>
        <v>1.004867550565343</v>
      </c>
      <c r="AX1683" s="60">
        <f>PRODUCT(AW$4:AW1683)</f>
        <v>3489.9655265092051</v>
      </c>
    </row>
    <row r="1684" spans="45:50">
      <c r="AS1684" s="55">
        <f t="shared" si="516"/>
        <v>141</v>
      </c>
      <c r="AT1684" s="56">
        <f t="shared" si="519"/>
        <v>1681</v>
      </c>
      <c r="AU1684" s="57">
        <f t="shared" si="520"/>
        <v>2.7401399778619528E-4</v>
      </c>
      <c r="AV1684" s="58">
        <f t="shared" si="517"/>
        <v>4.8675505653430484E-3</v>
      </c>
      <c r="AW1684" s="59">
        <f t="shared" si="518"/>
        <v>1.004867550565343</v>
      </c>
      <c r="AX1684" s="60">
        <f>PRODUCT(AW$4:AW1684)</f>
        <v>3506.9531101807929</v>
      </c>
    </row>
    <row r="1685" spans="45:50">
      <c r="AS1685" s="55">
        <f t="shared" si="516"/>
        <v>141</v>
      </c>
      <c r="AT1685" s="56">
        <f t="shared" si="519"/>
        <v>1682</v>
      </c>
      <c r="AU1685" s="57">
        <f t="shared" si="520"/>
        <v>2.7268022079635919E-4</v>
      </c>
      <c r="AV1685" s="58">
        <f t="shared" si="517"/>
        <v>4.8675505653430484E-3</v>
      </c>
      <c r="AW1685" s="59">
        <f t="shared" si="518"/>
        <v>1.004867550565343</v>
      </c>
      <c r="AX1685" s="60">
        <f>PRODUCT(AW$4:AW1685)</f>
        <v>3524.0233817748849</v>
      </c>
    </row>
    <row r="1686" spans="45:50">
      <c r="AS1686" s="55">
        <f t="shared" si="516"/>
        <v>141</v>
      </c>
      <c r="AT1686" s="56">
        <f t="shared" si="519"/>
        <v>1683</v>
      </c>
      <c r="AU1686" s="57">
        <f t="shared" si="520"/>
        <v>2.71352936033464E-4</v>
      </c>
      <c r="AV1686" s="58">
        <f t="shared" si="517"/>
        <v>4.8675505653430484E-3</v>
      </c>
      <c r="AW1686" s="59">
        <f t="shared" si="518"/>
        <v>1.004867550565343</v>
      </c>
      <c r="AX1686" s="60">
        <f>PRODUCT(AW$4:AW1686)</f>
        <v>3541.1767437791254</v>
      </c>
    </row>
    <row r="1687" spans="45:50">
      <c r="AS1687" s="55">
        <f t="shared" si="516"/>
        <v>141</v>
      </c>
      <c r="AT1687" s="56">
        <f t="shared" si="519"/>
        <v>1684</v>
      </c>
      <c r="AU1687" s="57">
        <f t="shared" si="520"/>
        <v>2.7003211189626679E-4</v>
      </c>
      <c r="AV1687" s="58">
        <f t="shared" si="517"/>
        <v>4.8675505653430484E-3</v>
      </c>
      <c r="AW1687" s="59">
        <f t="shared" si="518"/>
        <v>1.004867550565343</v>
      </c>
      <c r="AX1687" s="60">
        <f>PRODUCT(AW$4:AW1687)</f>
        <v>3558.4136006402873</v>
      </c>
    </row>
    <row r="1688" spans="45:50">
      <c r="AS1688" s="55">
        <f t="shared" si="516"/>
        <v>141</v>
      </c>
      <c r="AT1688" s="56">
        <f t="shared" si="519"/>
        <v>1685</v>
      </c>
      <c r="AU1688" s="57">
        <f t="shared" si="520"/>
        <v>2.6871771693734534E-4</v>
      </c>
      <c r="AV1688" s="58">
        <f t="shared" si="517"/>
        <v>4.8675505653430484E-3</v>
      </c>
      <c r="AW1688" s="59">
        <f t="shared" si="518"/>
        <v>1.004867550565343</v>
      </c>
      <c r="AX1688" s="60">
        <f>PRODUCT(AW$4:AW1688)</f>
        <v>3575.7343587738083</v>
      </c>
    </row>
    <row r="1689" spans="45:50">
      <c r="AS1689" s="55">
        <f t="shared" si="516"/>
        <v>141</v>
      </c>
      <c r="AT1689" s="56">
        <f t="shared" si="519"/>
        <v>1686</v>
      </c>
      <c r="AU1689" s="57">
        <f t="shared" si="520"/>
        <v>2.6740971986234928E-4</v>
      </c>
      <c r="AV1689" s="58">
        <f t="shared" si="517"/>
        <v>4.8675505653430484E-3</v>
      </c>
      <c r="AW1689" s="59">
        <f t="shared" si="518"/>
        <v>1.004867550565343</v>
      </c>
      <c r="AX1689" s="60">
        <f>PRODUCT(AW$4:AW1689)</f>
        <v>3593.1394265733743</v>
      </c>
    </row>
    <row r="1690" spans="45:50">
      <c r="AS1690" s="55">
        <f t="shared" si="516"/>
        <v>141</v>
      </c>
      <c r="AT1690" s="56">
        <f t="shared" si="519"/>
        <v>1687</v>
      </c>
      <c r="AU1690" s="57">
        <f t="shared" si="520"/>
        <v>2.6610808952925508E-4</v>
      </c>
      <c r="AV1690" s="58">
        <f t="shared" si="517"/>
        <v>4.8675505653430484E-3</v>
      </c>
      <c r="AW1690" s="59">
        <f t="shared" si="518"/>
        <v>1.004867550565343</v>
      </c>
      <c r="AX1690" s="60">
        <f>PRODUCT(AW$4:AW1690)</f>
        <v>3610.6292144205481</v>
      </c>
    </row>
    <row r="1691" spans="45:50">
      <c r="AS1691" s="55">
        <f t="shared" si="516"/>
        <v>141</v>
      </c>
      <c r="AT1691" s="56">
        <f t="shared" si="519"/>
        <v>1688</v>
      </c>
      <c r="AU1691" s="57">
        <f t="shared" si="520"/>
        <v>2.6481279494762461E-4</v>
      </c>
      <c r="AV1691" s="58">
        <f t="shared" si="517"/>
        <v>4.8675505653430484E-3</v>
      </c>
      <c r="AW1691" s="59">
        <f t="shared" si="518"/>
        <v>1.004867550565343</v>
      </c>
      <c r="AX1691" s="60">
        <f>PRODUCT(AW$4:AW1691)</f>
        <v>3628.2041346944452</v>
      </c>
    </row>
    <row r="1692" spans="45:50">
      <c r="AS1692" s="55">
        <f t="shared" si="516"/>
        <v>141</v>
      </c>
      <c r="AT1692" s="56">
        <f t="shared" si="519"/>
        <v>1689</v>
      </c>
      <c r="AU1692" s="57">
        <f t="shared" si="520"/>
        <v>2.6352380527786722E-4</v>
      </c>
      <c r="AV1692" s="58">
        <f t="shared" si="517"/>
        <v>4.8675505653430484E-3</v>
      </c>
      <c r="AW1692" s="59">
        <f t="shared" si="518"/>
        <v>1.004867550565343</v>
      </c>
      <c r="AX1692" s="60">
        <f>PRODUCT(AW$4:AW1692)</f>
        <v>3645.8646017814572</v>
      </c>
    </row>
    <row r="1693" spans="45:50">
      <c r="AS1693" s="55">
        <f t="shared" si="516"/>
        <v>141</v>
      </c>
      <c r="AT1693" s="56">
        <f t="shared" si="519"/>
        <v>1690</v>
      </c>
      <c r="AU1693" s="57">
        <f t="shared" si="520"/>
        <v>2.6224108983050558E-4</v>
      </c>
      <c r="AV1693" s="58">
        <f t="shared" si="517"/>
        <v>4.8675505653430484E-3</v>
      </c>
      <c r="AW1693" s="59">
        <f t="shared" si="518"/>
        <v>1.004867550565343</v>
      </c>
      <c r="AX1693" s="60">
        <f>PRODUCT(AW$4:AW1693)</f>
        <v>3663.6110320850225</v>
      </c>
    </row>
    <row r="1694" spans="45:50">
      <c r="AS1694" s="55">
        <f t="shared" si="516"/>
        <v>141</v>
      </c>
      <c r="AT1694" s="56">
        <f t="shared" si="519"/>
        <v>1691</v>
      </c>
      <c r="AU1694" s="57">
        <f t="shared" si="520"/>
        <v>2.6096461806544494E-4</v>
      </c>
      <c r="AV1694" s="58">
        <f t="shared" si="517"/>
        <v>4.8675505653430484E-3</v>
      </c>
      <c r="AW1694" s="59">
        <f t="shared" si="518"/>
        <v>1.004867550565343</v>
      </c>
      <c r="AX1694" s="60">
        <f>PRODUCT(AW$4:AW1694)</f>
        <v>3681.4438440354452</v>
      </c>
    </row>
    <row r="1695" spans="45:50">
      <c r="AS1695" s="55">
        <f t="shared" si="516"/>
        <v>141</v>
      </c>
      <c r="AT1695" s="56">
        <f t="shared" si="519"/>
        <v>1692</v>
      </c>
      <c r="AU1695" s="57">
        <f t="shared" si="520"/>
        <v>2.5969435959124592E-4</v>
      </c>
      <c r="AV1695" s="58">
        <f t="shared" si="517"/>
        <v>4.8675505653430484E-3</v>
      </c>
      <c r="AW1695" s="59">
        <f t="shared" si="518"/>
        <v>1.004867550565343</v>
      </c>
      <c r="AX1695" s="60">
        <f>PRODUCT(AW$4:AW1695)</f>
        <v>3699.3634580997586</v>
      </c>
    </row>
    <row r="1696" spans="45:50">
      <c r="AS1696" s="55">
        <f t="shared" si="516"/>
        <v>142</v>
      </c>
      <c r="AT1696" s="56">
        <f t="shared" si="519"/>
        <v>1693</v>
      </c>
      <c r="AU1696" s="57">
        <f t="shared" si="520"/>
        <v>2.5843028416440113E-4</v>
      </c>
      <c r="AV1696" s="58">
        <f t="shared" si="517"/>
        <v>4.8675505653430484E-3</v>
      </c>
      <c r="AW1696" s="59">
        <f t="shared" si="518"/>
        <v>1.004867550565343</v>
      </c>
      <c r="AX1696" s="60">
        <f>PRODUCT(AW$4:AW1696)</f>
        <v>3717.3702967916415</v>
      </c>
    </row>
    <row r="1697" spans="45:50">
      <c r="AS1697" s="55">
        <f t="shared" si="516"/>
        <v>142</v>
      </c>
      <c r="AT1697" s="56">
        <f t="shared" si="519"/>
        <v>1694</v>
      </c>
      <c r="AU1697" s="57">
        <f t="shared" si="520"/>
        <v>2.5717236168861494E-4</v>
      </c>
      <c r="AV1697" s="58">
        <f t="shared" si="517"/>
        <v>4.8675505653430484E-3</v>
      </c>
      <c r="AW1697" s="59">
        <f t="shared" si="518"/>
        <v>1.004867550565343</v>
      </c>
      <c r="AX1697" s="60">
        <f>PRODUCT(AW$4:AW1697)</f>
        <v>3735.4647846813791</v>
      </c>
    </row>
    <row r="1698" spans="45:50">
      <c r="AS1698" s="55">
        <f t="shared" si="516"/>
        <v>142</v>
      </c>
      <c r="AT1698" s="56">
        <f t="shared" si="519"/>
        <v>1695</v>
      </c>
      <c r="AU1698" s="57">
        <f t="shared" si="520"/>
        <v>2.5592056221408689E-4</v>
      </c>
      <c r="AV1698" s="58">
        <f t="shared" si="517"/>
        <v>4.8675505653430484E-3</v>
      </c>
      <c r="AW1698" s="59">
        <f t="shared" si="518"/>
        <v>1.004867550565343</v>
      </c>
      <c r="AX1698" s="60">
        <f>PRODUCT(AW$4:AW1698)</f>
        <v>3753.6473484058738</v>
      </c>
    </row>
    <row r="1699" spans="45:50">
      <c r="AS1699" s="55">
        <f t="shared" si="516"/>
        <v>142</v>
      </c>
      <c r="AT1699" s="56">
        <f t="shared" si="519"/>
        <v>1696</v>
      </c>
      <c r="AU1699" s="57">
        <f t="shared" si="520"/>
        <v>2.546748559367988E-4</v>
      </c>
      <c r="AV1699" s="58">
        <f t="shared" si="517"/>
        <v>4.8675505653430484E-3</v>
      </c>
      <c r="AW1699" s="59">
        <f t="shared" si="518"/>
        <v>1.004867550565343</v>
      </c>
      <c r="AX1699" s="60">
        <f>PRODUCT(AW$4:AW1699)</f>
        <v>3771.9184166787054</v>
      </c>
    </row>
    <row r="1700" spans="45:50">
      <c r="AS1700" s="55">
        <f t="shared" si="516"/>
        <v>142</v>
      </c>
      <c r="AT1700" s="56">
        <f t="shared" si="519"/>
        <v>1697</v>
      </c>
      <c r="AU1700" s="57">
        <f t="shared" si="520"/>
        <v>2.5343521319780499E-4</v>
      </c>
      <c r="AV1700" s="58">
        <f t="shared" si="517"/>
        <v>4.8675505653430484E-3</v>
      </c>
      <c r="AW1700" s="59">
        <f t="shared" si="518"/>
        <v>1.004867550565343</v>
      </c>
      <c r="AX1700" s="60">
        <f>PRODUCT(AW$4:AW1700)</f>
        <v>3790.2784203002375</v>
      </c>
    </row>
    <row r="1701" spans="45:50">
      <c r="AS1701" s="55">
        <f t="shared" si="516"/>
        <v>142</v>
      </c>
      <c r="AT1701" s="56">
        <f t="shared" si="519"/>
        <v>1698</v>
      </c>
      <c r="AU1701" s="57">
        <f t="shared" si="520"/>
        <v>2.5220160448252617E-4</v>
      </c>
      <c r="AV1701" s="58">
        <f t="shared" si="517"/>
        <v>4.8675505653430484E-3</v>
      </c>
      <c r="AW1701" s="59">
        <f t="shared" si="518"/>
        <v>1.004867550565343</v>
      </c>
      <c r="AX1701" s="60">
        <f>PRODUCT(AW$4:AW1701)</f>
        <v>3808.7277921677774</v>
      </c>
    </row>
    <row r="1702" spans="45:50">
      <c r="AS1702" s="55">
        <f t="shared" si="516"/>
        <v>142</v>
      </c>
      <c r="AT1702" s="56">
        <f t="shared" si="519"/>
        <v>1699</v>
      </c>
      <c r="AU1702" s="57">
        <f t="shared" si="520"/>
        <v>2.5097400042004681E-4</v>
      </c>
      <c r="AV1702" s="58">
        <f t="shared" si="517"/>
        <v>4.8675505653430484E-3</v>
      </c>
      <c r="AW1702" s="59">
        <f t="shared" si="518"/>
        <v>1.004867550565343</v>
      </c>
      <c r="AX1702" s="60">
        <f>PRODUCT(AW$4:AW1702)</f>
        <v>3827.2669672857814</v>
      </c>
    </row>
    <row r="1703" spans="45:50">
      <c r="AS1703" s="55">
        <f t="shared" si="516"/>
        <v>142</v>
      </c>
      <c r="AT1703" s="56">
        <f t="shared" si="519"/>
        <v>1700</v>
      </c>
      <c r="AU1703" s="57">
        <f t="shared" si="520"/>
        <v>2.4975237178241578E-4</v>
      </c>
      <c r="AV1703" s="58">
        <f t="shared" si="517"/>
        <v>4.8675505653430484E-3</v>
      </c>
      <c r="AW1703" s="59">
        <f t="shared" si="518"/>
        <v>1.004867550565343</v>
      </c>
      <c r="AX1703" s="60">
        <f>PRODUCT(AW$4:AW1703)</f>
        <v>3845.8963827761122</v>
      </c>
    </row>
    <row r="1704" spans="45:50">
      <c r="AS1704" s="55">
        <f t="shared" si="516"/>
        <v>142</v>
      </c>
      <c r="AT1704" s="56">
        <f t="shared" si="519"/>
        <v>1701</v>
      </c>
      <c r="AU1704" s="57">
        <f t="shared" si="520"/>
        <v>2.485366894839505E-4</v>
      </c>
      <c r="AV1704" s="58">
        <f t="shared" si="517"/>
        <v>4.8675505653430484E-3</v>
      </c>
      <c r="AW1704" s="59">
        <f t="shared" si="518"/>
        <v>1.004867550565343</v>
      </c>
      <c r="AX1704" s="60">
        <f>PRODUCT(AW$4:AW1704)</f>
        <v>3864.6164778883449</v>
      </c>
    </row>
    <row r="1705" spans="45:50">
      <c r="AS1705" s="55">
        <f t="shared" si="516"/>
        <v>142</v>
      </c>
      <c r="AT1705" s="56">
        <f t="shared" si="519"/>
        <v>1702</v>
      </c>
      <c r="AU1705" s="57">
        <f t="shared" si="520"/>
        <v>2.4732692458054442E-4</v>
      </c>
      <c r="AV1705" s="58">
        <f t="shared" si="517"/>
        <v>4.8675505653430484E-3</v>
      </c>
      <c r="AW1705" s="59">
        <f t="shared" si="518"/>
        <v>1.004867550565343</v>
      </c>
      <c r="AX1705" s="60">
        <f>PRODUCT(AW$4:AW1705)</f>
        <v>3883.4276940101245</v>
      </c>
    </row>
    <row r="1706" spans="45:50">
      <c r="AS1706" s="55">
        <f t="shared" si="516"/>
        <v>142</v>
      </c>
      <c r="AT1706" s="56">
        <f t="shared" si="519"/>
        <v>1703</v>
      </c>
      <c r="AU1706" s="57">
        <f t="shared" si="520"/>
        <v>2.4612304826897785E-4</v>
      </c>
      <c r="AV1706" s="58">
        <f t="shared" si="517"/>
        <v>4.8675505653430484E-3</v>
      </c>
      <c r="AW1706" s="59">
        <f t="shared" si="518"/>
        <v>1.004867550565343</v>
      </c>
      <c r="AX1706" s="60">
        <f>PRODUCT(AW$4:AW1706)</f>
        <v>3902.3304746775725</v>
      </c>
    </row>
    <row r="1707" spans="45:50">
      <c r="AS1707" s="55">
        <f t="shared" si="516"/>
        <v>142</v>
      </c>
      <c r="AT1707" s="56">
        <f t="shared" si="519"/>
        <v>1704</v>
      </c>
      <c r="AU1707" s="57">
        <f t="shared" si="520"/>
        <v>2.4492503188623221E-4</v>
      </c>
      <c r="AV1707" s="58">
        <f t="shared" si="517"/>
        <v>4.8675505653430484E-3</v>
      </c>
      <c r="AW1707" s="59">
        <f t="shared" si="518"/>
        <v>1.004867550565343</v>
      </c>
      <c r="AX1707" s="60">
        <f>PRODUCT(AW$4:AW1707)</f>
        <v>3921.3252655857445</v>
      </c>
    </row>
    <row r="1708" spans="45:50">
      <c r="AS1708" s="55">
        <f t="shared" si="516"/>
        <v>143</v>
      </c>
      <c r="AT1708" s="56">
        <f t="shared" si="519"/>
        <v>1705</v>
      </c>
      <c r="AU1708" s="57">
        <f t="shared" si="520"/>
        <v>2.4373284690880771E-4</v>
      </c>
      <c r="AV1708" s="58">
        <f t="shared" si="517"/>
        <v>4.8675505653430484E-3</v>
      </c>
      <c r="AW1708" s="59">
        <f t="shared" si="518"/>
        <v>1.004867550565343</v>
      </c>
      <c r="AX1708" s="60">
        <f>PRODUCT(AW$4:AW1708)</f>
        <v>3940.4125145991402</v>
      </c>
    </row>
    <row r="1709" spans="45:50">
      <c r="AS1709" s="55">
        <f t="shared" si="516"/>
        <v>143</v>
      </c>
      <c r="AT1709" s="56">
        <f t="shared" si="519"/>
        <v>1706</v>
      </c>
      <c r="AU1709" s="57">
        <f t="shared" si="520"/>
        <v>2.4254646495204407E-4</v>
      </c>
      <c r="AV1709" s="58">
        <f t="shared" si="517"/>
        <v>4.8675505653430484E-3</v>
      </c>
      <c r="AW1709" s="59">
        <f t="shared" si="518"/>
        <v>1.004867550565343</v>
      </c>
      <c r="AX1709" s="60">
        <f>PRODUCT(AW$4:AW1709)</f>
        <v>3959.5926717622619</v>
      </c>
    </row>
    <row r="1710" spans="45:50">
      <c r="AS1710" s="55">
        <f t="shared" si="516"/>
        <v>143</v>
      </c>
      <c r="AT1710" s="56">
        <f t="shared" si="519"/>
        <v>1707</v>
      </c>
      <c r="AU1710" s="57">
        <f t="shared" si="520"/>
        <v>2.4136585776944481E-4</v>
      </c>
      <c r="AV1710" s="58">
        <f t="shared" si="517"/>
        <v>4.8675505653430484E-3</v>
      </c>
      <c r="AW1710" s="59">
        <f t="shared" si="518"/>
        <v>1.004867550565343</v>
      </c>
      <c r="AX1710" s="60">
        <f>PRODUCT(AW$4:AW1710)</f>
        <v>3978.8661893102267</v>
      </c>
    </row>
    <row r="1711" spans="45:50">
      <c r="AS1711" s="55">
        <f t="shared" si="516"/>
        <v>143</v>
      </c>
      <c r="AT1711" s="56">
        <f t="shared" si="519"/>
        <v>1708</v>
      </c>
      <c r="AU1711" s="57">
        <f t="shared" si="520"/>
        <v>2.4019099725200462E-4</v>
      </c>
      <c r="AV1711" s="58">
        <f t="shared" si="517"/>
        <v>4.8675505653430484E-3</v>
      </c>
      <c r="AW1711" s="59">
        <f t="shared" si="518"/>
        <v>1.004867550565343</v>
      </c>
      <c r="AX1711" s="60">
        <f>PRODUCT(AW$4:AW1711)</f>
        <v>3998.2335216794281</v>
      </c>
    </row>
    <row r="1712" spans="45:50">
      <c r="AS1712" s="55">
        <f t="shared" si="516"/>
        <v>143</v>
      </c>
      <c r="AT1712" s="56">
        <f t="shared" si="519"/>
        <v>1709</v>
      </c>
      <c r="AU1712" s="57">
        <f t="shared" si="520"/>
        <v>2.3902185542754031E-4</v>
      </c>
      <c r="AV1712" s="58">
        <f t="shared" si="517"/>
        <v>4.8675505653430484E-3</v>
      </c>
      <c r="AW1712" s="59">
        <f t="shared" si="518"/>
        <v>1.004867550565343</v>
      </c>
      <c r="AX1712" s="60">
        <f>PRODUCT(AW$4:AW1712)</f>
        <v>4017.6951255182526</v>
      </c>
    </row>
    <row r="1713" spans="45:50">
      <c r="AS1713" s="55">
        <f t="shared" si="516"/>
        <v>143</v>
      </c>
      <c r="AT1713" s="56">
        <f t="shared" si="519"/>
        <v>1710</v>
      </c>
      <c r="AU1713" s="57">
        <f t="shared" si="520"/>
        <v>2.3785840446002463E-4</v>
      </c>
      <c r="AV1713" s="58">
        <f t="shared" si="517"/>
        <v>4.8675505653430484E-3</v>
      </c>
      <c r="AW1713" s="59">
        <f t="shared" si="518"/>
        <v>1.004867550565343</v>
      </c>
      <c r="AX1713" s="60">
        <f>PRODUCT(AW$4:AW1713)</f>
        <v>4037.2514596978449</v>
      </c>
    </row>
    <row r="1714" spans="45:50">
      <c r="AS1714" s="55">
        <f t="shared" si="516"/>
        <v>143</v>
      </c>
      <c r="AT1714" s="56">
        <f t="shared" si="519"/>
        <v>1711</v>
      </c>
      <c r="AU1714" s="57">
        <f t="shared" si="520"/>
        <v>2.3670061664892364E-4</v>
      </c>
      <c r="AV1714" s="58">
        <f t="shared" si="517"/>
        <v>4.8675505653430484E-3</v>
      </c>
      <c r="AW1714" s="59">
        <f t="shared" si="518"/>
        <v>1.004867550565343</v>
      </c>
      <c r="AX1714" s="60">
        <f>PRODUCT(AW$4:AW1714)</f>
        <v>4056.902985322929</v>
      </c>
    </row>
    <row r="1715" spans="45:50">
      <c r="AS1715" s="55">
        <f t="shared" si="516"/>
        <v>143</v>
      </c>
      <c r="AT1715" s="56">
        <f t="shared" si="519"/>
        <v>1712</v>
      </c>
      <c r="AU1715" s="57">
        <f t="shared" si="520"/>
        <v>2.3554846442853711E-4</v>
      </c>
      <c r="AV1715" s="58">
        <f t="shared" si="517"/>
        <v>4.8675505653430484E-3</v>
      </c>
      <c r="AW1715" s="59">
        <f t="shared" si="518"/>
        <v>1.004867550565343</v>
      </c>
      <c r="AX1715" s="60">
        <f>PRODUCT(AW$4:AW1715)</f>
        <v>4076.6501657426797</v>
      </c>
    </row>
    <row r="1716" spans="45:50">
      <c r="AS1716" s="55">
        <f t="shared" si="516"/>
        <v>143</v>
      </c>
      <c r="AT1716" s="56">
        <f t="shared" si="519"/>
        <v>1713</v>
      </c>
      <c r="AU1716" s="57">
        <f t="shared" si="520"/>
        <v>2.3440192036734228E-4</v>
      </c>
      <c r="AV1716" s="58">
        <f t="shared" si="517"/>
        <v>4.8675505653430484E-3</v>
      </c>
      <c r="AW1716" s="59">
        <f t="shared" si="518"/>
        <v>1.004867550565343</v>
      </c>
      <c r="AX1716" s="60">
        <f>PRODUCT(AW$4:AW1716)</f>
        <v>4096.4934665616465</v>
      </c>
    </row>
    <row r="1717" spans="45:50">
      <c r="AS1717" s="55">
        <f t="shared" si="516"/>
        <v>143</v>
      </c>
      <c r="AT1717" s="56">
        <f t="shared" si="519"/>
        <v>1714</v>
      </c>
      <c r="AU1717" s="57">
        <f t="shared" si="520"/>
        <v>2.3326095716734072E-4</v>
      </c>
      <c r="AV1717" s="58">
        <f t="shared" si="517"/>
        <v>4.8675505653430484E-3</v>
      </c>
      <c r="AW1717" s="59">
        <f t="shared" si="518"/>
        <v>1.004867550565343</v>
      </c>
      <c r="AX1717" s="60">
        <f>PRODUCT(AW$4:AW1717)</f>
        <v>4116.4333556507327</v>
      </c>
    </row>
    <row r="1718" spans="45:50">
      <c r="AS1718" s="55">
        <f t="shared" si="516"/>
        <v>143</v>
      </c>
      <c r="AT1718" s="56">
        <f t="shared" si="519"/>
        <v>1715</v>
      </c>
      <c r="AU1718" s="57">
        <f t="shared" si="520"/>
        <v>2.3212554766340838E-4</v>
      </c>
      <c r="AV1718" s="58">
        <f t="shared" si="517"/>
        <v>4.8675505653430484E-3</v>
      </c>
      <c r="AW1718" s="59">
        <f t="shared" si="518"/>
        <v>1.004867550565343</v>
      </c>
      <c r="AX1718" s="60">
        <f>PRODUCT(AW$4:AW1718)</f>
        <v>4136.4703031582276</v>
      </c>
    </row>
    <row r="1719" spans="45:50">
      <c r="AS1719" s="55">
        <f t="shared" si="516"/>
        <v>143</v>
      </c>
      <c r="AT1719" s="56">
        <f t="shared" si="519"/>
        <v>1716</v>
      </c>
      <c r="AU1719" s="57">
        <f t="shared" si="520"/>
        <v>2.3099566482264879E-4</v>
      </c>
      <c r="AV1719" s="58">
        <f t="shared" si="517"/>
        <v>4.8675505653430484E-3</v>
      </c>
      <c r="AW1719" s="59">
        <f t="shared" si="518"/>
        <v>1.004867550565343</v>
      </c>
      <c r="AX1719" s="60">
        <f>PRODUCT(AW$4:AW1719)</f>
        <v>4156.6047815208904</v>
      </c>
    </row>
    <row r="1720" spans="45:50">
      <c r="AS1720" s="55">
        <f t="shared" si="516"/>
        <v>144</v>
      </c>
      <c r="AT1720" s="56">
        <f t="shared" si="519"/>
        <v>1717</v>
      </c>
      <c r="AU1720" s="57">
        <f t="shared" si="520"/>
        <v>2.2987128174374951E-4</v>
      </c>
      <c r="AV1720" s="58">
        <f t="shared" si="517"/>
        <v>4.8675505653430484E-3</v>
      </c>
      <c r="AW1720" s="59">
        <f t="shared" si="518"/>
        <v>1.004867550565343</v>
      </c>
      <c r="AX1720" s="60">
        <f>PRODUCT(AW$4:AW1720)</f>
        <v>4176.8372654750901</v>
      </c>
    </row>
    <row r="1721" spans="45:50">
      <c r="AS1721" s="55">
        <f t="shared" si="516"/>
        <v>144</v>
      </c>
      <c r="AT1721" s="56">
        <f t="shared" si="519"/>
        <v>1718</v>
      </c>
      <c r="AU1721" s="57">
        <f t="shared" si="520"/>
        <v>2.2875237165634159E-4</v>
      </c>
      <c r="AV1721" s="58">
        <f t="shared" si="517"/>
        <v>4.8675505653430484E-3</v>
      </c>
      <c r="AW1721" s="59">
        <f t="shared" si="518"/>
        <v>1.004867550565343</v>
      </c>
      <c r="AX1721" s="60">
        <f>PRODUCT(AW$4:AW1721)</f>
        <v>4197.1682320679993</v>
      </c>
    </row>
    <row r="1722" spans="45:50">
      <c r="AS1722" s="55">
        <f t="shared" si="516"/>
        <v>144</v>
      </c>
      <c r="AT1722" s="56">
        <f t="shared" si="519"/>
        <v>1719</v>
      </c>
      <c r="AU1722" s="57">
        <f t="shared" si="520"/>
        <v>2.2763890792036219E-4</v>
      </c>
      <c r="AV1722" s="58">
        <f t="shared" si="517"/>
        <v>4.8675505653430484E-3</v>
      </c>
      <c r="AW1722" s="59">
        <f t="shared" si="518"/>
        <v>1.004867550565343</v>
      </c>
      <c r="AX1722" s="60">
        <f>PRODUCT(AW$4:AW1722)</f>
        <v>4217.598160668842</v>
      </c>
    </row>
    <row r="1723" spans="45:50">
      <c r="AS1723" s="55">
        <f t="shared" si="516"/>
        <v>144</v>
      </c>
      <c r="AT1723" s="56">
        <f t="shared" si="519"/>
        <v>1720</v>
      </c>
      <c r="AU1723" s="57">
        <f t="shared" si="520"/>
        <v>2.2653086402542034E-4</v>
      </c>
      <c r="AV1723" s="58">
        <f t="shared" si="517"/>
        <v>4.8675505653430484E-3</v>
      </c>
      <c r="AW1723" s="59">
        <f t="shared" si="518"/>
        <v>1.004867550565343</v>
      </c>
      <c r="AX1723" s="60">
        <f>PRODUCT(AW$4:AW1723)</f>
        <v>4238.1275329801956</v>
      </c>
    </row>
    <row r="1724" spans="45:50">
      <c r="AS1724" s="55">
        <f t="shared" si="516"/>
        <v>144</v>
      </c>
      <c r="AT1724" s="56">
        <f t="shared" si="519"/>
        <v>1721</v>
      </c>
      <c r="AU1724" s="57">
        <f t="shared" si="520"/>
        <v>2.2542821359016575E-4</v>
      </c>
      <c r="AV1724" s="58">
        <f t="shared" si="517"/>
        <v>4.8675505653430484E-3</v>
      </c>
      <c r="AW1724" s="59">
        <f t="shared" si="518"/>
        <v>1.004867550565343</v>
      </c>
      <c r="AX1724" s="60">
        <f>PRODUCT(AW$4:AW1724)</f>
        <v>4258.7568330493496</v>
      </c>
    </row>
    <row r="1725" spans="45:50">
      <c r="AS1725" s="55">
        <f t="shared" si="516"/>
        <v>144</v>
      </c>
      <c r="AT1725" s="56">
        <f t="shared" si="519"/>
        <v>1722</v>
      </c>
      <c r="AU1725" s="57">
        <f t="shared" si="520"/>
        <v>2.2433093036166067E-4</v>
      </c>
      <c r="AV1725" s="58">
        <f t="shared" si="517"/>
        <v>4.8675505653430484E-3</v>
      </c>
      <c r="AW1725" s="59">
        <f t="shared" si="518"/>
        <v>1.004867550565343</v>
      </c>
      <c r="AX1725" s="60">
        <f>PRODUCT(AW$4:AW1725)</f>
        <v>4279.4865472797173</v>
      </c>
    </row>
    <row r="1726" spans="45:50">
      <c r="AS1726" s="55">
        <f t="shared" si="516"/>
        <v>144</v>
      </c>
      <c r="AT1726" s="56">
        <f t="shared" si="519"/>
        <v>1723</v>
      </c>
      <c r="AU1726" s="57">
        <f t="shared" si="520"/>
        <v>2.2323898821475482E-4</v>
      </c>
      <c r="AV1726" s="58">
        <f t="shared" si="517"/>
        <v>4.8675505653430484E-3</v>
      </c>
      <c r="AW1726" s="59">
        <f t="shared" si="518"/>
        <v>1.004867550565343</v>
      </c>
      <c r="AX1726" s="60">
        <f>PRODUCT(AW$4:AW1726)</f>
        <v>4300.3171644423064</v>
      </c>
    </row>
    <row r="1727" spans="45:50">
      <c r="AS1727" s="55">
        <f t="shared" si="516"/>
        <v>144</v>
      </c>
      <c r="AT1727" s="56">
        <f t="shared" si="519"/>
        <v>1724</v>
      </c>
      <c r="AU1727" s="57">
        <f t="shared" si="520"/>
        <v>2.2215236115146348E-4</v>
      </c>
      <c r="AV1727" s="58">
        <f t="shared" si="517"/>
        <v>4.8675505653430484E-3</v>
      </c>
      <c r="AW1727" s="59">
        <f t="shared" si="518"/>
        <v>1.004867550565343</v>
      </c>
      <c r="AX1727" s="60">
        <f>PRODUCT(AW$4:AW1727)</f>
        <v>4321.2491756872423</v>
      </c>
    </row>
    <row r="1728" spans="45:50">
      <c r="AS1728" s="55">
        <f t="shared" si="516"/>
        <v>144</v>
      </c>
      <c r="AT1728" s="56">
        <f t="shared" si="519"/>
        <v>1725</v>
      </c>
      <c r="AU1728" s="57">
        <f t="shared" si="520"/>
        <v>2.2107102330034837E-4</v>
      </c>
      <c r="AV1728" s="58">
        <f t="shared" si="517"/>
        <v>4.8675505653430484E-3</v>
      </c>
      <c r="AW1728" s="59">
        <f t="shared" si="518"/>
        <v>1.004867550565343</v>
      </c>
      <c r="AX1728" s="60">
        <f>PRODUCT(AW$4:AW1728)</f>
        <v>4342.2830745553465</v>
      </c>
    </row>
    <row r="1729" spans="45:50">
      <c r="AS1729" s="55">
        <f t="shared" si="516"/>
        <v>144</v>
      </c>
      <c r="AT1729" s="56">
        <f t="shared" si="519"/>
        <v>1726</v>
      </c>
      <c r="AU1729" s="57">
        <f t="shared" si="520"/>
        <v>2.199949489159018E-4</v>
      </c>
      <c r="AV1729" s="58">
        <f t="shared" si="517"/>
        <v>4.8675505653430484E-3</v>
      </c>
      <c r="AW1729" s="59">
        <f t="shared" si="518"/>
        <v>1.004867550565343</v>
      </c>
      <c r="AX1729" s="60">
        <f>PRODUCT(AW$4:AW1729)</f>
        <v>4363.419356989778</v>
      </c>
    </row>
    <row r="1730" spans="45:50">
      <c r="AS1730" s="55">
        <f t="shared" si="516"/>
        <v>144</v>
      </c>
      <c r="AT1730" s="56">
        <f t="shared" si="519"/>
        <v>1727</v>
      </c>
      <c r="AU1730" s="57">
        <f t="shared" si="520"/>
        <v>2.1892411237793357E-4</v>
      </c>
      <c r="AV1730" s="58">
        <f t="shared" si="517"/>
        <v>4.8675505653430484E-3</v>
      </c>
      <c r="AW1730" s="59">
        <f t="shared" si="518"/>
        <v>1.004867550565343</v>
      </c>
      <c r="AX1730" s="60">
        <f>PRODUCT(AW$4:AW1730)</f>
        <v>4384.6585213477219</v>
      </c>
    </row>
    <row r="1731" spans="45:50">
      <c r="AS1731" s="55">
        <f t="shared" si="516"/>
        <v>144</v>
      </c>
      <c r="AT1731" s="56">
        <f t="shared" si="519"/>
        <v>1728</v>
      </c>
      <c r="AU1731" s="57">
        <f t="shared" si="520"/>
        <v>2.1785848819096113E-4</v>
      </c>
      <c r="AV1731" s="58">
        <f t="shared" si="517"/>
        <v>4.8675505653430484E-3</v>
      </c>
      <c r="AW1731" s="59">
        <f t="shared" si="518"/>
        <v>1.004867550565343</v>
      </c>
      <c r="AX1731" s="60">
        <f>PRODUCT(AW$4:AW1731)</f>
        <v>4406.0010684121444</v>
      </c>
    </row>
    <row r="1732" spans="45:50">
      <c r="AS1732" s="55">
        <f t="shared" si="516"/>
        <v>145</v>
      </c>
      <c r="AT1732" s="56">
        <f t="shared" si="519"/>
        <v>1729</v>
      </c>
      <c r="AU1732" s="57">
        <f t="shared" si="520"/>
        <v>2.1679805098360244E-4</v>
      </c>
      <c r="AV1732" s="58">
        <f t="shared" si="517"/>
        <v>4.8675505653430484E-3</v>
      </c>
      <c r="AW1732" s="59">
        <f t="shared" si="518"/>
        <v>1.004867550565343</v>
      </c>
      <c r="AX1732" s="60">
        <f>PRODUCT(AW$4:AW1732)</f>
        <v>4427.4475014035961</v>
      </c>
    </row>
    <row r="1733" spans="45:50">
      <c r="AS1733" s="55">
        <f t="shared" ref="AS1733:AS1796" si="521">ROUNDDOWN((AT1733-1)/12,0)+1</f>
        <v>145</v>
      </c>
      <c r="AT1733" s="56">
        <f t="shared" si="519"/>
        <v>1730</v>
      </c>
      <c r="AU1733" s="57">
        <f t="shared" si="520"/>
        <v>2.1574277550797194E-4</v>
      </c>
      <c r="AV1733" s="58">
        <f t="shared" ref="AV1733:AV1796" si="522">((1+$AV$1)^(1/12))-1</f>
        <v>4.8675505653430484E-3</v>
      </c>
      <c r="AW1733" s="59">
        <f t="shared" ref="AW1733:AW1796" si="523">(1+AV1733)</f>
        <v>1.004867550565343</v>
      </c>
      <c r="AX1733" s="60">
        <f>PRODUCT(AW$4:AW1733)</f>
        <v>4448.99832599208</v>
      </c>
    </row>
    <row r="1734" spans="45:50">
      <c r="AS1734" s="55">
        <f t="shared" si="521"/>
        <v>145</v>
      </c>
      <c r="AT1734" s="56">
        <f t="shared" ref="AT1734:AT1797" si="524">AT1733+1</f>
        <v>1731</v>
      </c>
      <c r="AU1734" s="57">
        <f t="shared" si="520"/>
        <v>2.1469263663907942E-4</v>
      </c>
      <c r="AV1734" s="58">
        <f t="shared" si="522"/>
        <v>4.8675505653430484E-3</v>
      </c>
      <c r="AW1734" s="59">
        <f t="shared" si="523"/>
        <v>1.004867550565343</v>
      </c>
      <c r="AX1734" s="60">
        <f>PRODUCT(AW$4:AW1734)</f>
        <v>4470.6540503089727</v>
      </c>
    </row>
    <row r="1735" spans="45:50">
      <c r="AS1735" s="55">
        <f t="shared" si="521"/>
        <v>145</v>
      </c>
      <c r="AT1735" s="56">
        <f t="shared" si="524"/>
        <v>1732</v>
      </c>
      <c r="AU1735" s="57">
        <f t="shared" si="520"/>
        <v>2.1364760937423187E-4</v>
      </c>
      <c r="AV1735" s="58">
        <f t="shared" si="522"/>
        <v>4.8675505653430484E-3</v>
      </c>
      <c r="AW1735" s="59">
        <f t="shared" si="523"/>
        <v>1.004867550565343</v>
      </c>
      <c r="AX1735" s="60">
        <f>PRODUCT(AW$4:AW1735)</f>
        <v>4492.4151849590071</v>
      </c>
    </row>
    <row r="1736" spans="45:50">
      <c r="AS1736" s="55">
        <f t="shared" si="521"/>
        <v>145</v>
      </c>
      <c r="AT1736" s="56">
        <f t="shared" si="524"/>
        <v>1733</v>
      </c>
      <c r="AU1736" s="57">
        <f t="shared" si="520"/>
        <v>2.1260766883243813E-4</v>
      </c>
      <c r="AV1736" s="58">
        <f t="shared" si="522"/>
        <v>4.8675505653430484E-3</v>
      </c>
      <c r="AW1736" s="59">
        <f t="shared" si="523"/>
        <v>1.004867550565343</v>
      </c>
      <c r="AX1736" s="60">
        <f>PRODUCT(AW$4:AW1736)</f>
        <v>4514.2822430323104</v>
      </c>
    </row>
    <row r="1737" spans="45:50">
      <c r="AS1737" s="55">
        <f t="shared" si="521"/>
        <v>145</v>
      </c>
      <c r="AT1737" s="56">
        <f t="shared" si="524"/>
        <v>1734</v>
      </c>
      <c r="AU1737" s="57">
        <f t="shared" si="520"/>
        <v>2.1157279025381653E-4</v>
      </c>
      <c r="AV1737" s="58">
        <f t="shared" si="522"/>
        <v>4.8675505653430484E-3</v>
      </c>
      <c r="AW1737" s="59">
        <f t="shared" si="523"/>
        <v>1.004867550565343</v>
      </c>
      <c r="AX1737" s="60">
        <f>PRODUCT(AW$4:AW1737)</f>
        <v>4536.2557401165004</v>
      </c>
    </row>
    <row r="1738" spans="45:50">
      <c r="AS1738" s="55">
        <f t="shared" si="521"/>
        <v>145</v>
      </c>
      <c r="AT1738" s="56">
        <f t="shared" si="524"/>
        <v>1735</v>
      </c>
      <c r="AU1738" s="57">
        <f t="shared" si="520"/>
        <v>2.1054294899900536E-4</v>
      </c>
      <c r="AV1738" s="58">
        <f t="shared" si="522"/>
        <v>4.8675505653430484E-3</v>
      </c>
      <c r="AW1738" s="59">
        <f t="shared" si="523"/>
        <v>1.004867550565343</v>
      </c>
      <c r="AX1738" s="60">
        <f>PRODUCT(AW$4:AW1738)</f>
        <v>4558.3361943088448</v>
      </c>
    </row>
    <row r="1739" spans="45:50">
      <c r="AS1739" s="55">
        <f t="shared" si="521"/>
        <v>145</v>
      </c>
      <c r="AT1739" s="56">
        <f t="shared" si="524"/>
        <v>1736</v>
      </c>
      <c r="AU1739" s="57">
        <f t="shared" si="520"/>
        <v>2.0951812054857626E-4</v>
      </c>
      <c r="AV1739" s="58">
        <f t="shared" si="522"/>
        <v>4.8675505653430484E-3</v>
      </c>
      <c r="AW1739" s="59">
        <f t="shared" si="523"/>
        <v>1.004867550565343</v>
      </c>
      <c r="AX1739" s="60">
        <f>PRODUCT(AW$4:AW1739)</f>
        <v>4580.5241262284762</v>
      </c>
    </row>
    <row r="1740" spans="45:50">
      <c r="AS1740" s="55">
        <f t="shared" si="521"/>
        <v>145</v>
      </c>
      <c r="AT1740" s="56">
        <f t="shared" si="524"/>
        <v>1737</v>
      </c>
      <c r="AU1740" s="57">
        <f t="shared" si="520"/>
        <v>2.0849828050245042E-4</v>
      </c>
      <c r="AV1740" s="58">
        <f t="shared" si="522"/>
        <v>4.8675505653430484E-3</v>
      </c>
      <c r="AW1740" s="59">
        <f t="shared" si="523"/>
        <v>1.004867550565343</v>
      </c>
      <c r="AX1740" s="60">
        <f>PRODUCT(AW$4:AW1740)</f>
        <v>4602.8200590286669</v>
      </c>
    </row>
    <row r="1741" spans="45:50">
      <c r="AS1741" s="55">
        <f t="shared" si="521"/>
        <v>145</v>
      </c>
      <c r="AT1741" s="56">
        <f t="shared" si="524"/>
        <v>1738</v>
      </c>
      <c r="AU1741" s="57">
        <f t="shared" si="520"/>
        <v>2.0748340457931767E-4</v>
      </c>
      <c r="AV1741" s="58">
        <f t="shared" si="522"/>
        <v>4.8675505653430484E-3</v>
      </c>
      <c r="AW1741" s="59">
        <f t="shared" si="523"/>
        <v>1.004867550565343</v>
      </c>
      <c r="AX1741" s="60">
        <f>PRODUCT(AW$4:AW1741)</f>
        <v>4625.2245184091644</v>
      </c>
    </row>
    <row r="1742" spans="45:50">
      <c r="AS1742" s="55">
        <f t="shared" si="521"/>
        <v>145</v>
      </c>
      <c r="AT1742" s="56">
        <f t="shared" si="524"/>
        <v>1739</v>
      </c>
      <c r="AU1742" s="57">
        <f t="shared" si="520"/>
        <v>2.0647346861605832E-4</v>
      </c>
      <c r="AV1742" s="58">
        <f t="shared" si="522"/>
        <v>4.8675505653430484E-3</v>
      </c>
      <c r="AW1742" s="59">
        <f t="shared" si="523"/>
        <v>1.004867550565343</v>
      </c>
      <c r="AX1742" s="60">
        <f>PRODUCT(AW$4:AW1742)</f>
        <v>4647.7380326285856</v>
      </c>
    </row>
    <row r="1743" spans="45:50">
      <c r="AS1743" s="55">
        <f t="shared" si="521"/>
        <v>145</v>
      </c>
      <c r="AT1743" s="56">
        <f t="shared" si="524"/>
        <v>1740</v>
      </c>
      <c r="AU1743" s="57">
        <f t="shared" ref="AU1743:AU1774" si="525">(1-AV1743)*AU1742</f>
        <v>2.0546844856716789E-4</v>
      </c>
      <c r="AV1743" s="58">
        <f t="shared" si="522"/>
        <v>4.8675505653430484E-3</v>
      </c>
      <c r="AW1743" s="59">
        <f t="shared" si="523"/>
        <v>1.004867550565343</v>
      </c>
      <c r="AX1743" s="60">
        <f>PRODUCT(AW$4:AW1743)</f>
        <v>4670.3611325168731</v>
      </c>
    </row>
    <row r="1744" spans="45:50">
      <c r="AS1744" s="55">
        <f t="shared" si="521"/>
        <v>146</v>
      </c>
      <c r="AT1744" s="56">
        <f t="shared" si="524"/>
        <v>1741</v>
      </c>
      <c r="AU1744" s="57">
        <f t="shared" si="525"/>
        <v>2.044683205041846E-4</v>
      </c>
      <c r="AV1744" s="58">
        <f t="shared" si="522"/>
        <v>4.8675505653430484E-3</v>
      </c>
      <c r="AW1744" s="59">
        <f t="shared" si="523"/>
        <v>1.004867550565343</v>
      </c>
      <c r="AX1744" s="60">
        <f>PRODUCT(AW$4:AW1744)</f>
        <v>4693.0943514878118</v>
      </c>
    </row>
    <row r="1745" spans="45:50">
      <c r="AS1745" s="55">
        <f t="shared" si="521"/>
        <v>146</v>
      </c>
      <c r="AT1745" s="56">
        <f t="shared" si="524"/>
        <v>1742</v>
      </c>
      <c r="AU1745" s="57">
        <f t="shared" si="525"/>
        <v>2.0347306061511972E-4</v>
      </c>
      <c r="AV1745" s="58">
        <f t="shared" si="522"/>
        <v>4.8675505653430484E-3</v>
      </c>
      <c r="AW1745" s="59">
        <f t="shared" si="523"/>
        <v>1.004867550565343</v>
      </c>
      <c r="AX1745" s="60">
        <f>PRODUCT(AW$4:AW1745)</f>
        <v>4715.9382255516048</v>
      </c>
    </row>
    <row r="1746" spans="45:50">
      <c r="AS1746" s="55">
        <f t="shared" si="521"/>
        <v>146</v>
      </c>
      <c r="AT1746" s="56">
        <f t="shared" si="524"/>
        <v>1743</v>
      </c>
      <c r="AU1746" s="57">
        <f t="shared" si="525"/>
        <v>2.0248264520389051E-4</v>
      </c>
      <c r="AV1746" s="58">
        <f t="shared" si="522"/>
        <v>4.8675505653430484E-3</v>
      </c>
      <c r="AW1746" s="59">
        <f t="shared" si="523"/>
        <v>1.004867550565343</v>
      </c>
      <c r="AX1746" s="60">
        <f>PRODUCT(AW$4:AW1746)</f>
        <v>4738.8932933275109</v>
      </c>
    </row>
    <row r="1747" spans="45:50">
      <c r="AS1747" s="55">
        <f t="shared" si="521"/>
        <v>146</v>
      </c>
      <c r="AT1747" s="56">
        <f t="shared" si="524"/>
        <v>1744</v>
      </c>
      <c r="AU1747" s="57">
        <f t="shared" si="525"/>
        <v>2.0149705068975616E-4</v>
      </c>
      <c r="AV1747" s="58">
        <f t="shared" si="522"/>
        <v>4.8675505653430484E-3</v>
      </c>
      <c r="AW1747" s="59">
        <f t="shared" si="523"/>
        <v>1.004867550565343</v>
      </c>
      <c r="AX1747" s="60">
        <f>PRODUCT(AW$4:AW1747)</f>
        <v>4761.9600960565476</v>
      </c>
    </row>
    <row r="1748" spans="45:50">
      <c r="AS1748" s="55">
        <f t="shared" si="521"/>
        <v>146</v>
      </c>
      <c r="AT1748" s="56">
        <f t="shared" si="524"/>
        <v>1745</v>
      </c>
      <c r="AU1748" s="57">
        <f t="shared" si="525"/>
        <v>2.0051625360675628E-4</v>
      </c>
      <c r="AV1748" s="58">
        <f t="shared" si="522"/>
        <v>4.8675505653430484E-3</v>
      </c>
      <c r="AW1748" s="59">
        <f t="shared" si="523"/>
        <v>1.004867550565343</v>
      </c>
      <c r="AX1748" s="60">
        <f>PRODUCT(AW$4:AW1748)</f>
        <v>4785.1391776142491</v>
      </c>
    </row>
    <row r="1749" spans="45:50">
      <c r="AS1749" s="55">
        <f t="shared" si="521"/>
        <v>146</v>
      </c>
      <c r="AT1749" s="56">
        <f t="shared" si="524"/>
        <v>1746</v>
      </c>
      <c r="AU1749" s="57">
        <f t="shared" si="525"/>
        <v>1.9954023060315225E-4</v>
      </c>
      <c r="AV1749" s="58">
        <f t="shared" si="522"/>
        <v>4.8675505653430484E-3</v>
      </c>
      <c r="AW1749" s="59">
        <f t="shared" si="523"/>
        <v>1.004867550565343</v>
      </c>
      <c r="AX1749" s="60">
        <f>PRODUCT(AW$4:AW1749)</f>
        <v>4808.4310845234904</v>
      </c>
    </row>
    <row r="1750" spans="45:50">
      <c r="AS1750" s="55">
        <f t="shared" si="521"/>
        <v>146</v>
      </c>
      <c r="AT1750" s="56">
        <f t="shared" si="524"/>
        <v>1747</v>
      </c>
      <c r="AU1750" s="57">
        <f t="shared" si="525"/>
        <v>1.985689584408712E-4</v>
      </c>
      <c r="AV1750" s="58">
        <f t="shared" si="522"/>
        <v>4.8675505653430484E-3</v>
      </c>
      <c r="AW1750" s="59">
        <f t="shared" si="523"/>
        <v>1.004867550565343</v>
      </c>
      <c r="AX1750" s="60">
        <f>PRODUCT(AW$4:AW1750)</f>
        <v>4831.836365967376</v>
      </c>
    </row>
    <row r="1751" spans="45:50">
      <c r="AS1751" s="55">
        <f t="shared" si="521"/>
        <v>146</v>
      </c>
      <c r="AT1751" s="56">
        <f t="shared" si="524"/>
        <v>1748</v>
      </c>
      <c r="AU1751" s="57">
        <f t="shared" si="525"/>
        <v>1.9760241399495275E-4</v>
      </c>
      <c r="AV1751" s="58">
        <f t="shared" si="522"/>
        <v>4.8675505653430484E-3</v>
      </c>
      <c r="AW1751" s="59">
        <f t="shared" si="523"/>
        <v>1.004867550565343</v>
      </c>
      <c r="AX1751" s="60">
        <f>PRODUCT(AW$4:AW1751)</f>
        <v>4855.355573802186</v>
      </c>
    </row>
    <row r="1752" spans="45:50">
      <c r="AS1752" s="55">
        <f t="shared" si="521"/>
        <v>146</v>
      </c>
      <c r="AT1752" s="56">
        <f t="shared" si="524"/>
        <v>1749</v>
      </c>
      <c r="AU1752" s="57">
        <f t="shared" si="525"/>
        <v>1.9664057425299847E-4</v>
      </c>
      <c r="AV1752" s="58">
        <f t="shared" si="522"/>
        <v>4.8675505653430484E-3</v>
      </c>
      <c r="AW1752" s="59">
        <f t="shared" si="523"/>
        <v>1.004867550565343</v>
      </c>
      <c r="AX1752" s="60">
        <f>PRODUCT(AW$4:AW1752)</f>
        <v>4878.9892625703887</v>
      </c>
    </row>
    <row r="1753" spans="45:50">
      <c r="AS1753" s="55">
        <f t="shared" si="521"/>
        <v>146</v>
      </c>
      <c r="AT1753" s="56">
        <f t="shared" si="524"/>
        <v>1750</v>
      </c>
      <c r="AU1753" s="57">
        <f t="shared" si="525"/>
        <v>1.956834163146239E-4</v>
      </c>
      <c r="AV1753" s="58">
        <f t="shared" si="522"/>
        <v>4.8675505653430484E-3</v>
      </c>
      <c r="AW1753" s="59">
        <f t="shared" si="523"/>
        <v>1.004867550565343</v>
      </c>
      <c r="AX1753" s="60">
        <f>PRODUCT(AW$4:AW1753)</f>
        <v>4902.7379895137155</v>
      </c>
    </row>
    <row r="1754" spans="45:50">
      <c r="AS1754" s="55">
        <f t="shared" si="521"/>
        <v>146</v>
      </c>
      <c r="AT1754" s="56">
        <f t="shared" si="524"/>
        <v>1751</v>
      </c>
      <c r="AU1754" s="57">
        <f t="shared" si="525"/>
        <v>1.947309173909134E-4</v>
      </c>
      <c r="AV1754" s="58">
        <f t="shared" si="522"/>
        <v>4.8675505653430484E-3</v>
      </c>
      <c r="AW1754" s="59">
        <f t="shared" si="523"/>
        <v>1.004867550565343</v>
      </c>
      <c r="AX1754" s="60">
        <f>PRODUCT(AW$4:AW1754)</f>
        <v>4926.6023145863019</v>
      </c>
    </row>
    <row r="1755" spans="45:50">
      <c r="AS1755" s="55">
        <f t="shared" si="521"/>
        <v>146</v>
      </c>
      <c r="AT1755" s="56">
        <f t="shared" si="524"/>
        <v>1752</v>
      </c>
      <c r="AU1755" s="57">
        <f t="shared" si="525"/>
        <v>1.937830548038775E-4</v>
      </c>
      <c r="AV1755" s="58">
        <f t="shared" si="522"/>
        <v>4.8675505653430484E-3</v>
      </c>
      <c r="AW1755" s="59">
        <f t="shared" si="523"/>
        <v>1.004867550565343</v>
      </c>
      <c r="AX1755" s="60">
        <f>PRODUCT(AW$4:AW1755)</f>
        <v>4950.582800467887</v>
      </c>
    </row>
    <row r="1756" spans="45:50">
      <c r="AS1756" s="55">
        <f t="shared" si="521"/>
        <v>147</v>
      </c>
      <c r="AT1756" s="56">
        <f t="shared" si="524"/>
        <v>1753</v>
      </c>
      <c r="AU1756" s="57">
        <f t="shared" si="525"/>
        <v>1.9283980598591298E-4</v>
      </c>
      <c r="AV1756" s="58">
        <f t="shared" si="522"/>
        <v>4.8675505653430484E-3</v>
      </c>
      <c r="AW1756" s="59">
        <f t="shared" si="523"/>
        <v>1.004867550565343</v>
      </c>
      <c r="AX1756" s="60">
        <f>PRODUCT(AW$4:AW1756)</f>
        <v>4974.6800125770824</v>
      </c>
    </row>
    <row r="1757" spans="45:50">
      <c r="AS1757" s="55">
        <f t="shared" si="521"/>
        <v>147</v>
      </c>
      <c r="AT1757" s="56">
        <f t="shared" si="524"/>
        <v>1754</v>
      </c>
      <c r="AU1757" s="57">
        <f t="shared" si="525"/>
        <v>1.919011484792656E-4</v>
      </c>
      <c r="AV1757" s="58">
        <f t="shared" si="522"/>
        <v>4.8675505653430484E-3</v>
      </c>
      <c r="AW1757" s="59">
        <f t="shared" si="523"/>
        <v>1.004867550565343</v>
      </c>
      <c r="AX1757" s="60">
        <f>PRODUCT(AW$4:AW1757)</f>
        <v>4998.8945190847026</v>
      </c>
    </row>
    <row r="1758" spans="45:50">
      <c r="AS1758" s="55">
        <f t="shared" si="521"/>
        <v>147</v>
      </c>
      <c r="AT1758" s="56">
        <f t="shared" si="524"/>
        <v>1755</v>
      </c>
      <c r="AU1758" s="57">
        <f t="shared" si="525"/>
        <v>1.9096705993549537E-4</v>
      </c>
      <c r="AV1758" s="58">
        <f t="shared" si="522"/>
        <v>4.8675505653430484E-3</v>
      </c>
      <c r="AW1758" s="59">
        <f t="shared" si="523"/>
        <v>1.004867550565343</v>
      </c>
      <c r="AX1758" s="60">
        <f>PRODUCT(AW$4:AW1758)</f>
        <v>5023.2268909271634</v>
      </c>
    </row>
    <row r="1759" spans="45:50">
      <c r="AS1759" s="55">
        <f t="shared" si="521"/>
        <v>147</v>
      </c>
      <c r="AT1759" s="56">
        <f t="shared" si="524"/>
        <v>1756</v>
      </c>
      <c r="AU1759" s="57">
        <f t="shared" si="525"/>
        <v>1.9003751811494444E-4</v>
      </c>
      <c r="AV1759" s="58">
        <f t="shared" si="522"/>
        <v>4.8675505653430484E-3</v>
      </c>
      <c r="AW1759" s="59">
        <f t="shared" si="523"/>
        <v>1.004867550565343</v>
      </c>
      <c r="AX1759" s="60">
        <f>PRODUCT(AW$4:AW1759)</f>
        <v>5047.6777018199418</v>
      </c>
    </row>
    <row r="1760" spans="45:50">
      <c r="AS1760" s="55">
        <f t="shared" si="521"/>
        <v>147</v>
      </c>
      <c r="AT1760" s="56">
        <f t="shared" si="524"/>
        <v>1757</v>
      </c>
      <c r="AU1760" s="57">
        <f t="shared" si="525"/>
        <v>1.8911250088620766E-4</v>
      </c>
      <c r="AV1760" s="58">
        <f t="shared" si="522"/>
        <v>4.8675505653430484E-3</v>
      </c>
      <c r="AW1760" s="59">
        <f t="shared" si="523"/>
        <v>1.004867550565343</v>
      </c>
      <c r="AX1760" s="60">
        <f>PRODUCT(AW$4:AW1760)</f>
        <v>5072.2475282711048</v>
      </c>
    </row>
    <row r="1761" spans="45:50">
      <c r="AS1761" s="55">
        <f t="shared" si="521"/>
        <v>147</v>
      </c>
      <c r="AT1761" s="56">
        <f t="shared" si="524"/>
        <v>1758</v>
      </c>
      <c r="AU1761" s="57">
        <f t="shared" si="525"/>
        <v>1.8819198622560556E-4</v>
      </c>
      <c r="AV1761" s="58">
        <f t="shared" si="522"/>
        <v>4.8675505653430484E-3</v>
      </c>
      <c r="AW1761" s="59">
        <f t="shared" si="523"/>
        <v>1.004867550565343</v>
      </c>
      <c r="AX1761" s="60">
        <f>PRODUCT(AW$4:AW1761)</f>
        <v>5096.9369495949004</v>
      </c>
    </row>
    <row r="1762" spans="45:50">
      <c r="AS1762" s="55">
        <f t="shared" si="521"/>
        <v>147</v>
      </c>
      <c r="AT1762" s="56">
        <f t="shared" si="524"/>
        <v>1759</v>
      </c>
      <c r="AU1762" s="57">
        <f t="shared" si="525"/>
        <v>1.8727595221666008E-4</v>
      </c>
      <c r="AV1762" s="58">
        <f t="shared" si="522"/>
        <v>4.8675505653430484E-3</v>
      </c>
      <c r="AW1762" s="59">
        <f t="shared" si="523"/>
        <v>1.004867550565343</v>
      </c>
      <c r="AX1762" s="60">
        <f>PRODUCT(AW$4:AW1762)</f>
        <v>5121.7465479254188</v>
      </c>
    </row>
    <row r="1763" spans="45:50">
      <c r="AS1763" s="55">
        <f t="shared" si="521"/>
        <v>147</v>
      </c>
      <c r="AT1763" s="56">
        <f t="shared" si="524"/>
        <v>1760</v>
      </c>
      <c r="AU1763" s="57">
        <f t="shared" si="525"/>
        <v>1.8636437704957272E-4</v>
      </c>
      <c r="AV1763" s="58">
        <f t="shared" si="522"/>
        <v>4.8675505653430484E-3</v>
      </c>
      <c r="AW1763" s="59">
        <f t="shared" si="523"/>
        <v>1.004867550565343</v>
      </c>
      <c r="AX1763" s="60">
        <f>PRODUCT(AW$4:AW1763)</f>
        <v>5146.6769082303172</v>
      </c>
    </row>
    <row r="1764" spans="45:50">
      <c r="AS1764" s="55">
        <f t="shared" si="521"/>
        <v>147</v>
      </c>
      <c r="AT1764" s="56">
        <f t="shared" si="524"/>
        <v>1761</v>
      </c>
      <c r="AU1764" s="57">
        <f t="shared" si="525"/>
        <v>1.8545723902070528E-4</v>
      </c>
      <c r="AV1764" s="58">
        <f t="shared" si="522"/>
        <v>4.8675505653430484E-3</v>
      </c>
      <c r="AW1764" s="59">
        <f t="shared" si="523"/>
        <v>1.004867550565343</v>
      </c>
      <c r="AX1764" s="60">
        <f>PRODUCT(AW$4:AW1764)</f>
        <v>5171.7286183246115</v>
      </c>
    </row>
    <row r="1765" spans="45:50">
      <c r="AS1765" s="55">
        <f t="shared" si="521"/>
        <v>147</v>
      </c>
      <c r="AT1765" s="56">
        <f t="shared" si="524"/>
        <v>1762</v>
      </c>
      <c r="AU1765" s="57">
        <f t="shared" si="525"/>
        <v>1.845545165320631E-4</v>
      </c>
      <c r="AV1765" s="58">
        <f t="shared" si="522"/>
        <v>4.8675505653430484E-3</v>
      </c>
      <c r="AW1765" s="59">
        <f t="shared" si="523"/>
        <v>1.004867550565343</v>
      </c>
      <c r="AX1765" s="60">
        <f>PRODUCT(AW$4:AW1765)</f>
        <v>5196.902268884538</v>
      </c>
    </row>
    <row r="1766" spans="45:50">
      <c r="AS1766" s="55">
        <f t="shared" si="521"/>
        <v>147</v>
      </c>
      <c r="AT1766" s="56">
        <f t="shared" si="524"/>
        <v>1763</v>
      </c>
      <c r="AU1766" s="57">
        <f t="shared" si="525"/>
        <v>1.8365618809078086E-4</v>
      </c>
      <c r="AV1766" s="58">
        <f t="shared" si="522"/>
        <v>4.8675505653430484E-3</v>
      </c>
      <c r="AW1766" s="59">
        <f t="shared" si="523"/>
        <v>1.004867550565343</v>
      </c>
      <c r="AX1766" s="60">
        <f>PRODUCT(AW$4:AW1766)</f>
        <v>5222.1984534614794</v>
      </c>
    </row>
    <row r="1767" spans="45:50">
      <c r="AS1767" s="55">
        <f t="shared" si="521"/>
        <v>147</v>
      </c>
      <c r="AT1767" s="56">
        <f t="shared" si="524"/>
        <v>1764</v>
      </c>
      <c r="AU1767" s="57">
        <f t="shared" si="525"/>
        <v>1.8276223230861082E-4</v>
      </c>
      <c r="AV1767" s="58">
        <f t="shared" si="522"/>
        <v>4.8675505653430484E-3</v>
      </c>
      <c r="AW1767" s="59">
        <f t="shared" si="523"/>
        <v>1.004867550565343</v>
      </c>
      <c r="AX1767" s="60">
        <f>PRODUCT(AW$4:AW1767)</f>
        <v>5247.6177684959594</v>
      </c>
    </row>
    <row r="1768" spans="45:50">
      <c r="AS1768" s="55">
        <f t="shared" si="521"/>
        <v>148</v>
      </c>
      <c r="AT1768" s="56">
        <f t="shared" si="524"/>
        <v>1765</v>
      </c>
      <c r="AU1768" s="57">
        <f t="shared" si="525"/>
        <v>1.8187262790141369E-4</v>
      </c>
      <c r="AV1768" s="58">
        <f t="shared" si="522"/>
        <v>4.8675505653430484E-3</v>
      </c>
      <c r="AW1768" s="59">
        <f t="shared" si="523"/>
        <v>1.004867550565343</v>
      </c>
      <c r="AX1768" s="60">
        <f>PRODUCT(AW$4:AW1768)</f>
        <v>5273.1608133317059</v>
      </c>
    </row>
    <row r="1769" spans="45:50">
      <c r="AS1769" s="55">
        <f t="shared" si="521"/>
        <v>148</v>
      </c>
      <c r="AT1769" s="56">
        <f t="shared" si="524"/>
        <v>1766</v>
      </c>
      <c r="AU1769" s="57">
        <f t="shared" si="525"/>
        <v>1.8098735368865174E-4</v>
      </c>
      <c r="AV1769" s="58">
        <f t="shared" si="522"/>
        <v>4.8675505653430484E-3</v>
      </c>
      <c r="AW1769" s="59">
        <f t="shared" si="523"/>
        <v>1.004867550565343</v>
      </c>
      <c r="AX1769" s="60">
        <f>PRODUCT(AW$4:AW1769)</f>
        <v>5298.8281902297831</v>
      </c>
    </row>
    <row r="1770" spans="45:50">
      <c r="AS1770" s="55">
        <f t="shared" si="521"/>
        <v>148</v>
      </c>
      <c r="AT1770" s="56">
        <f t="shared" si="524"/>
        <v>1767</v>
      </c>
      <c r="AU1770" s="57">
        <f t="shared" si="525"/>
        <v>1.801063885928846E-4</v>
      </c>
      <c r="AV1770" s="58">
        <f t="shared" si="522"/>
        <v>4.8675505653430484E-3</v>
      </c>
      <c r="AW1770" s="59">
        <f t="shared" si="523"/>
        <v>1.004867550565343</v>
      </c>
      <c r="AX1770" s="60">
        <f>PRODUCT(AW$4:AW1770)</f>
        <v>5324.6205043827922</v>
      </c>
    </row>
    <row r="1771" spans="45:50">
      <c r="AS1771" s="55">
        <f t="shared" si="521"/>
        <v>148</v>
      </c>
      <c r="AT1771" s="56">
        <f t="shared" si="524"/>
        <v>1768</v>
      </c>
      <c r="AU1771" s="57">
        <f t="shared" si="525"/>
        <v>1.7922971163926741E-4</v>
      </c>
      <c r="AV1771" s="58">
        <f t="shared" si="522"/>
        <v>4.8675505653430484E-3</v>
      </c>
      <c r="AW1771" s="59">
        <f t="shared" si="523"/>
        <v>1.004867550565343</v>
      </c>
      <c r="AX1771" s="60">
        <f>PRODUCT(AW$4:AW1771)</f>
        <v>5350.5383639291376</v>
      </c>
    </row>
    <row r="1772" spans="45:50">
      <c r="AS1772" s="55">
        <f t="shared" si="521"/>
        <v>148</v>
      </c>
      <c r="AT1772" s="56">
        <f t="shared" si="524"/>
        <v>1769</v>
      </c>
      <c r="AU1772" s="57">
        <f t="shared" si="525"/>
        <v>1.7835730195505143E-4</v>
      </c>
      <c r="AV1772" s="58">
        <f t="shared" si="522"/>
        <v>4.8675505653430484E-3</v>
      </c>
      <c r="AW1772" s="59">
        <f t="shared" si="523"/>
        <v>1.004867550565343</v>
      </c>
      <c r="AX1772" s="60">
        <f>PRODUCT(AW$4:AW1772)</f>
        <v>5376.5823799673708</v>
      </c>
    </row>
    <row r="1773" spans="45:50">
      <c r="AS1773" s="55">
        <f t="shared" si="521"/>
        <v>148</v>
      </c>
      <c r="AT1773" s="56">
        <f t="shared" si="524"/>
        <v>1770</v>
      </c>
      <c r="AU1773" s="57">
        <f t="shared" si="525"/>
        <v>1.7748913876908706E-4</v>
      </c>
      <c r="AV1773" s="58">
        <f t="shared" si="522"/>
        <v>4.8675505653430484E-3</v>
      </c>
      <c r="AW1773" s="59">
        <f t="shared" si="523"/>
        <v>1.004867550565343</v>
      </c>
      <c r="AX1773" s="60">
        <f>PRODUCT(AW$4:AW1773)</f>
        <v>5402.7531665705947</v>
      </c>
    </row>
    <row r="1774" spans="45:50">
      <c r="AS1774" s="55">
        <f t="shared" si="521"/>
        <v>148</v>
      </c>
      <c r="AT1774" s="56">
        <f t="shared" si="524"/>
        <v>1771</v>
      </c>
      <c r="AU1774" s="57">
        <f t="shared" si="525"/>
        <v>1.7662520141132934E-4</v>
      </c>
      <c r="AV1774" s="58">
        <f t="shared" si="522"/>
        <v>4.8675505653430484E-3</v>
      </c>
      <c r="AW1774" s="59">
        <f t="shared" si="523"/>
        <v>1.004867550565343</v>
      </c>
      <c r="AX1774" s="60">
        <f>PRODUCT(AW$4:AW1774)</f>
        <v>5429.0513408009447</v>
      </c>
    </row>
    <row r="1775" spans="45:50">
      <c r="AS1775" s="55">
        <f t="shared" si="521"/>
        <v>148</v>
      </c>
      <c r="AT1775" s="56">
        <f t="shared" si="524"/>
        <v>1772</v>
      </c>
      <c r="AU1775" s="57">
        <f t="shared" ref="AU1775:AU1803" si="526">(1-AV1775)*AU1774</f>
        <v>1.757654693123458E-4</v>
      </c>
      <c r="AV1775" s="58">
        <f t="shared" si="522"/>
        <v>4.8675505653430484E-3</v>
      </c>
      <c r="AW1775" s="59">
        <f t="shared" si="523"/>
        <v>1.004867550565343</v>
      </c>
      <c r="AX1775" s="60">
        <f>PRODUCT(AW$4:AW1775)</f>
        <v>5455.4775227241371</v>
      </c>
    </row>
    <row r="1776" spans="45:50">
      <c r="AS1776" s="55">
        <f t="shared" si="521"/>
        <v>148</v>
      </c>
      <c r="AT1776" s="56">
        <f t="shared" si="524"/>
        <v>1773</v>
      </c>
      <c r="AU1776" s="57">
        <f t="shared" si="526"/>
        <v>1.7490992200282671E-4</v>
      </c>
      <c r="AV1776" s="58">
        <f t="shared" si="522"/>
        <v>4.8675505653430484E-3</v>
      </c>
      <c r="AW1776" s="59">
        <f t="shared" si="523"/>
        <v>1.004867550565343</v>
      </c>
      <c r="AX1776" s="60">
        <f>PRODUCT(AW$4:AW1776)</f>
        <v>5482.0323354240891</v>
      </c>
    </row>
    <row r="1777" spans="45:50">
      <c r="AS1777" s="55">
        <f t="shared" si="521"/>
        <v>148</v>
      </c>
      <c r="AT1777" s="56">
        <f t="shared" si="524"/>
        <v>1774</v>
      </c>
      <c r="AU1777" s="57">
        <f t="shared" si="526"/>
        <v>1.7405853911309774E-4</v>
      </c>
      <c r="AV1777" s="58">
        <f t="shared" si="522"/>
        <v>4.8675505653430484E-3</v>
      </c>
      <c r="AW1777" s="59">
        <f t="shared" si="523"/>
        <v>1.004867550565343</v>
      </c>
      <c r="AX1777" s="60">
        <f>PRODUCT(AW$4:AW1777)</f>
        <v>5508.7164050176116</v>
      </c>
    </row>
    <row r="1778" spans="45:50">
      <c r="AS1778" s="55">
        <f t="shared" si="521"/>
        <v>148</v>
      </c>
      <c r="AT1778" s="56">
        <f t="shared" si="524"/>
        <v>1775</v>
      </c>
      <c r="AU1778" s="57">
        <f t="shared" si="526"/>
        <v>1.7321130037263499E-4</v>
      </c>
      <c r="AV1778" s="58">
        <f t="shared" si="522"/>
        <v>4.8675505653430484E-3</v>
      </c>
      <c r="AW1778" s="59">
        <f t="shared" si="523"/>
        <v>1.004867550565343</v>
      </c>
      <c r="AX1778" s="60">
        <f>PRODUCT(AW$4:AW1778)</f>
        <v>5535.5303606691696</v>
      </c>
    </row>
    <row r="1779" spans="45:50">
      <c r="AS1779" s="55">
        <f t="shared" si="521"/>
        <v>148</v>
      </c>
      <c r="AT1779" s="56">
        <f t="shared" si="524"/>
        <v>1776</v>
      </c>
      <c r="AU1779" s="57">
        <f t="shared" si="526"/>
        <v>1.7236818560958236E-4</v>
      </c>
      <c r="AV1779" s="58">
        <f t="shared" si="522"/>
        <v>4.8675505653430484E-3</v>
      </c>
      <c r="AW1779" s="59">
        <f t="shared" si="523"/>
        <v>1.004867550565343</v>
      </c>
      <c r="AX1779" s="60">
        <f>PRODUCT(AW$4:AW1779)</f>
        <v>5562.4748346057186</v>
      </c>
    </row>
    <row r="1780" spans="45:50">
      <c r="AS1780" s="55">
        <f t="shared" si="521"/>
        <v>149</v>
      </c>
      <c r="AT1780" s="56">
        <f t="shared" si="524"/>
        <v>1777</v>
      </c>
      <c r="AU1780" s="57">
        <f t="shared" si="526"/>
        <v>1.7152917475027129E-4</v>
      </c>
      <c r="AV1780" s="58">
        <f t="shared" si="522"/>
        <v>4.8675505653430484E-3</v>
      </c>
      <c r="AW1780" s="59">
        <f t="shared" si="523"/>
        <v>1.004867550565343</v>
      </c>
      <c r="AX1780" s="60">
        <f>PRODUCT(AW$4:AW1780)</f>
        <v>5589.5504621316104</v>
      </c>
    </row>
    <row r="1781" spans="45:50">
      <c r="AS1781" s="55">
        <f t="shared" si="521"/>
        <v>149</v>
      </c>
      <c r="AT1781" s="56">
        <f t="shared" si="524"/>
        <v>1778</v>
      </c>
      <c r="AU1781" s="57">
        <f t="shared" si="526"/>
        <v>1.7069424781874278E-4</v>
      </c>
      <c r="AV1781" s="58">
        <f t="shared" si="522"/>
        <v>4.8675505653430484E-3</v>
      </c>
      <c r="AW1781" s="59">
        <f t="shared" si="523"/>
        <v>1.004867550565343</v>
      </c>
      <c r="AX1781" s="60">
        <f>PRODUCT(AW$4:AW1781)</f>
        <v>5616.7578816435725</v>
      </c>
    </row>
    <row r="1782" spans="45:50">
      <c r="AS1782" s="55">
        <f t="shared" si="521"/>
        <v>149</v>
      </c>
      <c r="AT1782" s="56">
        <f t="shared" si="524"/>
        <v>1779</v>
      </c>
      <c r="AU1782" s="57">
        <f t="shared" si="526"/>
        <v>1.6986338493627185E-4</v>
      </c>
      <c r="AV1782" s="58">
        <f t="shared" si="522"/>
        <v>4.8675505653430484E-3</v>
      </c>
      <c r="AW1782" s="59">
        <f t="shared" si="523"/>
        <v>1.004867550565343</v>
      </c>
      <c r="AX1782" s="60">
        <f>PRODUCT(AW$4:AW1782)</f>
        <v>5644.0977346457621</v>
      </c>
    </row>
    <row r="1783" spans="45:50">
      <c r="AS1783" s="55">
        <f t="shared" si="521"/>
        <v>149</v>
      </c>
      <c r="AT1783" s="56">
        <f t="shared" si="524"/>
        <v>1780</v>
      </c>
      <c r="AU1783" s="57">
        <f t="shared" si="526"/>
        <v>1.6903656632089422E-4</v>
      </c>
      <c r="AV1783" s="58">
        <f t="shared" si="522"/>
        <v>4.8675505653430484E-3</v>
      </c>
      <c r="AW1783" s="59">
        <f t="shared" si="523"/>
        <v>1.004867550565343</v>
      </c>
      <c r="AX1783" s="60">
        <f>PRODUCT(AW$4:AW1783)</f>
        <v>5671.5706657648889</v>
      </c>
    </row>
    <row r="1784" spans="45:50">
      <c r="AS1784" s="55">
        <f t="shared" si="521"/>
        <v>149</v>
      </c>
      <c r="AT1784" s="56">
        <f t="shared" si="524"/>
        <v>1781</v>
      </c>
      <c r="AU1784" s="57">
        <f t="shared" si="526"/>
        <v>1.6821377228693531E-4</v>
      </c>
      <c r="AV1784" s="58">
        <f t="shared" si="522"/>
        <v>4.8675505653430484E-3</v>
      </c>
      <c r="AW1784" s="59">
        <f t="shared" si="523"/>
        <v>1.004867550565343</v>
      </c>
      <c r="AX1784" s="60">
        <f>PRODUCT(AW$4:AW1784)</f>
        <v>5699.1773227654157</v>
      </c>
    </row>
    <row r="1785" spans="45:50">
      <c r="AS1785" s="55">
        <f t="shared" si="521"/>
        <v>149</v>
      </c>
      <c r="AT1785" s="56">
        <f t="shared" si="524"/>
        <v>1782</v>
      </c>
      <c r="AU1785" s="57">
        <f t="shared" si="526"/>
        <v>1.6739498324454155E-4</v>
      </c>
      <c r="AV1785" s="58">
        <f t="shared" si="522"/>
        <v>4.8675505653430484E-3</v>
      </c>
      <c r="AW1785" s="59">
        <f t="shared" si="523"/>
        <v>1.004867550565343</v>
      </c>
      <c r="AX1785" s="60">
        <f>PRODUCT(AW$4:AW1785)</f>
        <v>5726.9183565648327</v>
      </c>
    </row>
    <row r="1786" spans="45:50">
      <c r="AS1786" s="55">
        <f t="shared" si="521"/>
        <v>149</v>
      </c>
      <c r="AT1786" s="56">
        <f t="shared" si="524"/>
        <v>1783</v>
      </c>
      <c r="AU1786" s="57">
        <f t="shared" si="526"/>
        <v>1.66580179699214E-4</v>
      </c>
      <c r="AV1786" s="58">
        <f t="shared" si="522"/>
        <v>4.8675505653430484E-3</v>
      </c>
      <c r="AW1786" s="59">
        <f t="shared" si="523"/>
        <v>1.004867550565343</v>
      </c>
      <c r="AX1786" s="60">
        <f>PRODUCT(AW$4:AW1786)</f>
        <v>5754.7944212490038</v>
      </c>
    </row>
    <row r="1787" spans="45:50">
      <c r="AS1787" s="55">
        <f t="shared" si="521"/>
        <v>149</v>
      </c>
      <c r="AT1787" s="56">
        <f t="shared" si="524"/>
        <v>1784</v>
      </c>
      <c r="AU1787" s="57">
        <f t="shared" si="526"/>
        <v>1.6576934225134415E-4</v>
      </c>
      <c r="AV1787" s="58">
        <f t="shared" si="522"/>
        <v>4.8675505653430484E-3</v>
      </c>
      <c r="AW1787" s="59">
        <f t="shared" si="523"/>
        <v>1.004867550565343</v>
      </c>
      <c r="AX1787" s="60">
        <f>PRODUCT(AW$4:AW1787)</f>
        <v>5782.8061740875874</v>
      </c>
    </row>
    <row r="1788" spans="45:50">
      <c r="AS1788" s="55">
        <f t="shared" si="521"/>
        <v>149</v>
      </c>
      <c r="AT1788" s="56">
        <f t="shared" si="524"/>
        <v>1785</v>
      </c>
      <c r="AU1788" s="57">
        <f t="shared" si="526"/>
        <v>1.6496245159575208E-4</v>
      </c>
      <c r="AV1788" s="58">
        <f t="shared" si="522"/>
        <v>4.8675505653430484E-3</v>
      </c>
      <c r="AW1788" s="59">
        <f t="shared" si="523"/>
        <v>1.004867550565343</v>
      </c>
      <c r="AX1788" s="60">
        <f>PRODUCT(AW$4:AW1788)</f>
        <v>5810.9542755495368</v>
      </c>
    </row>
    <row r="1789" spans="45:50">
      <c r="AS1789" s="55">
        <f t="shared" si="521"/>
        <v>149</v>
      </c>
      <c r="AT1789" s="56">
        <f t="shared" si="524"/>
        <v>1786</v>
      </c>
      <c r="AU1789" s="57">
        <f t="shared" si="526"/>
        <v>1.6415948852122679E-4</v>
      </c>
      <c r="AV1789" s="58">
        <f t="shared" si="522"/>
        <v>4.8675505653430484E-3</v>
      </c>
      <c r="AW1789" s="59">
        <f t="shared" si="523"/>
        <v>1.004867550565343</v>
      </c>
      <c r="AX1789" s="60">
        <f>PRODUCT(AW$4:AW1789)</f>
        <v>5839.2393893186709</v>
      </c>
    </row>
    <row r="1790" spans="45:50">
      <c r="AS1790" s="55">
        <f t="shared" si="521"/>
        <v>149</v>
      </c>
      <c r="AT1790" s="56">
        <f t="shared" si="524"/>
        <v>1787</v>
      </c>
      <c r="AU1790" s="57">
        <f t="shared" si="526"/>
        <v>1.6336043391006888E-4</v>
      </c>
      <c r="AV1790" s="58">
        <f t="shared" si="522"/>
        <v>4.8675505653430484E-3</v>
      </c>
      <c r="AW1790" s="59">
        <f t="shared" si="523"/>
        <v>1.004867550565343</v>
      </c>
      <c r="AX1790" s="60">
        <f>PRODUCT(AW$4:AW1790)</f>
        <v>5867.6621823093228</v>
      </c>
    </row>
    <row r="1791" spans="45:50">
      <c r="AS1791" s="55">
        <f t="shared" si="521"/>
        <v>149</v>
      </c>
      <c r="AT1791" s="56">
        <f t="shared" si="524"/>
        <v>1788</v>
      </c>
      <c r="AU1791" s="57">
        <f t="shared" si="526"/>
        <v>1.6256526873763524E-4</v>
      </c>
      <c r="AV1791" s="58">
        <f t="shared" si="522"/>
        <v>4.8675505653430484E-3</v>
      </c>
      <c r="AW1791" s="59">
        <f t="shared" si="523"/>
        <v>1.004867550565343</v>
      </c>
      <c r="AX1791" s="60">
        <f>PRODUCT(AW$4:AW1791)</f>
        <v>5896.2233246820642</v>
      </c>
    </row>
    <row r="1792" spans="45:50">
      <c r="AS1792" s="55">
        <f t="shared" si="521"/>
        <v>150</v>
      </c>
      <c r="AT1792" s="56">
        <f t="shared" si="524"/>
        <v>1789</v>
      </c>
      <c r="AU1792" s="57">
        <f t="shared" si="526"/>
        <v>1.6177397407188623E-4</v>
      </c>
      <c r="AV1792" s="58">
        <f t="shared" si="522"/>
        <v>4.8675505653430484E-3</v>
      </c>
      <c r="AW1792" s="59">
        <f t="shared" si="523"/>
        <v>1.004867550565343</v>
      </c>
      <c r="AX1792" s="60">
        <f>PRODUCT(AW$4:AW1792)</f>
        <v>5924.9234898595096</v>
      </c>
    </row>
    <row r="1793" spans="9:50">
      <c r="AS1793" s="55">
        <f t="shared" si="521"/>
        <v>150</v>
      </c>
      <c r="AT1793" s="56">
        <f t="shared" si="524"/>
        <v>1790</v>
      </c>
      <c r="AU1793" s="57">
        <f t="shared" si="526"/>
        <v>1.6098653107293482E-4</v>
      </c>
      <c r="AV1793" s="58">
        <f t="shared" si="522"/>
        <v>4.8675505653430484E-3</v>
      </c>
      <c r="AW1793" s="59">
        <f t="shared" si="523"/>
        <v>1.004867550565343</v>
      </c>
      <c r="AX1793" s="60">
        <f>PRODUCT(AW$4:AW1793)</f>
        <v>5953.7633545421895</v>
      </c>
    </row>
    <row r="1794" spans="9:50">
      <c r="AS1794" s="55">
        <f t="shared" si="521"/>
        <v>150</v>
      </c>
      <c r="AT1794" s="56">
        <f t="shared" si="524"/>
        <v>1791</v>
      </c>
      <c r="AU1794" s="57">
        <f t="shared" si="526"/>
        <v>1.6020292099259815E-4</v>
      </c>
      <c r="AV1794" s="58">
        <f t="shared" si="522"/>
        <v>4.8675505653430484E-3</v>
      </c>
      <c r="AW1794" s="59">
        <f t="shared" si="523"/>
        <v>1.004867550565343</v>
      </c>
      <c r="AX1794" s="60">
        <f>PRODUCT(AW$4:AW1794)</f>
        <v>5982.7435987245099</v>
      </c>
    </row>
    <row r="1795" spans="9:50">
      <c r="AS1795" s="55">
        <f t="shared" si="521"/>
        <v>150</v>
      </c>
      <c r="AT1795" s="56">
        <f t="shared" si="524"/>
        <v>1792</v>
      </c>
      <c r="AU1795" s="57">
        <f t="shared" si="526"/>
        <v>1.5942312517395102E-4</v>
      </c>
      <c r="AV1795" s="58">
        <f t="shared" si="522"/>
        <v>4.8675505653430484E-3</v>
      </c>
      <c r="AW1795" s="59">
        <f t="shared" si="523"/>
        <v>1.004867550565343</v>
      </c>
      <c r="AX1795" s="60">
        <f>PRODUCT(AW$4:AW1795)</f>
        <v>6011.8649057107841</v>
      </c>
    </row>
    <row r="1796" spans="9:50">
      <c r="AS1796" s="55">
        <f t="shared" si="521"/>
        <v>150</v>
      </c>
      <c r="AT1796" s="56">
        <f t="shared" si="524"/>
        <v>1793</v>
      </c>
      <c r="AU1796" s="57">
        <f t="shared" si="526"/>
        <v>1.586471250508818E-4</v>
      </c>
      <c r="AV1796" s="58">
        <f t="shared" si="522"/>
        <v>4.8675505653430484E-3</v>
      </c>
      <c r="AW1796" s="59">
        <f t="shared" si="523"/>
        <v>1.004867550565343</v>
      </c>
      <c r="AX1796" s="60">
        <f>PRODUCT(AW$4:AW1796)</f>
        <v>6041.1279621313424</v>
      </c>
    </row>
    <row r="1797" spans="9:50">
      <c r="AS1797" s="55">
        <f t="shared" ref="AS1797:AS1803" si="527">ROUNDDOWN((AT1797-1)/12,0)+1</f>
        <v>150</v>
      </c>
      <c r="AT1797" s="56">
        <f t="shared" si="524"/>
        <v>1794</v>
      </c>
      <c r="AU1797" s="57">
        <f t="shared" si="526"/>
        <v>1.5787490214765033E-4</v>
      </c>
      <c r="AV1797" s="58">
        <f t="shared" ref="AV1797:AV1803" si="528">((1+$AV$1)^(1/12))-1</f>
        <v>4.8675505653430484E-3</v>
      </c>
      <c r="AW1797" s="59">
        <f t="shared" ref="AW1797:AW1803" si="529">(1+AV1797)</f>
        <v>1.004867550565343</v>
      </c>
      <c r="AX1797" s="60">
        <f>PRODUCT(AW$4:AW1797)</f>
        <v>6070.5334579587243</v>
      </c>
    </row>
    <row r="1798" spans="9:50">
      <c r="AS1798" s="55">
        <f t="shared" si="527"/>
        <v>150</v>
      </c>
      <c r="AT1798" s="56">
        <f t="shared" ref="AT1798:AT1803" si="530">AT1797+1</f>
        <v>1795</v>
      </c>
      <c r="AU1798" s="57">
        <f t="shared" si="526"/>
        <v>1.5710643807844804E-4</v>
      </c>
      <c r="AV1798" s="58">
        <f t="shared" si="528"/>
        <v>4.8675505653430484E-3</v>
      </c>
      <c r="AW1798" s="59">
        <f t="shared" si="529"/>
        <v>1.004867550565343</v>
      </c>
      <c r="AX1798" s="60">
        <f>PRODUCT(AW$4:AW1798)</f>
        <v>6100.0820865239448</v>
      </c>
    </row>
    <row r="1799" spans="9:50">
      <c r="AS1799" s="55">
        <f t="shared" si="527"/>
        <v>150</v>
      </c>
      <c r="AT1799" s="56">
        <f t="shared" si="530"/>
        <v>1796</v>
      </c>
      <c r="AU1799" s="57">
        <f t="shared" si="526"/>
        <v>1.5634171454696026E-4</v>
      </c>
      <c r="AV1799" s="58">
        <f t="shared" si="528"/>
        <v>4.8675505653430484E-3</v>
      </c>
      <c r="AW1799" s="59">
        <f t="shared" si="529"/>
        <v>1.004867550565343</v>
      </c>
      <c r="AX1799" s="60">
        <f>PRODUCT(AW$4:AW1799)</f>
        <v>6129.7745445328437</v>
      </c>
    </row>
    <row r="1800" spans="9:50">
      <c r="AS1800" s="55">
        <f t="shared" si="527"/>
        <v>150</v>
      </c>
      <c r="AT1800" s="56">
        <f t="shared" si="530"/>
        <v>1797</v>
      </c>
      <c r="AU1800" s="57">
        <f t="shared" si="526"/>
        <v>1.555807133459305E-4</v>
      </c>
      <c r="AV1800" s="58">
        <f t="shared" si="528"/>
        <v>4.8675505653430484E-3</v>
      </c>
      <c r="AW1800" s="59">
        <f t="shared" si="529"/>
        <v>1.004867550565343</v>
      </c>
      <c r="AX1800" s="60">
        <f>PRODUCT(AW$4:AW1800)</f>
        <v>6159.6115320825102</v>
      </c>
    </row>
    <row r="1801" spans="9:50">
      <c r="AS1801" s="55">
        <f t="shared" si="527"/>
        <v>150</v>
      </c>
      <c r="AT1801" s="56">
        <f t="shared" si="530"/>
        <v>1798</v>
      </c>
      <c r="AU1801" s="57">
        <f t="shared" si="526"/>
        <v>1.5482341635672704E-4</v>
      </c>
      <c r="AV1801" s="58">
        <f t="shared" si="528"/>
        <v>4.8675505653430484E-3</v>
      </c>
      <c r="AW1801" s="59">
        <f t="shared" si="529"/>
        <v>1.004867550565343</v>
      </c>
      <c r="AX1801" s="60">
        <f>PRODUCT(AW$4:AW1801)</f>
        <v>6189.5937526777916</v>
      </c>
    </row>
    <row r="1802" spans="9:50">
      <c r="AS1802" s="55">
        <f t="shared" si="527"/>
        <v>150</v>
      </c>
      <c r="AT1802" s="56">
        <f t="shared" si="530"/>
        <v>1799</v>
      </c>
      <c r="AU1802" s="57">
        <f t="shared" si="526"/>
        <v>1.5406980554891152E-4</v>
      </c>
      <c r="AV1802" s="58">
        <f t="shared" si="528"/>
        <v>4.8675505653430484E-3</v>
      </c>
      <c r="AW1802" s="59">
        <f t="shared" si="529"/>
        <v>1.004867550565343</v>
      </c>
      <c r="AX1802" s="60">
        <f>PRODUCT(AW$4:AW1802)</f>
        <v>6219.7219132478822</v>
      </c>
    </row>
    <row r="1803" spans="9:50">
      <c r="AS1803" s="61">
        <f t="shared" si="527"/>
        <v>150</v>
      </c>
      <c r="AT1803" s="62">
        <f t="shared" si="530"/>
        <v>1800</v>
      </c>
      <c r="AU1803" s="63">
        <f t="shared" si="526"/>
        <v>1.5331986297980962E-4</v>
      </c>
      <c r="AV1803" s="64">
        <f t="shared" si="528"/>
        <v>4.8675505653430484E-3</v>
      </c>
      <c r="AW1803" s="65">
        <f t="shared" si="529"/>
        <v>1.004867550565343</v>
      </c>
      <c r="AX1803" s="66">
        <f>PRODUCT(AW$4:AW1803)</f>
        <v>6249.9967241629884</v>
      </c>
    </row>
    <row r="1804" spans="9:50">
      <c r="I1804" s="31"/>
      <c r="J1804" s="31"/>
      <c r="K1804" s="163"/>
      <c r="L1804" s="163"/>
      <c r="M1804" s="163"/>
      <c r="N1804" s="163"/>
      <c r="O1804" s="34"/>
      <c r="P1804" s="31"/>
      <c r="AC1804" s="34"/>
      <c r="AT1804" s="7"/>
      <c r="AU1804" s="6"/>
      <c r="AV1804" s="8"/>
    </row>
    <row r="1805" spans="9:50">
      <c r="I1805" s="31"/>
      <c r="J1805" s="31"/>
      <c r="K1805" s="163"/>
      <c r="L1805" s="163"/>
      <c r="M1805" s="163"/>
      <c r="N1805" s="163"/>
      <c r="O1805" s="34"/>
      <c r="P1805" s="31"/>
      <c r="AC1805" s="34"/>
      <c r="AT1805" s="7"/>
      <c r="AU1805" s="6"/>
      <c r="AV1805" s="8"/>
    </row>
    <row r="1806" spans="9:50">
      <c r="I1806" s="31"/>
      <c r="J1806" s="31"/>
      <c r="K1806" s="163"/>
      <c r="L1806" s="163"/>
      <c r="M1806" s="163"/>
      <c r="N1806" s="163"/>
      <c r="O1806" s="34"/>
      <c r="P1806" s="31"/>
      <c r="AC1806" s="34"/>
      <c r="AT1806" s="7"/>
      <c r="AU1806" s="6"/>
      <c r="AV1806" s="8"/>
    </row>
    <row r="1807" spans="9:50">
      <c r="I1807" s="31"/>
      <c r="J1807" s="31"/>
      <c r="K1807" s="163"/>
      <c r="L1807" s="163"/>
      <c r="M1807" s="163"/>
      <c r="N1807" s="163"/>
      <c r="O1807" s="34"/>
      <c r="P1807" s="31"/>
      <c r="AC1807" s="34"/>
      <c r="AT1807" s="7"/>
      <c r="AU1807" s="6"/>
      <c r="AV1807" s="8"/>
    </row>
    <row r="1808" spans="9:50">
      <c r="I1808" s="31"/>
      <c r="J1808" s="31"/>
      <c r="K1808" s="163"/>
      <c r="L1808" s="163"/>
      <c r="M1808" s="163"/>
      <c r="N1808" s="163"/>
      <c r="O1808" s="34"/>
      <c r="P1808" s="31"/>
      <c r="AC1808" s="34"/>
      <c r="AT1808" s="7"/>
      <c r="AU1808" s="6"/>
      <c r="AV1808" s="8"/>
    </row>
    <row r="1809" spans="9:48">
      <c r="I1809" s="31"/>
      <c r="J1809" s="31"/>
      <c r="K1809" s="163"/>
      <c r="L1809" s="163"/>
      <c r="M1809" s="163"/>
      <c r="N1809" s="163"/>
      <c r="O1809" s="34"/>
      <c r="P1809" s="31"/>
      <c r="AC1809" s="34"/>
      <c r="AT1809" s="7"/>
      <c r="AU1809" s="6"/>
      <c r="AV1809" s="8"/>
    </row>
    <row r="1810" spans="9:48">
      <c r="I1810" s="31"/>
      <c r="J1810" s="31"/>
      <c r="K1810" s="163"/>
      <c r="L1810" s="163"/>
      <c r="M1810" s="163"/>
      <c r="N1810" s="163"/>
      <c r="O1810" s="34"/>
      <c r="P1810" s="31"/>
      <c r="AC1810" s="34"/>
      <c r="AT1810" s="7"/>
      <c r="AU1810" s="6"/>
      <c r="AV1810" s="8"/>
    </row>
    <row r="1811" spans="9:48">
      <c r="I1811" s="31"/>
      <c r="J1811" s="31"/>
      <c r="K1811" s="163"/>
      <c r="L1811" s="163"/>
      <c r="M1811" s="163"/>
      <c r="N1811" s="163"/>
      <c r="O1811" s="34"/>
      <c r="P1811" s="31"/>
      <c r="AC1811" s="34"/>
      <c r="AT1811" s="7"/>
      <c r="AU1811" s="6"/>
      <c r="AV1811" s="8"/>
    </row>
    <row r="1812" spans="9:48">
      <c r="I1812" s="31"/>
      <c r="J1812" s="31"/>
      <c r="K1812" s="163"/>
      <c r="L1812" s="163"/>
      <c r="M1812" s="163"/>
      <c r="N1812" s="163"/>
      <c r="O1812" s="34"/>
      <c r="P1812" s="31"/>
      <c r="AC1812" s="34"/>
      <c r="AT1812" s="7"/>
      <c r="AU1812" s="6"/>
      <c r="AV1812" s="8"/>
    </row>
    <row r="1813" spans="9:48">
      <c r="I1813" s="31"/>
      <c r="J1813" s="31"/>
      <c r="K1813" s="163"/>
      <c r="L1813" s="163"/>
      <c r="M1813" s="163"/>
      <c r="N1813" s="163"/>
      <c r="O1813" s="34"/>
      <c r="P1813" s="31"/>
      <c r="AC1813" s="34"/>
      <c r="AT1813" s="7"/>
      <c r="AU1813" s="6"/>
      <c r="AV1813" s="8"/>
    </row>
    <row r="1814" spans="9:48">
      <c r="I1814" s="31"/>
      <c r="J1814" s="31"/>
      <c r="K1814" s="163"/>
      <c r="L1814" s="163"/>
      <c r="M1814" s="163"/>
      <c r="N1814" s="163"/>
      <c r="O1814" s="34"/>
      <c r="P1814" s="31"/>
      <c r="AC1814" s="34"/>
      <c r="AT1814" s="7"/>
      <c r="AU1814" s="6"/>
      <c r="AV1814" s="8"/>
    </row>
    <row r="1815" spans="9:48">
      <c r="I1815" s="31"/>
      <c r="J1815" s="31"/>
      <c r="K1815" s="163"/>
      <c r="L1815" s="163"/>
      <c r="M1815" s="163"/>
      <c r="N1815" s="163"/>
      <c r="O1815" s="34"/>
      <c r="P1815" s="31"/>
      <c r="AC1815" s="34"/>
      <c r="AT1815" s="7"/>
      <c r="AU1815" s="6"/>
      <c r="AV1815" s="8"/>
    </row>
    <row r="1816" spans="9:48">
      <c r="I1816" s="31"/>
      <c r="J1816" s="31"/>
      <c r="K1816" s="163"/>
      <c r="L1816" s="163"/>
      <c r="M1816" s="163"/>
      <c r="N1816" s="163"/>
      <c r="O1816" s="34"/>
      <c r="P1816" s="31"/>
      <c r="AC1816" s="34"/>
      <c r="AT1816" s="7"/>
      <c r="AU1816" s="6"/>
      <c r="AV1816" s="8"/>
    </row>
    <row r="1817" spans="9:48">
      <c r="I1817" s="31"/>
      <c r="J1817" s="31"/>
      <c r="K1817" s="163"/>
      <c r="L1817" s="163"/>
      <c r="M1817" s="163"/>
      <c r="N1817" s="163"/>
      <c r="O1817" s="34"/>
      <c r="P1817" s="31"/>
      <c r="AC1817" s="34"/>
      <c r="AT1817" s="7"/>
      <c r="AU1817" s="6"/>
      <c r="AV1817" s="8"/>
    </row>
    <row r="1818" spans="9:48">
      <c r="I1818" s="31"/>
      <c r="J1818" s="31"/>
      <c r="K1818" s="163"/>
      <c r="L1818" s="163"/>
      <c r="M1818" s="163"/>
      <c r="N1818" s="163"/>
      <c r="O1818" s="34"/>
      <c r="P1818" s="31"/>
      <c r="AC1818" s="34"/>
      <c r="AT1818" s="7"/>
      <c r="AU1818" s="6"/>
      <c r="AV1818" s="8"/>
    </row>
    <row r="1819" spans="9:48">
      <c r="I1819" s="31"/>
      <c r="J1819" s="31"/>
      <c r="K1819" s="163"/>
      <c r="L1819" s="163"/>
      <c r="M1819" s="163"/>
      <c r="N1819" s="163"/>
      <c r="O1819" s="34"/>
      <c r="P1819" s="31"/>
      <c r="AC1819" s="34"/>
      <c r="AT1819" s="7"/>
      <c r="AU1819" s="6"/>
      <c r="AV1819" s="8"/>
    </row>
    <row r="1820" spans="9:48">
      <c r="I1820" s="31"/>
      <c r="J1820" s="31"/>
      <c r="K1820" s="163"/>
      <c r="L1820" s="163"/>
      <c r="M1820" s="163"/>
      <c r="N1820" s="163"/>
      <c r="O1820" s="34"/>
      <c r="P1820" s="31"/>
      <c r="AC1820" s="34"/>
      <c r="AT1820" s="7"/>
      <c r="AU1820" s="6"/>
      <c r="AV1820" s="8"/>
    </row>
    <row r="1821" spans="9:48">
      <c r="I1821" s="31"/>
      <c r="J1821" s="31"/>
      <c r="K1821" s="163"/>
      <c r="L1821" s="163"/>
      <c r="M1821" s="163"/>
      <c r="N1821" s="163"/>
      <c r="O1821" s="34"/>
      <c r="P1821" s="31"/>
      <c r="AC1821" s="34"/>
      <c r="AT1821" s="7"/>
      <c r="AU1821" s="6"/>
      <c r="AV1821" s="8"/>
    </row>
    <row r="1822" spans="9:48">
      <c r="I1822" s="31"/>
      <c r="J1822" s="31"/>
      <c r="K1822" s="163"/>
      <c r="L1822" s="163"/>
      <c r="M1822" s="163"/>
      <c r="N1822" s="163"/>
      <c r="O1822" s="34"/>
      <c r="P1822" s="31"/>
      <c r="AC1822" s="34"/>
      <c r="AT1822" s="7"/>
      <c r="AU1822" s="6"/>
      <c r="AV1822" s="8"/>
    </row>
    <row r="1823" spans="9:48">
      <c r="I1823" s="31"/>
      <c r="J1823" s="31"/>
      <c r="K1823" s="163"/>
      <c r="L1823" s="163"/>
      <c r="M1823" s="163"/>
      <c r="N1823" s="163"/>
      <c r="O1823" s="34"/>
      <c r="P1823" s="31"/>
      <c r="AC1823" s="34"/>
      <c r="AT1823" s="7"/>
      <c r="AU1823" s="6"/>
      <c r="AV1823" s="8"/>
    </row>
    <row r="1824" spans="9:48">
      <c r="I1824" s="31"/>
      <c r="J1824" s="31"/>
      <c r="K1824" s="163"/>
      <c r="L1824" s="163"/>
      <c r="M1824" s="163"/>
      <c r="N1824" s="163"/>
      <c r="O1824" s="34"/>
      <c r="P1824" s="31"/>
      <c r="AC1824" s="34"/>
      <c r="AT1824" s="7"/>
      <c r="AU1824" s="6"/>
      <c r="AV1824" s="8"/>
    </row>
    <row r="1825" spans="9:48">
      <c r="I1825" s="31"/>
      <c r="J1825" s="31"/>
      <c r="K1825" s="163"/>
      <c r="L1825" s="163"/>
      <c r="M1825" s="163"/>
      <c r="N1825" s="163"/>
      <c r="O1825" s="34"/>
      <c r="P1825" s="31"/>
      <c r="AC1825" s="34"/>
      <c r="AT1825" s="7"/>
      <c r="AU1825" s="6"/>
      <c r="AV1825" s="8"/>
    </row>
    <row r="1826" spans="9:48">
      <c r="I1826" s="31"/>
      <c r="J1826" s="31"/>
      <c r="K1826" s="163"/>
      <c r="L1826" s="163"/>
      <c r="M1826" s="163"/>
      <c r="N1826" s="163"/>
      <c r="O1826" s="34"/>
      <c r="P1826" s="31"/>
      <c r="AC1826" s="34"/>
      <c r="AT1826" s="7"/>
      <c r="AU1826" s="6"/>
      <c r="AV1826" s="8"/>
    </row>
    <row r="1827" spans="9:48">
      <c r="I1827" s="31"/>
      <c r="J1827" s="31"/>
      <c r="K1827" s="163"/>
      <c r="L1827" s="163"/>
      <c r="M1827" s="163"/>
      <c r="N1827" s="163"/>
      <c r="O1827" s="34"/>
      <c r="P1827" s="31"/>
      <c r="AC1827" s="34"/>
      <c r="AT1827" s="7"/>
      <c r="AU1827" s="6"/>
      <c r="AV1827" s="8"/>
    </row>
    <row r="1828" spans="9:48">
      <c r="I1828" s="31"/>
      <c r="J1828" s="31"/>
      <c r="K1828" s="163"/>
      <c r="L1828" s="163"/>
      <c r="M1828" s="163"/>
      <c r="N1828" s="163"/>
      <c r="O1828" s="34"/>
      <c r="P1828" s="31"/>
      <c r="AC1828" s="34"/>
      <c r="AT1828" s="7"/>
      <c r="AU1828" s="6"/>
      <c r="AV1828" s="8"/>
    </row>
    <row r="1829" spans="9:48">
      <c r="I1829" s="31"/>
      <c r="J1829" s="31"/>
      <c r="K1829" s="163"/>
      <c r="L1829" s="163"/>
      <c r="M1829" s="163"/>
      <c r="N1829" s="163"/>
      <c r="O1829" s="34"/>
      <c r="P1829" s="31"/>
      <c r="AC1829" s="34"/>
      <c r="AT1829" s="7"/>
      <c r="AU1829" s="6"/>
      <c r="AV1829" s="8"/>
    </row>
    <row r="1830" spans="9:48">
      <c r="I1830" s="31"/>
      <c r="J1830" s="31"/>
      <c r="K1830" s="163"/>
      <c r="L1830" s="163"/>
      <c r="M1830" s="163"/>
      <c r="N1830" s="163"/>
      <c r="O1830" s="34"/>
      <c r="P1830" s="31"/>
      <c r="AC1830" s="34"/>
      <c r="AT1830" s="7"/>
      <c r="AU1830" s="6"/>
      <c r="AV1830" s="8"/>
    </row>
    <row r="1831" spans="9:48">
      <c r="I1831" s="31"/>
      <c r="J1831" s="31"/>
      <c r="K1831" s="163"/>
      <c r="L1831" s="163"/>
      <c r="M1831" s="163"/>
      <c r="N1831" s="163"/>
      <c r="O1831" s="34"/>
      <c r="P1831" s="31"/>
      <c r="AC1831" s="34"/>
      <c r="AT1831" s="7"/>
      <c r="AU1831" s="6"/>
      <c r="AV1831" s="8"/>
    </row>
    <row r="1832" spans="9:48">
      <c r="I1832" s="31"/>
      <c r="J1832" s="31"/>
      <c r="K1832" s="163"/>
      <c r="L1832" s="163"/>
      <c r="M1832" s="163"/>
      <c r="N1832" s="163"/>
      <c r="O1832" s="34"/>
      <c r="P1832" s="31"/>
      <c r="AC1832" s="34"/>
      <c r="AT1832" s="7"/>
      <c r="AU1832" s="6"/>
      <c r="AV1832" s="8"/>
    </row>
    <row r="1833" spans="9:48">
      <c r="I1833" s="31"/>
      <c r="J1833" s="31"/>
      <c r="K1833" s="163"/>
      <c r="L1833" s="163"/>
      <c r="M1833" s="163"/>
      <c r="N1833" s="163"/>
      <c r="O1833" s="34"/>
      <c r="P1833" s="31"/>
      <c r="AC1833" s="34"/>
      <c r="AT1833" s="7"/>
      <c r="AU1833" s="6"/>
      <c r="AV1833" s="8"/>
    </row>
    <row r="1834" spans="9:48">
      <c r="I1834" s="31"/>
      <c r="J1834" s="31"/>
      <c r="K1834" s="163"/>
      <c r="L1834" s="163"/>
      <c r="M1834" s="163"/>
      <c r="N1834" s="163"/>
      <c r="O1834" s="34"/>
      <c r="P1834" s="31"/>
      <c r="AC1834" s="34"/>
      <c r="AT1834" s="7"/>
      <c r="AU1834" s="6"/>
      <c r="AV1834" s="8"/>
    </row>
    <row r="1835" spans="9:48">
      <c r="I1835" s="31"/>
      <c r="J1835" s="31"/>
      <c r="K1835" s="163"/>
      <c r="L1835" s="163"/>
      <c r="M1835" s="163"/>
      <c r="N1835" s="163"/>
      <c r="O1835" s="34"/>
      <c r="P1835" s="31"/>
      <c r="AC1835" s="34"/>
      <c r="AT1835" s="7"/>
      <c r="AU1835" s="6"/>
      <c r="AV1835" s="8"/>
    </row>
    <row r="1836" spans="9:48">
      <c r="I1836" s="31"/>
      <c r="J1836" s="31"/>
      <c r="K1836" s="163"/>
      <c r="L1836" s="163"/>
      <c r="M1836" s="163"/>
      <c r="N1836" s="163"/>
      <c r="O1836" s="34"/>
      <c r="P1836" s="31"/>
      <c r="AC1836" s="34"/>
      <c r="AT1836" s="7"/>
      <c r="AU1836" s="6"/>
      <c r="AV1836" s="8"/>
    </row>
    <row r="1837" spans="9:48">
      <c r="I1837" s="31"/>
      <c r="J1837" s="31"/>
      <c r="K1837" s="163"/>
      <c r="L1837" s="163"/>
      <c r="M1837" s="163"/>
      <c r="N1837" s="163"/>
      <c r="O1837" s="34"/>
      <c r="P1837" s="31"/>
      <c r="AC1837" s="34"/>
      <c r="AT1837" s="7"/>
      <c r="AU1837" s="6"/>
      <c r="AV1837" s="8"/>
    </row>
    <row r="1838" spans="9:48">
      <c r="I1838" s="31"/>
      <c r="J1838" s="31"/>
      <c r="K1838" s="163"/>
      <c r="L1838" s="163"/>
      <c r="M1838" s="163"/>
      <c r="N1838" s="163"/>
      <c r="O1838" s="34"/>
      <c r="P1838" s="31"/>
      <c r="AC1838" s="34"/>
      <c r="AT1838" s="7"/>
      <c r="AU1838" s="6"/>
      <c r="AV1838" s="8"/>
    </row>
    <row r="1839" spans="9:48">
      <c r="I1839" s="31"/>
      <c r="J1839" s="31"/>
      <c r="K1839" s="163"/>
      <c r="L1839" s="163"/>
      <c r="M1839" s="163"/>
      <c r="N1839" s="163"/>
      <c r="O1839" s="34"/>
      <c r="P1839" s="31"/>
      <c r="AC1839" s="34"/>
      <c r="AT1839" s="7"/>
      <c r="AU1839" s="6"/>
      <c r="AV1839" s="8"/>
    </row>
    <row r="1840" spans="9:48">
      <c r="I1840" s="31"/>
      <c r="J1840" s="31"/>
      <c r="K1840" s="163"/>
      <c r="L1840" s="163"/>
      <c r="M1840" s="163"/>
      <c r="N1840" s="163"/>
      <c r="O1840" s="34"/>
      <c r="P1840" s="31"/>
      <c r="AC1840" s="34"/>
      <c r="AT1840" s="7"/>
      <c r="AU1840" s="6"/>
      <c r="AV1840" s="8"/>
    </row>
    <row r="1841" spans="9:48">
      <c r="I1841" s="31"/>
      <c r="J1841" s="31"/>
      <c r="K1841" s="163"/>
      <c r="L1841" s="163"/>
      <c r="M1841" s="163"/>
      <c r="N1841" s="163"/>
      <c r="O1841" s="34"/>
      <c r="P1841" s="31"/>
      <c r="AC1841" s="34"/>
      <c r="AT1841" s="7"/>
      <c r="AU1841" s="6"/>
      <c r="AV1841" s="8"/>
    </row>
    <row r="1842" spans="9:48">
      <c r="I1842" s="31"/>
      <c r="J1842" s="31"/>
      <c r="K1842" s="163"/>
      <c r="L1842" s="163"/>
      <c r="M1842" s="163"/>
      <c r="N1842" s="163"/>
      <c r="O1842" s="34"/>
      <c r="P1842" s="31"/>
      <c r="AC1842" s="34"/>
      <c r="AT1842" s="7"/>
      <c r="AU1842" s="6"/>
      <c r="AV1842" s="8"/>
    </row>
    <row r="1843" spans="9:48">
      <c r="I1843" s="31"/>
      <c r="J1843" s="31"/>
      <c r="K1843" s="163"/>
      <c r="L1843" s="163"/>
      <c r="M1843" s="163"/>
      <c r="N1843" s="163"/>
      <c r="O1843" s="34"/>
      <c r="P1843" s="31"/>
      <c r="AC1843" s="34"/>
      <c r="AT1843" s="7"/>
      <c r="AU1843" s="6"/>
      <c r="AV1843" s="8"/>
    </row>
    <row r="1844" spans="9:48">
      <c r="I1844" s="31"/>
      <c r="J1844" s="31"/>
      <c r="K1844" s="163"/>
      <c r="L1844" s="163"/>
      <c r="M1844" s="163"/>
      <c r="N1844" s="163"/>
      <c r="O1844" s="34"/>
      <c r="P1844" s="31"/>
      <c r="AC1844" s="34"/>
      <c r="AT1844" s="7"/>
      <c r="AU1844" s="6"/>
      <c r="AV1844" s="8"/>
    </row>
    <row r="1845" spans="9:48">
      <c r="I1845" s="31"/>
      <c r="J1845" s="31"/>
      <c r="K1845" s="163"/>
      <c r="L1845" s="163"/>
      <c r="M1845" s="163"/>
      <c r="N1845" s="163"/>
      <c r="O1845" s="34"/>
      <c r="P1845" s="31"/>
      <c r="AC1845" s="34"/>
      <c r="AT1845" s="7"/>
      <c r="AU1845" s="6"/>
      <c r="AV1845" s="8"/>
    </row>
    <row r="1846" spans="9:48">
      <c r="I1846" s="31"/>
      <c r="J1846" s="31"/>
      <c r="K1846" s="163"/>
      <c r="L1846" s="163"/>
      <c r="M1846" s="163"/>
      <c r="N1846" s="163"/>
      <c r="O1846" s="34"/>
      <c r="P1846" s="31"/>
      <c r="AC1846" s="34"/>
      <c r="AT1846" s="7"/>
      <c r="AU1846" s="6"/>
      <c r="AV1846" s="8"/>
    </row>
    <row r="1847" spans="9:48">
      <c r="I1847" s="31"/>
      <c r="J1847" s="31"/>
      <c r="K1847" s="163"/>
      <c r="L1847" s="163"/>
      <c r="M1847" s="163"/>
      <c r="N1847" s="163"/>
      <c r="O1847" s="34"/>
      <c r="P1847" s="31"/>
      <c r="AC1847" s="34"/>
      <c r="AT1847" s="7"/>
      <c r="AU1847" s="6"/>
      <c r="AV1847" s="8"/>
    </row>
    <row r="1848" spans="9:48">
      <c r="I1848" s="31"/>
      <c r="J1848" s="31"/>
      <c r="K1848" s="163"/>
      <c r="L1848" s="163"/>
      <c r="M1848" s="163"/>
      <c r="N1848" s="163"/>
      <c r="O1848" s="34"/>
      <c r="P1848" s="31"/>
      <c r="AC1848" s="34"/>
      <c r="AT1848" s="7"/>
      <c r="AU1848" s="6"/>
      <c r="AV1848" s="8"/>
    </row>
    <row r="1849" spans="9:48">
      <c r="I1849" s="31"/>
      <c r="J1849" s="31"/>
      <c r="K1849" s="163"/>
      <c r="L1849" s="163"/>
      <c r="M1849" s="163"/>
      <c r="N1849" s="163"/>
      <c r="O1849" s="34"/>
      <c r="P1849" s="31"/>
      <c r="AC1849" s="34"/>
      <c r="AT1849" s="7"/>
      <c r="AU1849" s="6"/>
      <c r="AV1849" s="8"/>
    </row>
    <row r="1850" spans="9:48">
      <c r="I1850" s="31"/>
      <c r="J1850" s="31"/>
      <c r="K1850" s="163"/>
      <c r="L1850" s="163"/>
      <c r="M1850" s="163"/>
      <c r="N1850" s="163"/>
      <c r="O1850" s="34"/>
      <c r="P1850" s="31"/>
      <c r="AC1850" s="34"/>
      <c r="AT1850" s="7"/>
      <c r="AU1850" s="6"/>
      <c r="AV1850" s="8"/>
    </row>
    <row r="1851" spans="9:48">
      <c r="I1851" s="31"/>
      <c r="J1851" s="31"/>
      <c r="K1851" s="163"/>
      <c r="L1851" s="163"/>
      <c r="M1851" s="163"/>
      <c r="N1851" s="163"/>
      <c r="O1851" s="34"/>
      <c r="P1851" s="31"/>
      <c r="AC1851" s="34"/>
      <c r="AT1851" s="7"/>
      <c r="AU1851" s="6"/>
      <c r="AV1851" s="8"/>
    </row>
    <row r="1852" spans="9:48">
      <c r="I1852" s="31"/>
      <c r="J1852" s="31"/>
      <c r="K1852" s="163"/>
      <c r="L1852" s="163"/>
      <c r="M1852" s="163"/>
      <c r="N1852" s="163"/>
      <c r="O1852" s="34"/>
      <c r="P1852" s="31"/>
      <c r="AC1852" s="34"/>
      <c r="AT1852" s="7"/>
      <c r="AU1852" s="6"/>
      <c r="AV1852" s="8"/>
    </row>
    <row r="1853" spans="9:48">
      <c r="I1853" s="31"/>
      <c r="J1853" s="31"/>
      <c r="K1853" s="163"/>
      <c r="L1853" s="163"/>
      <c r="M1853" s="163"/>
      <c r="N1853" s="163"/>
      <c r="O1853" s="34"/>
      <c r="P1853" s="31"/>
      <c r="AC1853" s="34"/>
      <c r="AT1853" s="7"/>
      <c r="AU1853" s="6"/>
      <c r="AV1853" s="8"/>
    </row>
    <row r="1854" spans="9:48">
      <c r="I1854" s="31"/>
      <c r="J1854" s="31"/>
      <c r="K1854" s="163"/>
      <c r="L1854" s="163"/>
      <c r="M1854" s="163"/>
      <c r="N1854" s="163"/>
      <c r="O1854" s="34"/>
      <c r="P1854" s="31"/>
      <c r="AC1854" s="34"/>
      <c r="AT1854" s="7"/>
      <c r="AU1854" s="6"/>
      <c r="AV1854" s="8"/>
    </row>
    <row r="1855" spans="9:48">
      <c r="I1855" s="31"/>
      <c r="J1855" s="31"/>
      <c r="K1855" s="163"/>
      <c r="L1855" s="163"/>
      <c r="M1855" s="163"/>
      <c r="N1855" s="163"/>
      <c r="O1855" s="34"/>
      <c r="P1855" s="31"/>
      <c r="AC1855" s="34"/>
      <c r="AT1855" s="7"/>
      <c r="AU1855" s="6"/>
      <c r="AV1855" s="8"/>
    </row>
    <row r="1856" spans="9:48">
      <c r="I1856" s="31"/>
      <c r="J1856" s="31"/>
      <c r="K1856" s="163"/>
      <c r="L1856" s="163"/>
      <c r="M1856" s="163"/>
      <c r="N1856" s="163"/>
      <c r="O1856" s="34"/>
      <c r="P1856" s="31"/>
      <c r="AC1856" s="34"/>
      <c r="AT1856" s="7"/>
      <c r="AU1856" s="6"/>
      <c r="AV1856" s="8"/>
    </row>
    <row r="1857" spans="9:48">
      <c r="I1857" s="31"/>
      <c r="J1857" s="31"/>
      <c r="K1857" s="163"/>
      <c r="L1857" s="163"/>
      <c r="M1857" s="163"/>
      <c r="N1857" s="163"/>
      <c r="O1857" s="34"/>
      <c r="P1857" s="31"/>
      <c r="AC1857" s="34"/>
      <c r="AT1857" s="7"/>
      <c r="AU1857" s="6"/>
      <c r="AV1857" s="8"/>
    </row>
    <row r="1858" spans="9:48">
      <c r="I1858" s="31"/>
      <c r="J1858" s="31"/>
      <c r="K1858" s="163"/>
      <c r="L1858" s="163"/>
      <c r="M1858" s="163"/>
      <c r="N1858" s="163"/>
      <c r="O1858" s="34"/>
      <c r="P1858" s="31"/>
      <c r="AC1858" s="34"/>
      <c r="AT1858" s="7"/>
      <c r="AU1858" s="6"/>
      <c r="AV1858" s="8"/>
    </row>
    <row r="1859" spans="9:48">
      <c r="I1859" s="31"/>
      <c r="J1859" s="31"/>
      <c r="K1859" s="163"/>
      <c r="L1859" s="163"/>
      <c r="M1859" s="163"/>
      <c r="N1859" s="163"/>
      <c r="O1859" s="34"/>
      <c r="P1859" s="31"/>
      <c r="AC1859" s="34"/>
      <c r="AT1859" s="7"/>
      <c r="AU1859" s="6"/>
      <c r="AV1859" s="8"/>
    </row>
    <row r="1860" spans="9:48">
      <c r="I1860" s="31"/>
      <c r="J1860" s="31"/>
      <c r="K1860" s="163"/>
      <c r="L1860" s="163"/>
      <c r="M1860" s="163"/>
      <c r="N1860" s="163"/>
      <c r="O1860" s="34"/>
      <c r="P1860" s="31"/>
      <c r="AC1860" s="34"/>
    </row>
    <row r="1861" spans="9:48">
      <c r="I1861" s="31"/>
      <c r="J1861" s="31"/>
      <c r="K1861" s="163"/>
      <c r="L1861" s="163"/>
      <c r="M1861" s="163"/>
      <c r="N1861" s="163"/>
      <c r="O1861" s="34"/>
      <c r="P1861" s="31"/>
      <c r="AC1861" s="34"/>
    </row>
    <row r="1862" spans="9:48">
      <c r="I1862" s="31"/>
      <c r="J1862" s="31"/>
      <c r="K1862" s="163"/>
      <c r="L1862" s="163"/>
      <c r="M1862" s="163"/>
      <c r="N1862" s="163"/>
      <c r="O1862" s="34"/>
      <c r="P1862" s="31"/>
      <c r="AC1862" s="34"/>
    </row>
    <row r="1863" spans="9:48">
      <c r="I1863" s="31"/>
      <c r="J1863" s="31"/>
      <c r="K1863" s="163"/>
      <c r="L1863" s="163"/>
      <c r="M1863" s="163"/>
      <c r="N1863" s="163"/>
      <c r="O1863" s="34"/>
      <c r="P1863" s="31"/>
      <c r="AC1863" s="34"/>
    </row>
    <row r="1864" spans="9:48">
      <c r="I1864" s="31"/>
      <c r="J1864" s="31"/>
      <c r="K1864" s="163"/>
      <c r="L1864" s="163"/>
      <c r="M1864" s="163"/>
      <c r="N1864" s="163"/>
      <c r="O1864" s="34"/>
      <c r="P1864" s="31"/>
      <c r="AC1864" s="34"/>
    </row>
    <row r="1865" spans="9:48">
      <c r="I1865" s="31"/>
      <c r="J1865" s="31"/>
      <c r="K1865" s="163"/>
      <c r="L1865" s="163"/>
      <c r="M1865" s="163"/>
      <c r="N1865" s="163"/>
      <c r="O1865" s="34"/>
      <c r="P1865" s="31"/>
      <c r="AC1865" s="34"/>
    </row>
    <row r="1866" spans="9:48">
      <c r="I1866" s="31"/>
      <c r="J1866" s="31"/>
      <c r="K1866" s="163"/>
      <c r="L1866" s="163"/>
      <c r="M1866" s="163"/>
      <c r="N1866" s="163"/>
      <c r="O1866" s="34"/>
      <c r="P1866" s="31"/>
      <c r="AC1866" s="34"/>
    </row>
    <row r="1867" spans="9:48">
      <c r="I1867" s="31"/>
      <c r="J1867" s="31"/>
      <c r="K1867" s="163"/>
      <c r="L1867" s="163"/>
      <c r="M1867" s="163"/>
      <c r="N1867" s="163"/>
      <c r="O1867" s="34"/>
      <c r="P1867" s="31"/>
      <c r="AC1867" s="34"/>
    </row>
    <row r="1868" spans="9:48">
      <c r="I1868" s="31"/>
      <c r="J1868" s="31"/>
      <c r="K1868" s="163"/>
      <c r="L1868" s="163"/>
      <c r="M1868" s="163"/>
      <c r="N1868" s="163"/>
      <c r="O1868" s="34"/>
      <c r="P1868" s="31"/>
      <c r="AC1868" s="34"/>
    </row>
    <row r="1869" spans="9:48">
      <c r="I1869" s="31"/>
      <c r="J1869" s="31"/>
      <c r="K1869" s="163"/>
      <c r="L1869" s="163"/>
      <c r="M1869" s="163"/>
      <c r="N1869" s="163"/>
      <c r="O1869" s="34"/>
      <c r="P1869" s="31"/>
      <c r="AC1869" s="34"/>
    </row>
    <row r="1870" spans="9:48">
      <c r="I1870" s="31"/>
      <c r="J1870" s="31"/>
      <c r="K1870" s="163"/>
      <c r="L1870" s="163"/>
      <c r="M1870" s="163"/>
      <c r="N1870" s="163"/>
      <c r="O1870" s="34"/>
      <c r="P1870" s="31"/>
      <c r="AC1870" s="34"/>
    </row>
    <row r="1871" spans="9:48">
      <c r="I1871" s="31"/>
      <c r="J1871" s="31"/>
      <c r="K1871" s="163"/>
      <c r="L1871" s="163"/>
      <c r="M1871" s="163"/>
      <c r="N1871" s="163"/>
      <c r="O1871" s="34"/>
      <c r="P1871" s="31"/>
      <c r="AC1871" s="34"/>
    </row>
    <row r="1872" spans="9:48">
      <c r="I1872" s="31"/>
      <c r="J1872" s="31"/>
      <c r="K1872" s="163"/>
      <c r="L1872" s="163"/>
      <c r="M1872" s="163"/>
      <c r="N1872" s="163"/>
      <c r="O1872" s="34"/>
      <c r="P1872" s="31"/>
      <c r="AC1872" s="34"/>
    </row>
    <row r="1873" spans="9:29">
      <c r="I1873" s="31"/>
      <c r="J1873" s="31"/>
      <c r="K1873" s="163"/>
      <c r="L1873" s="163"/>
      <c r="M1873" s="163"/>
      <c r="N1873" s="163"/>
      <c r="O1873" s="34"/>
      <c r="P1873" s="31"/>
      <c r="AC1873" s="34"/>
    </row>
    <row r="1874" spans="9:29">
      <c r="I1874" s="31"/>
      <c r="J1874" s="31"/>
      <c r="K1874" s="163"/>
      <c r="L1874" s="163"/>
      <c r="M1874" s="163"/>
      <c r="N1874" s="163"/>
      <c r="O1874" s="34"/>
      <c r="P1874" s="31"/>
      <c r="AC1874" s="34"/>
    </row>
    <row r="1875" spans="9:29">
      <c r="I1875" s="31"/>
      <c r="J1875" s="31"/>
      <c r="K1875" s="163"/>
      <c r="L1875" s="163"/>
      <c r="M1875" s="163"/>
      <c r="N1875" s="163"/>
      <c r="O1875" s="34"/>
      <c r="P1875" s="31"/>
      <c r="AC1875" s="34"/>
    </row>
    <row r="1876" spans="9:29">
      <c r="I1876" s="31"/>
      <c r="J1876" s="31"/>
      <c r="K1876" s="163"/>
      <c r="L1876" s="163"/>
      <c r="M1876" s="163"/>
      <c r="N1876" s="163"/>
      <c r="O1876" s="34"/>
      <c r="P1876" s="31"/>
      <c r="AC1876" s="34"/>
    </row>
    <row r="1877" spans="9:29">
      <c r="I1877" s="31"/>
      <c r="J1877" s="31"/>
      <c r="K1877" s="163"/>
      <c r="L1877" s="163"/>
      <c r="M1877" s="163"/>
      <c r="N1877" s="163"/>
      <c r="O1877" s="34"/>
      <c r="P1877" s="31"/>
      <c r="AC1877" s="34"/>
    </row>
    <row r="1878" spans="9:29">
      <c r="I1878" s="31"/>
      <c r="J1878" s="31"/>
      <c r="K1878" s="163"/>
      <c r="L1878" s="163"/>
      <c r="M1878" s="163"/>
      <c r="N1878" s="163"/>
      <c r="O1878" s="34"/>
      <c r="P1878" s="31"/>
      <c r="AC1878" s="34"/>
    </row>
    <row r="1879" spans="9:29">
      <c r="I1879" s="31"/>
      <c r="J1879" s="31"/>
      <c r="K1879" s="163"/>
      <c r="L1879" s="163"/>
      <c r="M1879" s="163"/>
      <c r="N1879" s="163"/>
      <c r="O1879" s="34"/>
      <c r="P1879" s="31"/>
      <c r="AC1879" s="34"/>
    </row>
    <row r="1880" spans="9:29">
      <c r="I1880" s="31"/>
      <c r="J1880" s="31"/>
      <c r="K1880" s="163"/>
      <c r="L1880" s="163"/>
      <c r="M1880" s="163"/>
      <c r="N1880" s="163"/>
      <c r="O1880" s="34"/>
      <c r="P1880" s="31"/>
      <c r="AC1880" s="34"/>
    </row>
    <row r="1881" spans="9:29">
      <c r="I1881" s="31"/>
      <c r="J1881" s="31"/>
      <c r="K1881" s="163"/>
      <c r="L1881" s="163"/>
      <c r="M1881" s="163"/>
      <c r="N1881" s="163"/>
      <c r="O1881" s="34"/>
      <c r="P1881" s="31"/>
      <c r="AC1881" s="34"/>
    </row>
    <row r="1882" spans="9:29">
      <c r="I1882" s="31"/>
      <c r="J1882" s="31"/>
      <c r="K1882" s="163"/>
      <c r="L1882" s="163"/>
      <c r="M1882" s="163"/>
      <c r="N1882" s="163"/>
      <c r="O1882" s="34"/>
      <c r="P1882" s="31"/>
      <c r="AC1882" s="34"/>
    </row>
    <row r="1883" spans="9:29">
      <c r="I1883" s="31"/>
      <c r="J1883" s="31"/>
      <c r="K1883" s="163"/>
      <c r="L1883" s="163"/>
      <c r="M1883" s="163"/>
      <c r="N1883" s="163"/>
      <c r="O1883" s="34"/>
      <c r="P1883" s="31"/>
      <c r="AC1883" s="34"/>
    </row>
    <row r="1884" spans="9:29">
      <c r="I1884" s="31"/>
      <c r="J1884" s="31"/>
      <c r="K1884" s="163"/>
      <c r="L1884" s="163"/>
      <c r="M1884" s="163"/>
      <c r="N1884" s="163"/>
      <c r="O1884" s="34"/>
      <c r="P1884" s="31"/>
      <c r="AC1884" s="34"/>
    </row>
    <row r="1885" spans="9:29">
      <c r="I1885" s="31"/>
      <c r="J1885" s="31"/>
      <c r="K1885" s="163"/>
      <c r="L1885" s="163"/>
      <c r="M1885" s="163"/>
      <c r="N1885" s="163"/>
      <c r="O1885" s="34"/>
      <c r="P1885" s="31"/>
      <c r="AC1885" s="34"/>
    </row>
    <row r="1886" spans="9:29">
      <c r="I1886" s="31"/>
      <c r="J1886" s="31"/>
      <c r="K1886" s="163"/>
      <c r="L1886" s="163"/>
      <c r="M1886" s="163"/>
      <c r="N1886" s="163"/>
      <c r="O1886" s="34"/>
      <c r="P1886" s="31"/>
      <c r="AC1886" s="34"/>
    </row>
    <row r="1887" spans="9:29">
      <c r="I1887" s="31"/>
      <c r="J1887" s="31"/>
      <c r="K1887" s="163"/>
      <c r="L1887" s="163"/>
      <c r="M1887" s="163"/>
      <c r="N1887" s="163"/>
      <c r="O1887" s="34"/>
      <c r="P1887" s="31"/>
      <c r="AC1887" s="34"/>
    </row>
    <row r="1888" spans="9:29">
      <c r="I1888" s="31"/>
      <c r="J1888" s="31"/>
      <c r="K1888" s="163"/>
      <c r="L1888" s="163"/>
      <c r="M1888" s="163"/>
      <c r="N1888" s="163"/>
      <c r="O1888" s="34"/>
      <c r="P1888" s="31"/>
      <c r="AC1888" s="34"/>
    </row>
    <row r="1889" spans="9:29">
      <c r="I1889" s="31"/>
      <c r="J1889" s="31"/>
      <c r="K1889" s="163"/>
      <c r="L1889" s="163"/>
      <c r="M1889" s="163"/>
      <c r="N1889" s="163"/>
      <c r="O1889" s="34"/>
      <c r="P1889" s="31"/>
      <c r="AC1889" s="34"/>
    </row>
    <row r="1890" spans="9:29">
      <c r="I1890" s="31"/>
      <c r="J1890" s="31"/>
      <c r="K1890" s="163"/>
      <c r="L1890" s="163"/>
      <c r="M1890" s="163"/>
      <c r="N1890" s="163"/>
      <c r="O1890" s="34"/>
      <c r="P1890" s="31"/>
      <c r="AC1890" s="34"/>
    </row>
    <row r="1891" spans="9:29">
      <c r="I1891" s="31"/>
      <c r="J1891" s="31"/>
      <c r="K1891" s="163"/>
      <c r="L1891" s="163"/>
      <c r="M1891" s="163"/>
      <c r="N1891" s="163"/>
      <c r="O1891" s="34"/>
      <c r="P1891" s="31"/>
      <c r="AC1891" s="34"/>
    </row>
    <row r="1892" spans="9:29">
      <c r="I1892" s="31"/>
      <c r="J1892" s="31"/>
      <c r="K1892" s="163"/>
      <c r="L1892" s="163"/>
      <c r="M1892" s="163"/>
      <c r="N1892" s="163"/>
      <c r="O1892" s="34"/>
      <c r="P1892" s="31"/>
      <c r="AC1892" s="34"/>
    </row>
    <row r="1893" spans="9:29">
      <c r="I1893" s="31"/>
      <c r="J1893" s="31"/>
      <c r="K1893" s="163"/>
      <c r="L1893" s="163"/>
      <c r="M1893" s="163"/>
      <c r="N1893" s="163"/>
      <c r="O1893" s="34"/>
      <c r="P1893" s="31"/>
      <c r="AC1893" s="34"/>
    </row>
    <row r="1894" spans="9:29">
      <c r="I1894" s="31"/>
      <c r="J1894" s="31"/>
      <c r="K1894" s="163"/>
      <c r="L1894" s="163"/>
      <c r="M1894" s="163"/>
      <c r="N1894" s="163"/>
      <c r="O1894" s="34"/>
      <c r="P1894" s="31"/>
      <c r="AC1894" s="34"/>
    </row>
    <row r="1895" spans="9:29">
      <c r="I1895" s="31"/>
      <c r="J1895" s="31"/>
      <c r="K1895" s="163"/>
      <c r="L1895" s="163"/>
      <c r="M1895" s="163"/>
      <c r="N1895" s="163"/>
      <c r="O1895" s="34"/>
      <c r="P1895" s="31"/>
      <c r="AC1895" s="34"/>
    </row>
    <row r="1896" spans="9:29">
      <c r="I1896" s="31"/>
      <c r="J1896" s="31"/>
      <c r="K1896" s="163"/>
      <c r="L1896" s="163"/>
      <c r="M1896" s="163"/>
      <c r="N1896" s="163"/>
      <c r="O1896" s="34"/>
      <c r="P1896" s="31"/>
      <c r="AC1896" s="34"/>
    </row>
    <row r="1897" spans="9:29">
      <c r="I1897" s="31"/>
      <c r="J1897" s="31"/>
      <c r="K1897" s="163"/>
      <c r="L1897" s="163"/>
      <c r="M1897" s="163"/>
      <c r="N1897" s="163"/>
      <c r="O1897" s="34"/>
      <c r="P1897" s="31"/>
      <c r="AC1897" s="34"/>
    </row>
    <row r="1898" spans="9:29">
      <c r="I1898" s="31"/>
      <c r="J1898" s="31"/>
      <c r="K1898" s="163"/>
      <c r="L1898" s="163"/>
      <c r="M1898" s="163"/>
      <c r="N1898" s="163"/>
      <c r="O1898" s="34"/>
      <c r="P1898" s="31"/>
      <c r="AC1898" s="34"/>
    </row>
    <row r="1899" spans="9:29">
      <c r="I1899" s="31"/>
      <c r="J1899" s="31"/>
      <c r="K1899" s="163"/>
      <c r="L1899" s="163"/>
      <c r="M1899" s="163"/>
      <c r="N1899" s="163"/>
      <c r="O1899" s="34"/>
      <c r="P1899" s="31"/>
      <c r="AC1899" s="34"/>
    </row>
    <row r="1900" spans="9:29">
      <c r="I1900" s="31"/>
      <c r="J1900" s="31"/>
      <c r="K1900" s="163"/>
      <c r="L1900" s="163"/>
      <c r="M1900" s="163"/>
      <c r="N1900" s="163"/>
      <c r="O1900" s="34"/>
      <c r="P1900" s="31"/>
      <c r="AC1900" s="34"/>
    </row>
    <row r="1901" spans="9:29">
      <c r="I1901" s="31"/>
      <c r="J1901" s="31"/>
      <c r="K1901" s="163"/>
      <c r="L1901" s="163"/>
      <c r="M1901" s="163"/>
      <c r="N1901" s="163"/>
      <c r="O1901" s="34"/>
      <c r="P1901" s="31"/>
      <c r="AC1901" s="34"/>
    </row>
    <row r="1902" spans="9:29">
      <c r="I1902" s="31"/>
      <c r="J1902" s="31"/>
      <c r="K1902" s="163"/>
      <c r="L1902" s="163"/>
      <c r="M1902" s="163"/>
      <c r="N1902" s="163"/>
      <c r="O1902" s="34"/>
      <c r="P1902" s="31"/>
      <c r="AC1902" s="34"/>
    </row>
    <row r="1903" spans="9:29">
      <c r="I1903" s="31"/>
      <c r="J1903" s="31"/>
      <c r="K1903" s="163"/>
      <c r="L1903" s="163"/>
      <c r="M1903" s="163"/>
      <c r="N1903" s="163"/>
      <c r="O1903" s="34"/>
      <c r="P1903" s="31"/>
      <c r="AC1903" s="34"/>
    </row>
    <row r="1904" spans="9:29">
      <c r="I1904" s="31"/>
      <c r="J1904" s="31"/>
      <c r="K1904" s="163"/>
      <c r="L1904" s="163"/>
      <c r="M1904" s="163"/>
      <c r="N1904" s="163"/>
      <c r="O1904" s="34"/>
      <c r="P1904" s="31"/>
      <c r="AC1904" s="34"/>
    </row>
    <row r="1905" spans="9:29">
      <c r="I1905" s="31"/>
      <c r="J1905" s="31"/>
      <c r="K1905" s="163"/>
      <c r="L1905" s="163"/>
      <c r="M1905" s="163"/>
      <c r="N1905" s="163"/>
      <c r="O1905" s="34"/>
      <c r="P1905" s="31"/>
      <c r="AC1905" s="34"/>
    </row>
    <row r="1906" spans="9:29">
      <c r="I1906" s="31"/>
      <c r="J1906" s="31"/>
      <c r="K1906" s="163"/>
      <c r="L1906" s="163"/>
      <c r="M1906" s="163"/>
      <c r="N1906" s="163"/>
      <c r="O1906" s="34"/>
      <c r="P1906" s="31"/>
      <c r="AC1906" s="34"/>
    </row>
    <row r="1907" spans="9:29">
      <c r="I1907" s="31"/>
      <c r="J1907" s="31"/>
      <c r="K1907" s="163"/>
      <c r="L1907" s="163"/>
      <c r="M1907" s="163"/>
      <c r="N1907" s="163"/>
      <c r="O1907" s="34"/>
      <c r="P1907" s="31"/>
      <c r="AC1907" s="34"/>
    </row>
    <row r="1908" spans="9:29">
      <c r="I1908" s="31"/>
      <c r="J1908" s="31"/>
      <c r="K1908" s="163"/>
      <c r="L1908" s="163"/>
      <c r="M1908" s="163"/>
      <c r="N1908" s="163"/>
      <c r="O1908" s="34"/>
      <c r="P1908" s="31"/>
      <c r="AC1908" s="34"/>
    </row>
    <row r="1909" spans="9:29">
      <c r="I1909" s="31"/>
      <c r="J1909" s="31"/>
      <c r="K1909" s="163"/>
      <c r="L1909" s="163"/>
      <c r="M1909" s="163"/>
      <c r="N1909" s="163"/>
      <c r="O1909" s="34"/>
      <c r="P1909" s="31"/>
      <c r="AC1909" s="34"/>
    </row>
    <row r="1910" spans="9:29">
      <c r="I1910" s="31"/>
      <c r="J1910" s="31"/>
      <c r="K1910" s="163"/>
      <c r="L1910" s="163"/>
      <c r="M1910" s="163"/>
      <c r="N1910" s="163"/>
      <c r="O1910" s="34"/>
      <c r="P1910" s="31"/>
      <c r="AC1910" s="34"/>
    </row>
    <row r="1911" spans="9:29">
      <c r="I1911" s="31"/>
      <c r="J1911" s="31"/>
      <c r="K1911" s="163"/>
      <c r="L1911" s="163"/>
      <c r="M1911" s="163"/>
      <c r="N1911" s="163"/>
      <c r="O1911" s="34"/>
      <c r="P1911" s="31"/>
      <c r="AC1911" s="34"/>
    </row>
    <row r="1912" spans="9:29">
      <c r="I1912" s="31"/>
      <c r="J1912" s="31"/>
      <c r="K1912" s="163"/>
      <c r="L1912" s="163"/>
      <c r="M1912" s="163"/>
      <c r="N1912" s="163"/>
      <c r="O1912" s="34"/>
      <c r="P1912" s="31"/>
      <c r="AC1912" s="34"/>
    </row>
    <row r="1913" spans="9:29">
      <c r="I1913" s="31"/>
      <c r="J1913" s="31"/>
      <c r="K1913" s="163"/>
      <c r="L1913" s="163"/>
      <c r="M1913" s="163"/>
      <c r="N1913" s="163"/>
      <c r="O1913" s="34"/>
      <c r="P1913" s="31"/>
      <c r="AC1913" s="34"/>
    </row>
    <row r="1914" spans="9:29">
      <c r="I1914" s="31"/>
      <c r="J1914" s="31"/>
      <c r="K1914" s="163"/>
      <c r="L1914" s="163"/>
      <c r="M1914" s="163"/>
      <c r="N1914" s="163"/>
      <c r="O1914" s="34"/>
      <c r="P1914" s="31"/>
      <c r="AC1914" s="34"/>
    </row>
    <row r="1915" spans="9:29">
      <c r="I1915" s="31"/>
      <c r="J1915" s="31"/>
      <c r="K1915" s="163"/>
      <c r="L1915" s="163"/>
      <c r="M1915" s="163"/>
      <c r="N1915" s="163"/>
      <c r="O1915" s="34"/>
      <c r="P1915" s="31"/>
      <c r="AC1915" s="34"/>
    </row>
    <row r="1916" spans="9:29">
      <c r="I1916" s="31"/>
      <c r="J1916" s="31"/>
      <c r="K1916" s="163"/>
      <c r="L1916" s="163"/>
      <c r="M1916" s="163"/>
      <c r="N1916" s="163"/>
      <c r="O1916" s="34"/>
      <c r="P1916" s="31"/>
      <c r="AC1916" s="34"/>
    </row>
    <row r="1917" spans="9:29">
      <c r="I1917" s="31"/>
      <c r="J1917" s="31"/>
      <c r="K1917" s="163"/>
      <c r="L1917" s="163"/>
      <c r="M1917" s="163"/>
      <c r="N1917" s="163"/>
      <c r="O1917" s="34"/>
      <c r="P1917" s="31"/>
      <c r="AC1917" s="34"/>
    </row>
    <row r="1918" spans="9:29">
      <c r="I1918" s="31"/>
      <c r="J1918" s="31"/>
      <c r="K1918" s="163"/>
      <c r="L1918" s="163"/>
      <c r="M1918" s="163"/>
      <c r="N1918" s="163"/>
      <c r="O1918" s="34"/>
      <c r="P1918" s="31"/>
      <c r="AC1918" s="34"/>
    </row>
    <row r="1919" spans="9:29">
      <c r="I1919" s="31"/>
      <c r="J1919" s="31"/>
      <c r="K1919" s="163"/>
      <c r="L1919" s="163"/>
      <c r="M1919" s="163"/>
      <c r="N1919" s="163"/>
      <c r="O1919" s="34"/>
      <c r="P1919" s="31"/>
      <c r="AC1919" s="34"/>
    </row>
    <row r="1920" spans="9:29">
      <c r="I1920" s="31"/>
      <c r="J1920" s="31"/>
      <c r="K1920" s="163"/>
      <c r="L1920" s="163"/>
      <c r="M1920" s="163"/>
      <c r="N1920" s="163"/>
      <c r="O1920" s="34"/>
      <c r="P1920" s="31"/>
      <c r="AC1920" s="34"/>
    </row>
    <row r="1921" spans="9:29">
      <c r="I1921" s="31"/>
      <c r="J1921" s="31"/>
      <c r="K1921" s="163"/>
      <c r="L1921" s="163"/>
      <c r="M1921" s="163"/>
      <c r="N1921" s="163"/>
      <c r="O1921" s="34"/>
      <c r="P1921" s="31"/>
      <c r="AC1921" s="34"/>
    </row>
    <row r="1922" spans="9:29">
      <c r="I1922" s="31"/>
      <c r="J1922" s="31"/>
      <c r="K1922" s="163"/>
      <c r="L1922" s="163"/>
      <c r="M1922" s="163"/>
      <c r="N1922" s="163"/>
      <c r="O1922" s="34"/>
      <c r="P1922" s="31"/>
      <c r="AC1922" s="34"/>
    </row>
    <row r="1923" spans="9:29">
      <c r="I1923" s="31"/>
      <c r="J1923" s="31"/>
      <c r="K1923" s="163"/>
      <c r="L1923" s="163"/>
      <c r="M1923" s="163"/>
      <c r="N1923" s="163"/>
      <c r="O1923" s="34"/>
      <c r="P1923" s="31"/>
      <c r="AC1923" s="34"/>
    </row>
    <row r="1924" spans="9:29">
      <c r="I1924" s="31"/>
      <c r="J1924" s="31"/>
      <c r="K1924" s="163"/>
      <c r="L1924" s="163"/>
      <c r="M1924" s="163"/>
      <c r="N1924" s="163"/>
      <c r="O1924" s="34"/>
      <c r="P1924" s="31"/>
      <c r="AC1924" s="34"/>
    </row>
    <row r="1925" spans="9:29">
      <c r="I1925" s="31"/>
      <c r="J1925" s="31"/>
      <c r="K1925" s="163"/>
      <c r="L1925" s="163"/>
      <c r="M1925" s="163"/>
      <c r="N1925" s="163"/>
      <c r="O1925" s="34"/>
      <c r="P1925" s="31"/>
      <c r="AC1925" s="34"/>
    </row>
    <row r="1926" spans="9:29">
      <c r="I1926" s="31"/>
      <c r="J1926" s="31"/>
      <c r="K1926" s="163"/>
      <c r="L1926" s="163"/>
      <c r="M1926" s="163"/>
      <c r="N1926" s="163"/>
      <c r="O1926" s="34"/>
      <c r="P1926" s="31"/>
      <c r="AC1926" s="34"/>
    </row>
    <row r="1927" spans="9:29">
      <c r="I1927" s="31"/>
      <c r="J1927" s="31"/>
      <c r="K1927" s="163"/>
      <c r="L1927" s="163"/>
      <c r="M1927" s="163"/>
      <c r="N1927" s="163"/>
      <c r="O1927" s="34"/>
      <c r="P1927" s="31"/>
      <c r="AC1927" s="34"/>
    </row>
    <row r="1928" spans="9:29">
      <c r="I1928" s="31"/>
      <c r="J1928" s="31"/>
      <c r="K1928" s="163"/>
      <c r="L1928" s="163"/>
      <c r="M1928" s="163"/>
      <c r="N1928" s="163"/>
      <c r="O1928" s="34"/>
      <c r="P1928" s="31"/>
      <c r="AC1928" s="34"/>
    </row>
    <row r="1929" spans="9:29">
      <c r="I1929" s="31"/>
      <c r="J1929" s="31"/>
      <c r="K1929" s="163"/>
      <c r="L1929" s="163"/>
      <c r="M1929" s="163"/>
      <c r="N1929" s="163"/>
      <c r="O1929" s="34"/>
      <c r="P1929" s="31"/>
      <c r="AC1929" s="34"/>
    </row>
    <row r="1930" spans="9:29">
      <c r="I1930" s="31"/>
      <c r="J1930" s="31"/>
      <c r="K1930" s="163"/>
      <c r="L1930" s="163"/>
      <c r="M1930" s="163"/>
      <c r="N1930" s="163"/>
      <c r="O1930" s="34"/>
      <c r="P1930" s="31"/>
      <c r="AC1930" s="34"/>
    </row>
    <row r="1931" spans="9:29">
      <c r="I1931" s="31"/>
      <c r="J1931" s="31"/>
      <c r="K1931" s="163"/>
      <c r="L1931" s="163"/>
      <c r="M1931" s="163"/>
      <c r="N1931" s="163"/>
      <c r="O1931" s="34"/>
      <c r="P1931" s="31"/>
      <c r="AC1931" s="34"/>
    </row>
    <row r="1932" spans="9:29">
      <c r="I1932" s="31"/>
      <c r="J1932" s="31"/>
      <c r="K1932" s="163"/>
      <c r="L1932" s="163"/>
      <c r="M1932" s="163"/>
      <c r="N1932" s="163"/>
      <c r="O1932" s="34"/>
      <c r="P1932" s="31"/>
      <c r="AC1932" s="34"/>
    </row>
    <row r="1933" spans="9:29">
      <c r="I1933" s="31"/>
      <c r="J1933" s="31"/>
      <c r="K1933" s="163"/>
      <c r="L1933" s="163"/>
      <c r="M1933" s="163"/>
      <c r="N1933" s="163"/>
      <c r="O1933" s="34"/>
      <c r="P1933" s="31"/>
      <c r="AC1933" s="34"/>
    </row>
    <row r="1934" spans="9:29">
      <c r="I1934" s="31"/>
      <c r="J1934" s="31"/>
      <c r="K1934" s="163"/>
      <c r="L1934" s="163"/>
      <c r="M1934" s="163"/>
      <c r="N1934" s="163"/>
      <c r="O1934" s="34"/>
      <c r="P1934" s="31"/>
      <c r="AC1934" s="34"/>
    </row>
    <row r="1935" spans="9:29">
      <c r="I1935" s="31"/>
      <c r="J1935" s="31"/>
      <c r="K1935" s="163"/>
      <c r="L1935" s="163"/>
      <c r="M1935" s="163"/>
      <c r="N1935" s="163"/>
      <c r="O1935" s="34"/>
      <c r="P1935" s="31"/>
      <c r="AC1935" s="34"/>
    </row>
    <row r="1936" spans="9:29">
      <c r="I1936" s="31"/>
      <c r="J1936" s="31"/>
      <c r="K1936" s="163"/>
      <c r="L1936" s="163"/>
      <c r="M1936" s="163"/>
      <c r="N1936" s="163"/>
      <c r="O1936" s="34"/>
      <c r="P1936" s="31"/>
      <c r="AC1936" s="34"/>
    </row>
    <row r="1937" spans="9:29">
      <c r="I1937" s="31"/>
      <c r="J1937" s="31"/>
      <c r="K1937" s="163"/>
      <c r="L1937" s="163"/>
      <c r="M1937" s="163"/>
      <c r="N1937" s="163"/>
      <c r="O1937" s="34"/>
      <c r="P1937" s="31"/>
      <c r="AC1937" s="34"/>
    </row>
    <row r="1938" spans="9:29">
      <c r="I1938" s="31"/>
      <c r="J1938" s="31"/>
      <c r="K1938" s="163"/>
      <c r="L1938" s="163"/>
      <c r="M1938" s="163"/>
      <c r="N1938" s="163"/>
      <c r="O1938" s="34"/>
      <c r="P1938" s="31"/>
      <c r="AC1938" s="34"/>
    </row>
    <row r="1939" spans="9:29">
      <c r="I1939" s="31"/>
      <c r="J1939" s="31"/>
      <c r="K1939" s="163"/>
      <c r="L1939" s="163"/>
      <c r="M1939" s="163"/>
      <c r="N1939" s="163"/>
      <c r="O1939" s="34"/>
      <c r="P1939" s="31"/>
      <c r="AC1939" s="34"/>
    </row>
    <row r="1940" spans="9:29">
      <c r="I1940" s="31"/>
      <c r="J1940" s="31"/>
      <c r="K1940" s="163"/>
      <c r="L1940" s="163"/>
      <c r="M1940" s="163"/>
      <c r="N1940" s="163"/>
      <c r="O1940" s="34"/>
      <c r="P1940" s="31"/>
      <c r="AC1940" s="34"/>
    </row>
    <row r="1941" spans="9:29">
      <c r="I1941" s="31"/>
      <c r="J1941" s="31"/>
      <c r="K1941" s="163"/>
      <c r="L1941" s="163"/>
      <c r="M1941" s="163"/>
      <c r="N1941" s="163"/>
      <c r="O1941" s="34"/>
      <c r="P1941" s="31"/>
      <c r="AC1941" s="34"/>
    </row>
    <row r="1942" spans="9:29">
      <c r="I1942" s="31"/>
      <c r="J1942" s="31"/>
      <c r="K1942" s="163"/>
      <c r="L1942" s="163"/>
      <c r="M1942" s="163"/>
      <c r="N1942" s="163"/>
      <c r="O1942" s="34"/>
      <c r="P1942" s="31"/>
      <c r="AC1942" s="34"/>
    </row>
    <row r="1943" spans="9:29">
      <c r="I1943" s="31"/>
      <c r="J1943" s="31"/>
      <c r="K1943" s="163"/>
      <c r="L1943" s="163"/>
      <c r="M1943" s="163"/>
      <c r="N1943" s="163"/>
      <c r="O1943" s="34"/>
      <c r="P1943" s="31"/>
      <c r="AC1943" s="34"/>
    </row>
    <row r="1944" spans="9:29">
      <c r="I1944" s="31"/>
      <c r="J1944" s="31"/>
      <c r="K1944" s="163"/>
      <c r="L1944" s="163"/>
      <c r="M1944" s="163"/>
      <c r="N1944" s="163"/>
      <c r="O1944" s="34"/>
      <c r="P1944" s="31"/>
      <c r="AC1944" s="34"/>
    </row>
    <row r="1945" spans="9:29">
      <c r="I1945" s="31"/>
      <c r="J1945" s="31"/>
      <c r="K1945" s="163"/>
      <c r="L1945" s="163"/>
      <c r="M1945" s="163"/>
      <c r="N1945" s="163"/>
      <c r="O1945" s="34"/>
      <c r="P1945" s="31"/>
      <c r="AC1945" s="34"/>
    </row>
    <row r="1946" spans="9:29">
      <c r="I1946" s="31"/>
      <c r="J1946" s="31"/>
      <c r="K1946" s="163"/>
      <c r="L1946" s="163"/>
      <c r="M1946" s="163"/>
      <c r="N1946" s="163"/>
      <c r="O1946" s="34"/>
      <c r="P1946" s="31"/>
      <c r="AC1946" s="34"/>
    </row>
    <row r="1947" spans="9:29">
      <c r="I1947" s="31"/>
      <c r="J1947" s="31"/>
      <c r="K1947" s="163"/>
      <c r="L1947" s="163"/>
      <c r="M1947" s="163"/>
      <c r="N1947" s="163"/>
      <c r="O1947" s="34"/>
      <c r="P1947" s="31"/>
      <c r="AC1947" s="34"/>
    </row>
    <row r="1948" spans="9:29">
      <c r="I1948" s="31"/>
      <c r="J1948" s="31"/>
      <c r="K1948" s="163"/>
      <c r="L1948" s="163"/>
      <c r="M1948" s="163"/>
      <c r="N1948" s="163"/>
      <c r="O1948" s="34"/>
      <c r="P1948" s="31"/>
      <c r="AC1948" s="34"/>
    </row>
    <row r="1949" spans="9:29">
      <c r="I1949" s="31"/>
      <c r="J1949" s="31"/>
      <c r="K1949" s="163"/>
      <c r="L1949" s="163"/>
      <c r="M1949" s="163"/>
      <c r="N1949" s="163"/>
      <c r="O1949" s="34"/>
      <c r="P1949" s="31"/>
      <c r="AC1949" s="34"/>
    </row>
    <row r="1950" spans="9:29">
      <c r="I1950" s="31"/>
      <c r="J1950" s="31"/>
      <c r="K1950" s="163"/>
      <c r="L1950" s="163"/>
      <c r="M1950" s="163"/>
      <c r="N1950" s="163"/>
      <c r="O1950" s="34"/>
      <c r="P1950" s="31"/>
      <c r="AC1950" s="34"/>
    </row>
    <row r="1951" spans="9:29">
      <c r="I1951" s="31"/>
      <c r="J1951" s="31"/>
      <c r="K1951" s="163"/>
      <c r="L1951" s="163"/>
      <c r="M1951" s="163"/>
      <c r="N1951" s="163"/>
      <c r="O1951" s="34"/>
      <c r="P1951" s="31"/>
      <c r="AC1951" s="34"/>
    </row>
    <row r="1952" spans="9:29">
      <c r="I1952" s="31"/>
      <c r="J1952" s="31"/>
      <c r="K1952" s="163"/>
      <c r="L1952" s="163"/>
      <c r="M1952" s="163"/>
      <c r="N1952" s="163"/>
      <c r="O1952" s="34"/>
      <c r="P1952" s="31"/>
      <c r="AC1952" s="34"/>
    </row>
    <row r="1953" spans="9:29">
      <c r="I1953" s="31"/>
      <c r="J1953" s="31"/>
      <c r="K1953" s="163"/>
      <c r="L1953" s="163"/>
      <c r="M1953" s="163"/>
      <c r="N1953" s="163"/>
      <c r="O1953" s="34"/>
      <c r="P1953" s="31"/>
      <c r="AC1953" s="34"/>
    </row>
    <row r="1954" spans="9:29">
      <c r="I1954" s="31"/>
      <c r="J1954" s="31"/>
      <c r="K1954" s="163"/>
      <c r="L1954" s="163"/>
      <c r="M1954" s="163"/>
      <c r="N1954" s="163"/>
      <c r="O1954" s="34"/>
      <c r="P1954" s="31"/>
      <c r="AC1954" s="34"/>
    </row>
    <row r="1955" spans="9:29">
      <c r="I1955" s="31"/>
      <c r="J1955" s="31"/>
      <c r="K1955" s="163"/>
      <c r="L1955" s="163"/>
      <c r="M1955" s="163"/>
      <c r="N1955" s="163"/>
      <c r="O1955" s="34"/>
      <c r="P1955" s="31"/>
      <c r="AC1955" s="34"/>
    </row>
    <row r="1956" spans="9:29">
      <c r="I1956" s="31"/>
      <c r="J1956" s="31"/>
      <c r="K1956" s="163"/>
      <c r="L1956" s="163"/>
      <c r="M1956" s="163"/>
      <c r="N1956" s="163"/>
      <c r="O1956" s="34"/>
      <c r="P1956" s="31"/>
      <c r="AC1956" s="34"/>
    </row>
    <row r="1957" spans="9:29">
      <c r="I1957" s="31"/>
      <c r="J1957" s="31"/>
      <c r="K1957" s="163"/>
      <c r="L1957" s="163"/>
      <c r="M1957" s="163"/>
      <c r="N1957" s="163"/>
      <c r="O1957" s="34"/>
      <c r="P1957" s="31"/>
      <c r="AC1957" s="34"/>
    </row>
    <row r="1958" spans="9:29">
      <c r="I1958" s="31"/>
      <c r="J1958" s="31"/>
      <c r="K1958" s="163"/>
      <c r="L1958" s="163"/>
      <c r="M1958" s="163"/>
      <c r="N1958" s="163"/>
      <c r="O1958" s="34"/>
      <c r="P1958" s="31"/>
      <c r="AC1958" s="34"/>
    </row>
    <row r="1959" spans="9:29">
      <c r="I1959" s="31"/>
      <c r="J1959" s="31"/>
      <c r="K1959" s="163"/>
      <c r="L1959" s="163"/>
      <c r="M1959" s="163"/>
      <c r="N1959" s="163"/>
      <c r="O1959" s="34"/>
      <c r="P1959" s="31"/>
      <c r="AC1959" s="34"/>
    </row>
    <row r="1960" spans="9:29">
      <c r="I1960" s="31"/>
      <c r="J1960" s="31"/>
      <c r="K1960" s="163"/>
      <c r="L1960" s="163"/>
      <c r="M1960" s="163"/>
      <c r="N1960" s="163"/>
      <c r="O1960" s="34"/>
      <c r="P1960" s="31"/>
      <c r="AC1960" s="34"/>
    </row>
    <row r="1961" spans="9:29">
      <c r="I1961" s="31"/>
      <c r="J1961" s="31"/>
      <c r="K1961" s="163"/>
      <c r="L1961" s="163"/>
      <c r="M1961" s="163"/>
      <c r="N1961" s="163"/>
      <c r="O1961" s="34"/>
      <c r="P1961" s="31"/>
      <c r="AC1961" s="34"/>
    </row>
    <row r="1962" spans="9:29">
      <c r="I1962" s="31"/>
      <c r="J1962" s="31"/>
      <c r="K1962" s="163"/>
      <c r="L1962" s="163"/>
      <c r="M1962" s="163"/>
      <c r="N1962" s="163"/>
      <c r="O1962" s="34"/>
      <c r="P1962" s="31"/>
      <c r="AC1962" s="34"/>
    </row>
    <row r="1963" spans="9:29">
      <c r="I1963" s="31"/>
      <c r="J1963" s="31"/>
      <c r="K1963" s="163"/>
      <c r="L1963" s="163"/>
      <c r="M1963" s="163"/>
      <c r="N1963" s="163"/>
      <c r="O1963" s="34"/>
      <c r="P1963" s="31"/>
      <c r="AC1963" s="34"/>
    </row>
    <row r="1964" spans="9:29">
      <c r="I1964" s="31"/>
      <c r="J1964" s="31"/>
      <c r="K1964" s="163"/>
      <c r="L1964" s="163"/>
      <c r="M1964" s="163"/>
      <c r="N1964" s="163"/>
      <c r="O1964" s="34"/>
      <c r="P1964" s="31"/>
      <c r="AC1964" s="34"/>
    </row>
    <row r="1965" spans="9:29">
      <c r="I1965" s="31"/>
      <c r="J1965" s="31"/>
      <c r="K1965" s="163"/>
      <c r="L1965" s="163"/>
      <c r="M1965" s="163"/>
      <c r="N1965" s="163"/>
      <c r="O1965" s="34"/>
      <c r="P1965" s="31"/>
      <c r="AC1965" s="34"/>
    </row>
    <row r="1966" spans="9:29">
      <c r="I1966" s="31"/>
      <c r="J1966" s="31"/>
      <c r="K1966" s="163"/>
      <c r="L1966" s="163"/>
      <c r="M1966" s="163"/>
      <c r="N1966" s="163"/>
      <c r="O1966" s="34"/>
      <c r="P1966" s="31"/>
      <c r="AC1966" s="34"/>
    </row>
    <row r="1967" spans="9:29">
      <c r="I1967" s="31"/>
      <c r="J1967" s="31"/>
      <c r="K1967" s="163"/>
      <c r="L1967" s="163"/>
      <c r="M1967" s="163"/>
      <c r="N1967" s="163"/>
      <c r="O1967" s="34"/>
      <c r="P1967" s="31"/>
      <c r="AC1967" s="34"/>
    </row>
    <row r="1968" spans="9:29">
      <c r="I1968" s="31"/>
      <c r="J1968" s="31"/>
      <c r="K1968" s="163"/>
      <c r="L1968" s="163"/>
      <c r="M1968" s="163"/>
      <c r="N1968" s="163"/>
      <c r="O1968" s="34"/>
      <c r="P1968" s="31"/>
      <c r="AC1968" s="34"/>
    </row>
    <row r="1969" spans="9:29">
      <c r="I1969" s="31"/>
      <c r="J1969" s="31"/>
      <c r="K1969" s="163"/>
      <c r="L1969" s="163"/>
      <c r="M1969" s="163"/>
      <c r="N1969" s="163"/>
      <c r="O1969" s="34"/>
      <c r="P1969" s="31"/>
      <c r="AC1969" s="34"/>
    </row>
    <row r="1970" spans="9:29">
      <c r="I1970" s="31"/>
      <c r="J1970" s="31"/>
      <c r="K1970" s="163"/>
      <c r="L1970" s="163"/>
      <c r="M1970" s="163"/>
      <c r="N1970" s="163"/>
      <c r="O1970" s="34"/>
      <c r="P1970" s="31"/>
      <c r="AC1970" s="34"/>
    </row>
    <row r="1971" spans="9:29">
      <c r="I1971" s="31"/>
      <c r="J1971" s="31"/>
      <c r="K1971" s="163"/>
      <c r="L1971" s="163"/>
      <c r="M1971" s="163"/>
      <c r="N1971" s="163"/>
      <c r="O1971" s="34"/>
      <c r="P1971" s="31"/>
      <c r="AC1971" s="34"/>
    </row>
    <row r="1972" spans="9:29">
      <c r="I1972" s="31"/>
      <c r="J1972" s="31"/>
      <c r="K1972" s="163"/>
      <c r="L1972" s="163"/>
      <c r="M1972" s="163"/>
      <c r="N1972" s="163"/>
      <c r="O1972" s="34"/>
      <c r="P1972" s="31"/>
      <c r="AC1972" s="34"/>
    </row>
    <row r="1973" spans="9:29">
      <c r="I1973" s="31"/>
      <c r="J1973" s="31"/>
      <c r="K1973" s="163"/>
      <c r="L1973" s="163"/>
      <c r="M1973" s="163"/>
      <c r="N1973" s="163"/>
      <c r="O1973" s="34"/>
      <c r="P1973" s="31"/>
      <c r="AC1973" s="34"/>
    </row>
    <row r="1974" spans="9:29">
      <c r="I1974" s="31"/>
      <c r="J1974" s="31"/>
      <c r="K1974" s="163"/>
      <c r="L1974" s="163"/>
      <c r="M1974" s="163"/>
      <c r="N1974" s="163"/>
      <c r="O1974" s="34"/>
      <c r="P1974" s="31"/>
      <c r="AC1974" s="34"/>
    </row>
    <row r="1975" spans="9:29">
      <c r="I1975" s="31"/>
      <c r="J1975" s="31"/>
      <c r="K1975" s="163"/>
      <c r="L1975" s="163"/>
      <c r="M1975" s="163"/>
      <c r="N1975" s="163"/>
      <c r="O1975" s="34"/>
      <c r="P1975" s="31"/>
      <c r="AC1975" s="34"/>
    </row>
    <row r="1976" spans="9:29">
      <c r="I1976" s="31"/>
      <c r="J1976" s="31"/>
      <c r="K1976" s="163"/>
      <c r="L1976" s="163"/>
      <c r="M1976" s="163"/>
      <c r="N1976" s="163"/>
      <c r="O1976" s="34"/>
      <c r="P1976" s="31"/>
      <c r="AC1976" s="34"/>
    </row>
    <row r="1977" spans="9:29">
      <c r="I1977" s="31"/>
      <c r="J1977" s="31"/>
      <c r="K1977" s="163"/>
      <c r="L1977" s="163"/>
      <c r="M1977" s="163"/>
      <c r="N1977" s="163"/>
      <c r="O1977" s="34"/>
      <c r="P1977" s="31"/>
      <c r="AC1977" s="34"/>
    </row>
    <row r="1978" spans="9:29">
      <c r="I1978" s="31"/>
      <c r="J1978" s="31"/>
      <c r="K1978" s="163"/>
      <c r="L1978" s="163"/>
      <c r="M1978" s="163"/>
      <c r="N1978" s="163"/>
      <c r="O1978" s="34"/>
      <c r="P1978" s="31"/>
      <c r="AC1978" s="34"/>
    </row>
    <row r="1979" spans="9:29">
      <c r="I1979" s="31"/>
      <c r="J1979" s="31"/>
      <c r="K1979" s="163"/>
      <c r="L1979" s="163"/>
      <c r="M1979" s="163"/>
      <c r="N1979" s="163"/>
      <c r="O1979" s="34"/>
      <c r="P1979" s="31"/>
      <c r="AC1979" s="34"/>
    </row>
    <row r="1980" spans="9:29">
      <c r="I1980" s="31"/>
      <c r="J1980" s="31"/>
      <c r="K1980" s="163"/>
      <c r="L1980" s="163"/>
      <c r="M1980" s="163"/>
      <c r="N1980" s="163"/>
      <c r="O1980" s="34"/>
      <c r="P1980" s="31"/>
      <c r="AC1980" s="34"/>
    </row>
    <row r="1981" spans="9:29">
      <c r="I1981" s="31"/>
      <c r="J1981" s="31"/>
      <c r="K1981" s="163"/>
      <c r="L1981" s="163"/>
      <c r="M1981" s="163"/>
      <c r="N1981" s="163"/>
      <c r="O1981" s="34"/>
      <c r="P1981" s="31"/>
      <c r="AC1981" s="34"/>
    </row>
    <row r="1982" spans="9:29">
      <c r="I1982" s="31"/>
      <c r="J1982" s="31"/>
      <c r="K1982" s="163"/>
      <c r="L1982" s="163"/>
      <c r="M1982" s="163"/>
      <c r="N1982" s="163"/>
      <c r="O1982" s="34"/>
      <c r="P1982" s="31"/>
      <c r="AC1982" s="34"/>
    </row>
    <row r="1983" spans="9:29">
      <c r="I1983" s="31"/>
      <c r="J1983" s="31"/>
      <c r="K1983" s="163"/>
      <c r="L1983" s="163"/>
      <c r="M1983" s="163"/>
      <c r="N1983" s="163"/>
      <c r="O1983" s="34"/>
      <c r="P1983" s="31"/>
      <c r="AC1983" s="34"/>
    </row>
    <row r="1984" spans="9:29">
      <c r="I1984" s="31"/>
      <c r="J1984" s="31"/>
      <c r="K1984" s="163"/>
      <c r="L1984" s="163"/>
      <c r="M1984" s="163"/>
      <c r="N1984" s="163"/>
      <c r="O1984" s="34"/>
      <c r="P1984" s="31"/>
      <c r="AC1984" s="34"/>
    </row>
    <row r="1985" spans="9:29">
      <c r="I1985" s="31"/>
      <c r="J1985" s="31"/>
      <c r="K1985" s="163"/>
      <c r="L1985" s="163"/>
      <c r="M1985" s="163"/>
      <c r="N1985" s="163"/>
      <c r="O1985" s="34"/>
      <c r="P1985" s="31"/>
      <c r="AC1985" s="34"/>
    </row>
    <row r="1986" spans="9:29">
      <c r="I1986" s="31"/>
      <c r="J1986" s="31"/>
      <c r="K1986" s="163"/>
      <c r="L1986" s="163"/>
      <c r="M1986" s="163"/>
      <c r="N1986" s="163"/>
      <c r="O1986" s="34"/>
      <c r="P1986" s="31"/>
      <c r="AC1986" s="34"/>
    </row>
    <row r="1987" spans="9:29">
      <c r="I1987" s="31"/>
      <c r="J1987" s="31"/>
      <c r="K1987" s="163"/>
      <c r="L1987" s="163"/>
      <c r="M1987" s="163"/>
      <c r="N1987" s="163"/>
      <c r="O1987" s="34"/>
      <c r="P1987" s="31"/>
      <c r="AC1987" s="34"/>
    </row>
    <row r="1988" spans="9:29">
      <c r="I1988" s="31"/>
      <c r="J1988" s="31"/>
      <c r="K1988" s="163"/>
      <c r="L1988" s="163"/>
      <c r="M1988" s="163"/>
      <c r="N1988" s="163"/>
      <c r="O1988" s="34"/>
      <c r="P1988" s="31"/>
      <c r="AC1988" s="34"/>
    </row>
    <row r="1989" spans="9:29">
      <c r="I1989" s="31"/>
      <c r="J1989" s="31"/>
      <c r="K1989" s="163"/>
      <c r="L1989" s="163"/>
      <c r="M1989" s="163"/>
      <c r="N1989" s="163"/>
      <c r="O1989" s="34"/>
      <c r="P1989" s="31"/>
      <c r="AC1989" s="34"/>
    </row>
    <row r="1990" spans="9:29">
      <c r="I1990" s="31"/>
      <c r="J1990" s="31"/>
      <c r="K1990" s="163"/>
      <c r="L1990" s="163"/>
      <c r="M1990" s="163"/>
      <c r="N1990" s="163"/>
      <c r="O1990" s="34"/>
      <c r="P1990" s="31"/>
      <c r="AC1990" s="34"/>
    </row>
    <row r="1991" spans="9:29">
      <c r="I1991" s="31"/>
      <c r="J1991" s="31"/>
      <c r="K1991" s="163"/>
      <c r="L1991" s="163"/>
      <c r="M1991" s="163"/>
      <c r="N1991" s="163"/>
      <c r="O1991" s="34"/>
      <c r="P1991" s="31"/>
      <c r="AC1991" s="34"/>
    </row>
    <row r="1992" spans="9:29">
      <c r="I1992" s="31"/>
      <c r="J1992" s="31"/>
      <c r="K1992" s="163"/>
      <c r="L1992" s="163"/>
      <c r="M1992" s="163"/>
      <c r="N1992" s="163"/>
      <c r="O1992" s="34"/>
      <c r="P1992" s="31"/>
      <c r="AC1992" s="34"/>
    </row>
    <row r="1993" spans="9:29">
      <c r="I1993" s="31"/>
      <c r="J1993" s="31"/>
      <c r="K1993" s="163"/>
      <c r="L1993" s="163"/>
      <c r="M1993" s="163"/>
      <c r="N1993" s="163"/>
      <c r="O1993" s="34"/>
      <c r="P1993" s="31"/>
      <c r="AC1993" s="34"/>
    </row>
    <row r="1994" spans="9:29">
      <c r="I1994" s="31"/>
      <c r="J1994" s="31"/>
      <c r="K1994" s="163"/>
      <c r="L1994" s="163"/>
      <c r="M1994" s="163"/>
      <c r="N1994" s="163"/>
      <c r="O1994" s="34"/>
      <c r="P1994" s="31"/>
      <c r="AC1994" s="34"/>
    </row>
    <row r="1995" spans="9:29">
      <c r="I1995" s="31"/>
      <c r="J1995" s="31"/>
      <c r="K1995" s="163"/>
      <c r="L1995" s="163"/>
      <c r="M1995" s="163"/>
      <c r="N1995" s="163"/>
      <c r="O1995" s="34"/>
      <c r="P1995" s="31"/>
      <c r="AC1995" s="34"/>
    </row>
    <row r="1996" spans="9:29">
      <c r="I1996" s="31"/>
      <c r="J1996" s="31"/>
      <c r="K1996" s="163"/>
      <c r="L1996" s="163"/>
      <c r="M1996" s="163"/>
      <c r="N1996" s="163"/>
      <c r="O1996" s="34"/>
      <c r="P1996" s="31"/>
      <c r="AC1996" s="34"/>
    </row>
    <row r="1997" spans="9:29">
      <c r="I1997" s="31"/>
      <c r="J1997" s="31"/>
      <c r="K1997" s="163"/>
      <c r="L1997" s="163"/>
      <c r="M1997" s="163"/>
      <c r="N1997" s="163"/>
      <c r="O1997" s="34"/>
      <c r="P1997" s="31"/>
      <c r="AC1997" s="34"/>
    </row>
    <row r="1998" spans="9:29">
      <c r="I1998" s="31"/>
      <c r="J1998" s="31"/>
      <c r="K1998" s="163"/>
      <c r="L1998" s="163"/>
      <c r="M1998" s="163"/>
      <c r="N1998" s="163"/>
      <c r="O1998" s="34"/>
      <c r="P1998" s="31"/>
      <c r="AC1998" s="34"/>
    </row>
    <row r="1999" spans="9:29">
      <c r="I1999" s="31"/>
      <c r="J1999" s="31"/>
      <c r="K1999" s="163"/>
      <c r="L1999" s="163"/>
      <c r="M1999" s="163"/>
      <c r="N1999" s="163"/>
      <c r="O1999" s="34"/>
      <c r="P1999" s="31"/>
      <c r="AC1999" s="34"/>
    </row>
    <row r="2000" spans="9:29">
      <c r="I2000" s="31"/>
      <c r="J2000" s="31"/>
      <c r="K2000" s="163"/>
      <c r="L2000" s="163"/>
      <c r="M2000" s="163"/>
      <c r="N2000" s="163"/>
      <c r="O2000" s="34"/>
      <c r="P2000" s="31"/>
      <c r="AC2000" s="34"/>
    </row>
    <row r="2001" spans="9:29">
      <c r="I2001" s="31"/>
      <c r="J2001" s="31"/>
      <c r="K2001" s="163"/>
      <c r="L2001" s="163"/>
      <c r="M2001" s="163"/>
      <c r="N2001" s="163"/>
      <c r="O2001" s="34"/>
      <c r="P2001" s="31"/>
      <c r="AC2001" s="34"/>
    </row>
    <row r="2002" spans="9:29">
      <c r="I2002" s="31"/>
      <c r="J2002" s="31"/>
      <c r="K2002" s="163"/>
      <c r="L2002" s="163"/>
      <c r="M2002" s="163"/>
      <c r="N2002" s="163"/>
      <c r="O2002" s="34"/>
      <c r="P2002" s="31"/>
      <c r="AC2002" s="34"/>
    </row>
    <row r="2003" spans="9:29">
      <c r="I2003" s="31"/>
      <c r="J2003" s="31"/>
      <c r="K2003" s="163"/>
      <c r="L2003" s="163"/>
      <c r="M2003" s="163"/>
      <c r="N2003" s="163"/>
      <c r="O2003" s="34"/>
      <c r="P2003" s="31"/>
      <c r="AC2003" s="34"/>
    </row>
    <row r="2004" spans="9:29">
      <c r="I2004" s="31"/>
      <c r="J2004" s="31"/>
      <c r="K2004" s="163"/>
      <c r="L2004" s="163"/>
      <c r="M2004" s="163"/>
      <c r="N2004" s="163"/>
      <c r="O2004" s="34"/>
      <c r="P2004" s="31"/>
      <c r="AC2004" s="34"/>
    </row>
    <row r="2005" spans="9:29">
      <c r="I2005" s="31"/>
      <c r="J2005" s="31"/>
      <c r="K2005" s="163"/>
      <c r="L2005" s="163"/>
      <c r="M2005" s="163"/>
      <c r="N2005" s="163"/>
      <c r="O2005" s="34"/>
      <c r="P2005" s="31"/>
      <c r="AC2005" s="34"/>
    </row>
    <row r="2006" spans="9:29">
      <c r="I2006" s="31"/>
      <c r="J2006" s="31"/>
      <c r="K2006" s="163"/>
      <c r="L2006" s="163"/>
      <c r="M2006" s="163"/>
      <c r="N2006" s="163"/>
      <c r="O2006" s="34"/>
      <c r="P2006" s="31"/>
      <c r="AC2006" s="34"/>
    </row>
    <row r="2007" spans="9:29">
      <c r="I2007" s="31"/>
      <c r="J2007" s="31"/>
      <c r="K2007" s="163"/>
      <c r="L2007" s="163"/>
      <c r="M2007" s="163"/>
      <c r="N2007" s="163"/>
      <c r="O2007" s="34"/>
      <c r="P2007" s="31"/>
      <c r="AC2007" s="34"/>
    </row>
    <row r="2008" spans="9:29">
      <c r="I2008" s="31"/>
      <c r="J2008" s="31"/>
      <c r="K2008" s="163"/>
      <c r="L2008" s="163"/>
      <c r="M2008" s="163"/>
      <c r="N2008" s="163"/>
      <c r="O2008" s="34"/>
      <c r="P2008" s="31"/>
      <c r="AC2008" s="34"/>
    </row>
    <row r="2009" spans="9:29">
      <c r="I2009" s="31"/>
      <c r="J2009" s="31"/>
      <c r="K2009" s="163"/>
      <c r="L2009" s="163"/>
      <c r="M2009" s="163"/>
      <c r="N2009" s="163"/>
      <c r="O2009" s="34"/>
      <c r="P2009" s="31"/>
      <c r="AC2009" s="34"/>
    </row>
    <row r="2010" spans="9:29">
      <c r="I2010" s="31"/>
      <c r="J2010" s="31"/>
      <c r="K2010" s="163"/>
      <c r="L2010" s="163"/>
      <c r="M2010" s="163"/>
      <c r="N2010" s="163"/>
      <c r="O2010" s="34"/>
      <c r="P2010" s="31"/>
      <c r="AC2010" s="34"/>
    </row>
    <row r="2011" spans="9:29">
      <c r="I2011" s="31"/>
      <c r="J2011" s="31"/>
      <c r="K2011" s="163"/>
      <c r="L2011" s="163"/>
      <c r="M2011" s="163"/>
      <c r="N2011" s="163"/>
      <c r="O2011" s="34"/>
      <c r="P2011" s="31"/>
      <c r="AC2011" s="34"/>
    </row>
    <row r="2012" spans="9:29">
      <c r="I2012" s="31"/>
      <c r="J2012" s="31"/>
      <c r="K2012" s="163"/>
      <c r="L2012" s="163"/>
      <c r="M2012" s="163"/>
      <c r="N2012" s="163"/>
      <c r="O2012" s="34"/>
      <c r="P2012" s="31"/>
      <c r="AC2012" s="34"/>
    </row>
    <row r="2013" spans="9:29">
      <c r="I2013" s="31"/>
      <c r="J2013" s="31"/>
      <c r="K2013" s="163"/>
      <c r="L2013" s="163"/>
      <c r="M2013" s="163"/>
      <c r="N2013" s="163"/>
      <c r="O2013" s="34"/>
      <c r="P2013" s="31"/>
      <c r="AC2013" s="34"/>
    </row>
    <row r="2014" spans="9:29">
      <c r="I2014" s="31"/>
      <c r="J2014" s="31"/>
      <c r="K2014" s="163"/>
      <c r="L2014" s="163"/>
      <c r="M2014" s="163"/>
      <c r="N2014" s="163"/>
      <c r="O2014" s="34"/>
      <c r="P2014" s="31"/>
      <c r="AC2014" s="34"/>
    </row>
    <row r="2015" spans="9:29">
      <c r="I2015" s="31"/>
      <c r="J2015" s="31"/>
      <c r="K2015" s="163"/>
      <c r="L2015" s="163"/>
      <c r="M2015" s="163"/>
      <c r="N2015" s="163"/>
      <c r="O2015" s="34"/>
      <c r="P2015" s="31"/>
      <c r="AC2015" s="34"/>
    </row>
    <row r="2016" spans="9:29">
      <c r="I2016" s="31"/>
      <c r="J2016" s="31"/>
      <c r="K2016" s="163"/>
      <c r="L2016" s="163"/>
      <c r="M2016" s="163"/>
      <c r="N2016" s="163"/>
      <c r="O2016" s="34"/>
      <c r="P2016" s="31"/>
      <c r="AC2016" s="34"/>
    </row>
    <row r="2017" spans="9:29">
      <c r="I2017" s="31"/>
      <c r="J2017" s="31"/>
      <c r="K2017" s="163"/>
      <c r="L2017" s="163"/>
      <c r="M2017" s="163"/>
      <c r="N2017" s="163"/>
      <c r="O2017" s="34"/>
      <c r="P2017" s="31"/>
      <c r="AC2017" s="34"/>
    </row>
    <row r="2018" spans="9:29">
      <c r="I2018" s="31"/>
      <c r="J2018" s="31"/>
      <c r="K2018" s="163"/>
      <c r="L2018" s="163"/>
      <c r="M2018" s="163"/>
      <c r="N2018" s="163"/>
      <c r="O2018" s="34"/>
      <c r="P2018" s="31"/>
      <c r="AC2018" s="34"/>
    </row>
    <row r="2019" spans="9:29">
      <c r="I2019" s="31"/>
      <c r="J2019" s="31"/>
      <c r="K2019" s="163"/>
      <c r="L2019" s="163"/>
      <c r="M2019" s="163"/>
      <c r="N2019" s="163"/>
      <c r="O2019" s="34"/>
      <c r="P2019" s="31"/>
      <c r="AC2019" s="34"/>
    </row>
    <row r="2020" spans="9:29">
      <c r="I2020" s="31"/>
      <c r="J2020" s="31"/>
      <c r="K2020" s="163"/>
      <c r="L2020" s="163"/>
      <c r="M2020" s="163"/>
      <c r="N2020" s="163"/>
      <c r="O2020" s="34"/>
      <c r="P2020" s="31"/>
      <c r="AC2020" s="34"/>
    </row>
    <row r="2021" spans="9:29">
      <c r="I2021" s="31"/>
      <c r="J2021" s="31"/>
      <c r="K2021" s="163"/>
      <c r="L2021" s="163"/>
      <c r="M2021" s="163"/>
      <c r="N2021" s="163"/>
      <c r="O2021" s="34"/>
      <c r="P2021" s="31"/>
      <c r="AC2021" s="34"/>
    </row>
    <row r="2022" spans="9:29">
      <c r="I2022" s="31"/>
      <c r="J2022" s="31"/>
      <c r="K2022" s="163"/>
      <c r="L2022" s="163"/>
      <c r="M2022" s="163"/>
      <c r="N2022" s="163"/>
      <c r="O2022" s="34"/>
      <c r="P2022" s="31"/>
      <c r="AC2022" s="34"/>
    </row>
    <row r="2023" spans="9:29">
      <c r="I2023" s="31"/>
      <c r="J2023" s="31"/>
      <c r="K2023" s="163"/>
      <c r="L2023" s="163"/>
      <c r="M2023" s="163"/>
      <c r="N2023" s="163"/>
      <c r="O2023" s="34"/>
      <c r="P2023" s="31"/>
      <c r="AC2023" s="34"/>
    </row>
    <row r="2024" spans="9:29">
      <c r="I2024" s="31"/>
      <c r="J2024" s="31"/>
      <c r="K2024" s="163"/>
      <c r="L2024" s="163"/>
      <c r="M2024" s="163"/>
      <c r="N2024" s="163"/>
      <c r="O2024" s="34"/>
      <c r="P2024" s="31"/>
      <c r="AC2024" s="34"/>
    </row>
    <row r="2025" spans="9:29">
      <c r="I2025" s="31"/>
      <c r="J2025" s="31"/>
      <c r="K2025" s="163"/>
      <c r="L2025" s="163"/>
      <c r="M2025" s="163"/>
      <c r="N2025" s="163"/>
      <c r="O2025" s="34"/>
      <c r="P2025" s="31"/>
      <c r="AC2025" s="34"/>
    </row>
    <row r="2026" spans="9:29">
      <c r="I2026" s="31"/>
      <c r="J2026" s="31"/>
      <c r="K2026" s="163"/>
      <c r="L2026" s="163"/>
      <c r="M2026" s="163"/>
      <c r="N2026" s="163"/>
      <c r="O2026" s="34"/>
      <c r="P2026" s="31"/>
      <c r="AC2026" s="34"/>
    </row>
    <row r="2027" spans="9:29">
      <c r="I2027" s="31"/>
      <c r="J2027" s="31"/>
      <c r="K2027" s="163"/>
      <c r="L2027" s="163"/>
      <c r="M2027" s="163"/>
      <c r="N2027" s="163"/>
      <c r="O2027" s="34"/>
      <c r="P2027" s="31"/>
      <c r="AC2027" s="34"/>
    </row>
    <row r="2028" spans="9:29">
      <c r="I2028" s="31"/>
      <c r="J2028" s="31"/>
      <c r="K2028" s="163"/>
      <c r="L2028" s="163"/>
      <c r="M2028" s="163"/>
      <c r="N2028" s="163"/>
      <c r="O2028" s="34"/>
      <c r="P2028" s="31"/>
      <c r="AC2028" s="34"/>
    </row>
    <row r="2029" spans="9:29">
      <c r="I2029" s="31"/>
      <c r="J2029" s="31"/>
      <c r="K2029" s="163"/>
      <c r="L2029" s="163"/>
      <c r="M2029" s="163"/>
      <c r="N2029" s="163"/>
      <c r="O2029" s="34"/>
      <c r="P2029" s="31"/>
      <c r="AC2029" s="34"/>
    </row>
    <row r="2030" spans="9:29">
      <c r="I2030" s="31"/>
      <c r="J2030" s="31"/>
      <c r="K2030" s="163"/>
      <c r="L2030" s="163"/>
      <c r="M2030" s="163"/>
      <c r="N2030" s="163"/>
      <c r="O2030" s="34"/>
      <c r="P2030" s="31"/>
      <c r="AC2030" s="34"/>
    </row>
    <row r="2031" spans="9:29">
      <c r="I2031" s="31"/>
      <c r="J2031" s="31"/>
      <c r="K2031" s="163"/>
      <c r="L2031" s="163"/>
      <c r="M2031" s="163"/>
      <c r="N2031" s="163"/>
      <c r="O2031" s="34"/>
      <c r="P2031" s="31"/>
      <c r="AC2031" s="34"/>
    </row>
    <row r="2032" spans="9:29">
      <c r="I2032" s="31"/>
      <c r="J2032" s="31"/>
      <c r="K2032" s="163"/>
      <c r="L2032" s="163"/>
      <c r="M2032" s="163"/>
      <c r="N2032" s="163"/>
      <c r="O2032" s="34"/>
      <c r="P2032" s="31"/>
      <c r="AC2032" s="34"/>
    </row>
    <row r="2033" spans="9:29">
      <c r="I2033" s="31"/>
      <c r="J2033" s="31"/>
      <c r="K2033" s="163"/>
      <c r="L2033" s="163"/>
      <c r="M2033" s="163"/>
      <c r="N2033" s="163"/>
      <c r="O2033" s="34"/>
      <c r="P2033" s="31"/>
      <c r="AC2033" s="34"/>
    </row>
    <row r="2034" spans="9:29">
      <c r="I2034" s="31"/>
      <c r="J2034" s="31"/>
      <c r="K2034" s="163"/>
      <c r="L2034" s="163"/>
      <c r="M2034" s="163"/>
      <c r="N2034" s="163"/>
      <c r="O2034" s="34"/>
      <c r="P2034" s="31"/>
      <c r="AC2034" s="34"/>
    </row>
    <row r="2035" spans="9:29">
      <c r="I2035" s="31"/>
      <c r="J2035" s="31"/>
      <c r="K2035" s="163"/>
      <c r="L2035" s="163"/>
      <c r="M2035" s="163"/>
      <c r="N2035" s="163"/>
      <c r="O2035" s="34"/>
      <c r="P2035" s="31"/>
      <c r="AC2035" s="34"/>
    </row>
    <row r="2036" spans="9:29">
      <c r="I2036" s="31"/>
      <c r="J2036" s="31"/>
      <c r="K2036" s="163"/>
      <c r="L2036" s="163"/>
      <c r="M2036" s="163"/>
      <c r="N2036" s="163"/>
      <c r="O2036" s="34"/>
      <c r="P2036" s="31"/>
      <c r="AC2036" s="34"/>
    </row>
    <row r="2037" spans="9:29">
      <c r="I2037" s="31"/>
      <c r="J2037" s="31"/>
      <c r="K2037" s="163"/>
      <c r="L2037" s="163"/>
      <c r="M2037" s="163"/>
      <c r="N2037" s="163"/>
      <c r="O2037" s="34"/>
      <c r="P2037" s="31"/>
      <c r="AC2037" s="34"/>
    </row>
    <row r="2038" spans="9:29">
      <c r="I2038" s="31"/>
      <c r="J2038" s="31"/>
      <c r="K2038" s="163"/>
      <c r="L2038" s="163"/>
      <c r="M2038" s="163"/>
      <c r="N2038" s="163"/>
      <c r="O2038" s="34"/>
      <c r="P2038" s="31"/>
      <c r="AC2038" s="34"/>
    </row>
    <row r="2039" spans="9:29">
      <c r="I2039" s="31"/>
      <c r="J2039" s="31"/>
      <c r="K2039" s="163"/>
      <c r="L2039" s="163"/>
      <c r="M2039" s="163"/>
      <c r="N2039" s="163"/>
      <c r="O2039" s="34"/>
      <c r="P2039" s="31"/>
      <c r="AC2039" s="34"/>
    </row>
    <row r="2040" spans="9:29">
      <c r="I2040" s="31"/>
      <c r="J2040" s="31"/>
      <c r="K2040" s="163"/>
      <c r="L2040" s="163"/>
      <c r="M2040" s="163"/>
      <c r="N2040" s="163"/>
      <c r="O2040" s="34"/>
      <c r="P2040" s="31"/>
      <c r="AC2040" s="34"/>
    </row>
    <row r="2041" spans="9:29">
      <c r="I2041" s="31"/>
      <c r="J2041" s="31"/>
      <c r="K2041" s="163"/>
      <c r="L2041" s="163"/>
      <c r="M2041" s="163"/>
      <c r="N2041" s="163"/>
      <c r="O2041" s="34"/>
      <c r="P2041" s="31"/>
      <c r="AC2041" s="34"/>
    </row>
    <row r="2042" spans="9:29">
      <c r="I2042" s="31"/>
      <c r="J2042" s="31"/>
      <c r="K2042" s="163"/>
      <c r="L2042" s="163"/>
      <c r="M2042" s="163"/>
      <c r="N2042" s="163"/>
      <c r="O2042" s="34"/>
      <c r="P2042" s="31"/>
      <c r="AC2042" s="34"/>
    </row>
    <row r="2043" spans="9:29">
      <c r="I2043" s="31"/>
      <c r="J2043" s="31"/>
      <c r="K2043" s="163"/>
      <c r="L2043" s="163"/>
      <c r="M2043" s="163"/>
      <c r="N2043" s="163"/>
      <c r="O2043" s="34"/>
      <c r="P2043" s="31"/>
      <c r="AC2043" s="34"/>
    </row>
    <row r="2044" spans="9:29">
      <c r="I2044" s="31"/>
      <c r="J2044" s="31"/>
      <c r="K2044" s="163"/>
      <c r="L2044" s="163"/>
      <c r="M2044" s="163"/>
      <c r="N2044" s="163"/>
      <c r="O2044" s="34"/>
      <c r="P2044" s="31"/>
      <c r="AC2044" s="34"/>
    </row>
    <row r="2045" spans="9:29">
      <c r="I2045" s="31"/>
      <c r="J2045" s="31"/>
      <c r="K2045" s="163"/>
      <c r="L2045" s="163"/>
      <c r="M2045" s="163"/>
      <c r="N2045" s="163"/>
      <c r="O2045" s="34"/>
      <c r="P2045" s="31"/>
      <c r="AC2045" s="34"/>
    </row>
    <row r="2046" spans="9:29">
      <c r="I2046" s="31"/>
      <c r="J2046" s="31"/>
      <c r="K2046" s="163"/>
      <c r="L2046" s="163"/>
      <c r="M2046" s="163"/>
      <c r="N2046" s="163"/>
      <c r="O2046" s="34"/>
      <c r="P2046" s="31"/>
      <c r="AC2046" s="34"/>
    </row>
    <row r="2047" spans="9:29">
      <c r="I2047" s="31"/>
      <c r="J2047" s="31"/>
      <c r="K2047" s="163"/>
      <c r="L2047" s="163"/>
      <c r="M2047" s="163"/>
      <c r="N2047" s="163"/>
      <c r="O2047" s="34"/>
      <c r="P2047" s="31"/>
      <c r="AC2047" s="34"/>
    </row>
    <row r="2048" spans="9:29">
      <c r="I2048" s="31"/>
      <c r="J2048" s="31"/>
      <c r="K2048" s="163"/>
      <c r="L2048" s="163"/>
      <c r="M2048" s="163"/>
      <c r="N2048" s="163"/>
      <c r="O2048" s="34"/>
      <c r="P2048" s="31"/>
      <c r="AC2048" s="34"/>
    </row>
    <row r="2049" spans="9:29">
      <c r="I2049" s="31"/>
      <c r="J2049" s="31"/>
      <c r="K2049" s="163"/>
      <c r="L2049" s="163"/>
      <c r="M2049" s="163"/>
      <c r="N2049" s="163"/>
      <c r="O2049" s="34"/>
      <c r="P2049" s="31"/>
      <c r="AC2049" s="34"/>
    </row>
    <row r="2050" spans="9:29">
      <c r="I2050" s="31"/>
      <c r="J2050" s="31"/>
      <c r="K2050" s="163"/>
      <c r="L2050" s="163"/>
      <c r="M2050" s="163"/>
      <c r="N2050" s="163"/>
      <c r="O2050" s="34"/>
      <c r="P2050" s="31"/>
      <c r="AC2050" s="34"/>
    </row>
    <row r="2051" spans="9:29">
      <c r="I2051" s="31"/>
      <c r="J2051" s="31"/>
      <c r="K2051" s="163"/>
      <c r="L2051" s="163"/>
      <c r="M2051" s="163"/>
      <c r="N2051" s="163"/>
      <c r="O2051" s="34"/>
      <c r="P2051" s="31"/>
      <c r="AC2051" s="34"/>
    </row>
    <row r="2052" spans="9:29">
      <c r="I2052" s="31"/>
      <c r="J2052" s="31"/>
      <c r="K2052" s="163"/>
      <c r="L2052" s="163"/>
      <c r="M2052" s="163"/>
      <c r="N2052" s="163"/>
      <c r="O2052" s="34"/>
      <c r="P2052" s="31"/>
      <c r="AC2052" s="34"/>
    </row>
    <row r="2053" spans="9:29">
      <c r="I2053" s="31"/>
      <c r="J2053" s="31"/>
      <c r="K2053" s="163"/>
      <c r="L2053" s="163"/>
      <c r="M2053" s="163"/>
      <c r="N2053" s="163"/>
      <c r="O2053" s="34"/>
      <c r="P2053" s="31"/>
      <c r="AC2053" s="34"/>
    </row>
    <row r="2054" spans="9:29">
      <c r="I2054" s="31"/>
      <c r="J2054" s="31"/>
      <c r="K2054" s="163"/>
      <c r="L2054" s="163"/>
      <c r="M2054" s="163"/>
      <c r="N2054" s="163"/>
      <c r="O2054" s="34"/>
      <c r="P2054" s="31"/>
      <c r="AC2054" s="34"/>
    </row>
    <row r="2055" spans="9:29">
      <c r="I2055" s="31"/>
      <c r="J2055" s="31"/>
      <c r="K2055" s="163"/>
      <c r="L2055" s="163"/>
      <c r="M2055" s="163"/>
      <c r="N2055" s="163"/>
      <c r="O2055" s="34"/>
      <c r="P2055" s="31"/>
      <c r="AC2055" s="34"/>
    </row>
    <row r="2056" spans="9:29">
      <c r="I2056" s="31"/>
      <c r="J2056" s="31"/>
      <c r="K2056" s="163"/>
      <c r="L2056" s="163"/>
      <c r="M2056" s="163"/>
      <c r="N2056" s="163"/>
      <c r="O2056" s="34"/>
      <c r="P2056" s="31"/>
      <c r="AC2056" s="34"/>
    </row>
    <row r="2057" spans="9:29">
      <c r="I2057" s="31"/>
      <c r="J2057" s="31"/>
      <c r="K2057" s="163"/>
      <c r="L2057" s="163"/>
      <c r="M2057" s="163"/>
      <c r="N2057" s="163"/>
      <c r="O2057" s="34"/>
      <c r="P2057" s="31"/>
      <c r="AC2057" s="34"/>
    </row>
    <row r="2058" spans="9:29">
      <c r="I2058" s="31"/>
      <c r="J2058" s="31"/>
      <c r="K2058" s="163"/>
      <c r="L2058" s="163"/>
      <c r="M2058" s="163"/>
      <c r="N2058" s="163"/>
      <c r="O2058" s="34"/>
      <c r="P2058" s="31"/>
      <c r="AC2058" s="34"/>
    </row>
    <row r="2059" spans="9:29">
      <c r="I2059" s="31"/>
      <c r="J2059" s="31"/>
      <c r="K2059" s="163"/>
      <c r="L2059" s="163"/>
      <c r="M2059" s="163"/>
      <c r="N2059" s="163"/>
      <c r="O2059" s="34"/>
      <c r="P2059" s="31"/>
      <c r="AC2059" s="34"/>
    </row>
    <row r="2060" spans="9:29">
      <c r="I2060" s="31"/>
      <c r="J2060" s="31"/>
      <c r="K2060" s="163"/>
      <c r="L2060" s="163"/>
      <c r="M2060" s="163"/>
      <c r="N2060" s="163"/>
      <c r="O2060" s="34"/>
      <c r="P2060" s="31"/>
      <c r="AC2060" s="34"/>
    </row>
    <row r="2061" spans="9:29">
      <c r="I2061" s="31"/>
      <c r="J2061" s="31"/>
      <c r="K2061" s="163"/>
      <c r="L2061" s="163"/>
      <c r="M2061" s="163"/>
      <c r="N2061" s="163"/>
      <c r="O2061" s="34"/>
      <c r="P2061" s="31"/>
      <c r="AC2061" s="34"/>
    </row>
    <row r="2062" spans="9:29">
      <c r="I2062" s="31"/>
      <c r="J2062" s="31"/>
      <c r="K2062" s="163"/>
      <c r="L2062" s="163"/>
      <c r="M2062" s="163"/>
      <c r="N2062" s="163"/>
      <c r="O2062" s="34"/>
      <c r="P2062" s="31"/>
      <c r="AC2062" s="34"/>
    </row>
    <row r="2063" spans="9:29">
      <c r="I2063" s="31"/>
      <c r="J2063" s="31"/>
      <c r="K2063" s="163"/>
      <c r="L2063" s="163"/>
      <c r="M2063" s="163"/>
      <c r="N2063" s="163"/>
      <c r="O2063" s="34"/>
      <c r="P2063" s="31"/>
      <c r="AC2063" s="34"/>
    </row>
    <row r="2064" spans="9:29">
      <c r="I2064" s="31"/>
      <c r="J2064" s="31"/>
      <c r="K2064" s="163"/>
      <c r="L2064" s="163"/>
      <c r="M2064" s="163"/>
      <c r="N2064" s="163"/>
      <c r="O2064" s="34"/>
      <c r="P2064" s="31"/>
      <c r="AC2064" s="34"/>
    </row>
    <row r="2065" spans="9:29">
      <c r="I2065" s="31"/>
      <c r="J2065" s="31"/>
      <c r="K2065" s="163"/>
      <c r="L2065" s="163"/>
      <c r="M2065" s="163"/>
      <c r="N2065" s="163"/>
      <c r="O2065" s="34"/>
      <c r="P2065" s="31"/>
      <c r="AC2065" s="34"/>
    </row>
    <row r="2066" spans="9:29">
      <c r="I2066" s="31"/>
      <c r="J2066" s="31"/>
      <c r="K2066" s="163"/>
      <c r="L2066" s="163"/>
      <c r="M2066" s="163"/>
      <c r="N2066" s="163"/>
      <c r="O2066" s="34"/>
      <c r="P2066" s="31"/>
      <c r="AC2066" s="34"/>
    </row>
    <row r="2067" spans="9:29">
      <c r="I2067" s="31"/>
      <c r="J2067" s="31"/>
      <c r="K2067" s="163"/>
      <c r="L2067" s="163"/>
      <c r="M2067" s="163"/>
      <c r="N2067" s="163"/>
      <c r="O2067" s="34"/>
      <c r="P2067" s="31"/>
      <c r="AC2067" s="34"/>
    </row>
    <row r="2068" spans="9:29">
      <c r="I2068" s="31"/>
      <c r="J2068" s="31"/>
      <c r="K2068" s="163"/>
      <c r="L2068" s="163"/>
      <c r="M2068" s="163"/>
      <c r="N2068" s="163"/>
      <c r="O2068" s="34"/>
      <c r="P2068" s="31"/>
      <c r="AC2068" s="34"/>
    </row>
    <row r="2069" spans="9:29">
      <c r="I2069" s="31"/>
      <c r="J2069" s="31"/>
      <c r="K2069" s="163"/>
      <c r="L2069" s="163"/>
      <c r="M2069" s="163"/>
      <c r="N2069" s="163"/>
      <c r="O2069" s="34"/>
      <c r="P2069" s="31"/>
      <c r="AC2069" s="34"/>
    </row>
    <row r="2070" spans="9:29">
      <c r="I2070" s="31"/>
      <c r="J2070" s="31"/>
      <c r="K2070" s="163"/>
      <c r="L2070" s="163"/>
      <c r="M2070" s="163"/>
      <c r="N2070" s="163"/>
      <c r="O2070" s="34"/>
      <c r="P2070" s="31"/>
      <c r="AC2070" s="34"/>
    </row>
    <row r="2071" spans="9:29">
      <c r="I2071" s="31"/>
      <c r="J2071" s="31"/>
      <c r="K2071" s="163"/>
      <c r="L2071" s="163"/>
      <c r="M2071" s="163"/>
      <c r="N2071" s="163"/>
      <c r="O2071" s="34"/>
      <c r="P2071" s="31"/>
      <c r="AC2071" s="34"/>
    </row>
    <row r="2072" spans="9:29">
      <c r="I2072" s="31"/>
      <c r="J2072" s="31"/>
      <c r="K2072" s="163"/>
      <c r="L2072" s="163"/>
      <c r="M2072" s="163"/>
      <c r="N2072" s="163"/>
      <c r="O2072" s="34"/>
      <c r="P2072" s="31"/>
      <c r="AC2072" s="34"/>
    </row>
    <row r="2073" spans="9:29">
      <c r="I2073" s="31"/>
      <c r="J2073" s="31"/>
      <c r="K2073" s="163"/>
      <c r="L2073" s="163"/>
      <c r="M2073" s="163"/>
      <c r="N2073" s="163"/>
      <c r="O2073" s="34"/>
      <c r="P2073" s="31"/>
      <c r="AC2073" s="34"/>
    </row>
    <row r="2074" spans="9:29">
      <c r="I2074" s="31"/>
      <c r="J2074" s="31"/>
      <c r="K2074" s="163"/>
      <c r="L2074" s="163"/>
      <c r="M2074" s="163"/>
      <c r="N2074" s="163"/>
      <c r="O2074" s="34"/>
      <c r="P2074" s="31"/>
      <c r="AC2074" s="34"/>
    </row>
    <row r="2075" spans="9:29">
      <c r="I2075" s="31"/>
      <c r="J2075" s="31"/>
      <c r="K2075" s="163"/>
      <c r="L2075" s="163"/>
      <c r="M2075" s="163"/>
      <c r="N2075" s="163"/>
      <c r="O2075" s="34"/>
      <c r="P2075" s="31"/>
      <c r="AC2075" s="34"/>
    </row>
    <row r="2076" spans="9:29">
      <c r="I2076" s="31"/>
      <c r="J2076" s="31"/>
      <c r="K2076" s="163"/>
      <c r="L2076" s="163"/>
      <c r="M2076" s="163"/>
      <c r="N2076" s="163"/>
      <c r="O2076" s="34"/>
      <c r="P2076" s="31"/>
      <c r="AC2076" s="34"/>
    </row>
    <row r="2077" spans="9:29">
      <c r="I2077" s="31"/>
      <c r="J2077" s="31"/>
      <c r="K2077" s="163"/>
      <c r="L2077" s="163"/>
      <c r="M2077" s="163"/>
      <c r="N2077" s="163"/>
      <c r="O2077" s="34"/>
      <c r="P2077" s="31"/>
      <c r="AC2077" s="34"/>
    </row>
    <row r="2078" spans="9:29">
      <c r="I2078" s="31"/>
      <c r="J2078" s="31"/>
      <c r="K2078" s="163"/>
      <c r="L2078" s="163"/>
      <c r="M2078" s="163"/>
      <c r="N2078" s="163"/>
      <c r="O2078" s="34"/>
      <c r="P2078" s="31"/>
      <c r="AC2078" s="34"/>
    </row>
    <row r="2079" spans="9:29">
      <c r="I2079" s="31"/>
      <c r="J2079" s="31"/>
      <c r="K2079" s="163"/>
      <c r="L2079" s="163"/>
      <c r="M2079" s="163"/>
      <c r="N2079" s="163"/>
      <c r="O2079" s="34"/>
      <c r="P2079" s="31"/>
      <c r="AC2079" s="34"/>
    </row>
    <row r="2080" spans="9:29">
      <c r="I2080" s="31"/>
      <c r="J2080" s="31"/>
      <c r="K2080" s="163"/>
      <c r="L2080" s="163"/>
      <c r="M2080" s="163"/>
      <c r="N2080" s="163"/>
      <c r="O2080" s="34"/>
      <c r="P2080" s="31"/>
      <c r="AC2080" s="34"/>
    </row>
    <row r="2081" spans="9:29">
      <c r="I2081" s="31"/>
      <c r="J2081" s="31"/>
      <c r="K2081" s="163"/>
      <c r="L2081" s="163"/>
      <c r="M2081" s="163"/>
      <c r="N2081" s="163"/>
      <c r="O2081" s="34"/>
      <c r="P2081" s="31"/>
      <c r="AC2081" s="34"/>
    </row>
    <row r="2082" spans="9:29">
      <c r="I2082" s="31"/>
      <c r="J2082" s="31"/>
      <c r="K2082" s="163"/>
      <c r="L2082" s="163"/>
      <c r="M2082" s="163"/>
      <c r="N2082" s="163"/>
      <c r="O2082" s="34"/>
      <c r="P2082" s="31"/>
      <c r="AC2082" s="34"/>
    </row>
    <row r="2083" spans="9:29">
      <c r="I2083" s="31"/>
      <c r="J2083" s="31"/>
      <c r="K2083" s="163"/>
      <c r="L2083" s="163"/>
      <c r="M2083" s="163"/>
      <c r="N2083" s="163"/>
      <c r="O2083" s="34"/>
      <c r="P2083" s="31"/>
      <c r="AC2083" s="34"/>
    </row>
    <row r="2084" spans="9:29">
      <c r="I2084" s="31"/>
      <c r="J2084" s="31"/>
      <c r="K2084" s="163"/>
      <c r="L2084" s="163"/>
      <c r="M2084" s="163"/>
      <c r="N2084" s="163"/>
      <c r="O2084" s="34"/>
      <c r="P2084" s="31"/>
      <c r="AC2084" s="34"/>
    </row>
    <row r="2085" spans="9:29">
      <c r="I2085" s="31"/>
      <c r="J2085" s="31"/>
      <c r="K2085" s="163"/>
      <c r="L2085" s="163"/>
      <c r="M2085" s="163"/>
      <c r="N2085" s="163"/>
      <c r="O2085" s="34"/>
      <c r="P2085" s="31"/>
      <c r="AC2085" s="34"/>
    </row>
    <row r="2086" spans="9:29">
      <c r="I2086" s="31"/>
      <c r="J2086" s="31"/>
      <c r="K2086" s="163"/>
      <c r="L2086" s="163"/>
      <c r="M2086" s="163"/>
      <c r="N2086" s="163"/>
      <c r="O2086" s="34"/>
      <c r="P2086" s="31"/>
      <c r="AC2086" s="34"/>
    </row>
    <row r="2087" spans="9:29">
      <c r="I2087" s="31"/>
      <c r="J2087" s="31"/>
      <c r="K2087" s="163"/>
      <c r="L2087" s="163"/>
      <c r="M2087" s="163"/>
      <c r="N2087" s="163"/>
      <c r="O2087" s="34"/>
      <c r="P2087" s="31"/>
      <c r="AC2087" s="34"/>
    </row>
    <row r="2088" spans="9:29">
      <c r="I2088" s="31"/>
      <c r="J2088" s="31"/>
      <c r="K2088" s="163"/>
      <c r="L2088" s="163"/>
      <c r="M2088" s="163"/>
      <c r="N2088" s="163"/>
      <c r="O2088" s="34"/>
      <c r="P2088" s="31"/>
      <c r="AC2088" s="34"/>
    </row>
    <row r="2089" spans="9:29">
      <c r="I2089" s="31"/>
      <c r="J2089" s="31"/>
      <c r="K2089" s="163"/>
      <c r="L2089" s="163"/>
      <c r="M2089" s="163"/>
      <c r="N2089" s="163"/>
      <c r="O2089" s="34"/>
      <c r="P2089" s="31"/>
      <c r="AC2089" s="34"/>
    </row>
    <row r="2090" spans="9:29">
      <c r="I2090" s="31"/>
      <c r="J2090" s="31"/>
      <c r="K2090" s="163"/>
      <c r="L2090" s="163"/>
      <c r="M2090" s="163"/>
      <c r="N2090" s="163"/>
      <c r="O2090" s="34"/>
      <c r="P2090" s="31"/>
      <c r="AC2090" s="34"/>
    </row>
    <row r="2091" spans="9:29">
      <c r="I2091" s="31"/>
      <c r="J2091" s="31"/>
      <c r="K2091" s="163"/>
      <c r="L2091" s="163"/>
      <c r="M2091" s="163"/>
      <c r="N2091" s="163"/>
      <c r="O2091" s="34"/>
      <c r="P2091" s="31"/>
      <c r="AC2091" s="34"/>
    </row>
    <row r="2092" spans="9:29">
      <c r="I2092" s="31"/>
      <c r="J2092" s="31"/>
      <c r="K2092" s="163"/>
      <c r="L2092" s="163"/>
      <c r="M2092" s="163"/>
      <c r="N2092" s="163"/>
      <c r="O2092" s="34"/>
      <c r="P2092" s="31"/>
      <c r="AC2092" s="34"/>
    </row>
    <row r="2093" spans="9:29">
      <c r="I2093" s="31"/>
      <c r="J2093" s="31"/>
      <c r="K2093" s="163"/>
      <c r="L2093" s="163"/>
      <c r="M2093" s="163"/>
      <c r="N2093" s="163"/>
      <c r="O2093" s="34"/>
      <c r="P2093" s="31"/>
      <c r="AC2093" s="34"/>
    </row>
    <row r="2094" spans="9:29">
      <c r="I2094" s="31"/>
      <c r="J2094" s="31"/>
      <c r="K2094" s="163"/>
      <c r="L2094" s="163"/>
      <c r="M2094" s="163"/>
      <c r="N2094" s="163"/>
      <c r="O2094" s="34"/>
      <c r="P2094" s="31"/>
      <c r="AC2094" s="34"/>
    </row>
    <row r="2095" spans="9:29">
      <c r="I2095" s="31"/>
      <c r="J2095" s="31"/>
      <c r="K2095" s="163"/>
      <c r="L2095" s="163"/>
      <c r="M2095" s="163"/>
      <c r="N2095" s="163"/>
      <c r="O2095" s="34"/>
      <c r="P2095" s="31"/>
      <c r="AC2095" s="34"/>
    </row>
    <row r="2096" spans="9:29">
      <c r="I2096" s="31"/>
      <c r="J2096" s="31"/>
      <c r="K2096" s="163"/>
      <c r="L2096" s="163"/>
      <c r="M2096" s="163"/>
      <c r="N2096" s="163"/>
      <c r="O2096" s="34"/>
      <c r="P2096" s="31"/>
      <c r="AC2096" s="34"/>
    </row>
    <row r="2097" spans="9:29">
      <c r="I2097" s="31"/>
      <c r="J2097" s="31"/>
      <c r="K2097" s="163"/>
      <c r="L2097" s="163"/>
      <c r="M2097" s="163"/>
      <c r="N2097" s="163"/>
      <c r="O2097" s="34"/>
      <c r="P2097" s="31"/>
      <c r="AC2097" s="34"/>
    </row>
    <row r="2098" spans="9:29">
      <c r="I2098" s="31"/>
      <c r="J2098" s="31"/>
      <c r="K2098" s="163"/>
      <c r="L2098" s="163"/>
      <c r="M2098" s="163"/>
      <c r="N2098" s="163"/>
      <c r="O2098" s="34"/>
      <c r="P2098" s="31"/>
      <c r="AC2098" s="34"/>
    </row>
    <row r="2099" spans="9:29">
      <c r="I2099" s="31"/>
      <c r="J2099" s="31"/>
      <c r="K2099" s="163"/>
      <c r="L2099" s="163"/>
      <c r="M2099" s="163"/>
      <c r="N2099" s="163"/>
      <c r="O2099" s="34"/>
      <c r="P2099" s="31"/>
      <c r="AC2099" s="34"/>
    </row>
    <row r="2100" spans="9:29">
      <c r="I2100" s="31"/>
      <c r="J2100" s="31"/>
      <c r="K2100" s="163"/>
      <c r="L2100" s="163"/>
      <c r="M2100" s="163"/>
      <c r="N2100" s="163"/>
      <c r="O2100" s="34"/>
      <c r="P2100" s="31"/>
      <c r="AC2100" s="34"/>
    </row>
    <row r="2101" spans="9:29">
      <c r="I2101" s="31"/>
      <c r="J2101" s="31"/>
      <c r="K2101" s="163"/>
      <c r="L2101" s="163"/>
      <c r="M2101" s="163"/>
      <c r="N2101" s="163"/>
      <c r="O2101" s="34"/>
      <c r="P2101" s="31"/>
      <c r="AC2101" s="34"/>
    </row>
    <row r="2102" spans="9:29">
      <c r="I2102" s="31"/>
      <c r="J2102" s="31"/>
      <c r="K2102" s="163"/>
      <c r="L2102" s="163"/>
      <c r="M2102" s="163"/>
      <c r="N2102" s="163"/>
      <c r="O2102" s="34"/>
      <c r="P2102" s="31"/>
      <c r="AC2102" s="34"/>
    </row>
    <row r="2103" spans="9:29">
      <c r="I2103" s="31"/>
      <c r="J2103" s="31"/>
      <c r="K2103" s="163"/>
      <c r="L2103" s="163"/>
      <c r="M2103" s="163"/>
      <c r="N2103" s="163"/>
      <c r="O2103" s="34"/>
      <c r="P2103" s="31"/>
      <c r="AC2103" s="34"/>
    </row>
    <row r="2104" spans="9:29">
      <c r="I2104" s="31"/>
      <c r="J2104" s="31"/>
      <c r="K2104" s="163"/>
      <c r="L2104" s="163"/>
      <c r="M2104" s="163"/>
      <c r="N2104" s="163"/>
      <c r="O2104" s="34"/>
      <c r="P2104" s="31"/>
      <c r="AC2104" s="34"/>
    </row>
    <row r="2105" spans="9:29">
      <c r="I2105" s="31"/>
      <c r="J2105" s="31"/>
      <c r="K2105" s="163"/>
      <c r="L2105" s="163"/>
      <c r="M2105" s="163"/>
      <c r="N2105" s="163"/>
      <c r="O2105" s="34"/>
      <c r="P2105" s="31"/>
      <c r="AC2105" s="34"/>
    </row>
    <row r="2106" spans="9:29">
      <c r="I2106" s="31"/>
      <c r="J2106" s="31"/>
      <c r="K2106" s="163"/>
      <c r="L2106" s="163"/>
      <c r="M2106" s="163"/>
      <c r="N2106" s="163"/>
      <c r="O2106" s="34"/>
      <c r="P2106" s="31"/>
      <c r="AC2106" s="34"/>
    </row>
    <row r="2107" spans="9:29">
      <c r="I2107" s="31"/>
      <c r="J2107" s="31"/>
      <c r="K2107" s="163"/>
      <c r="L2107" s="163"/>
      <c r="M2107" s="163"/>
      <c r="N2107" s="163"/>
      <c r="O2107" s="34"/>
      <c r="P2107" s="31"/>
      <c r="AC2107" s="34"/>
    </row>
    <row r="2108" spans="9:29">
      <c r="I2108" s="31"/>
      <c r="J2108" s="31"/>
      <c r="K2108" s="163"/>
      <c r="L2108" s="163"/>
      <c r="M2108" s="163"/>
      <c r="N2108" s="163"/>
      <c r="O2108" s="34"/>
      <c r="P2108" s="31"/>
      <c r="AC2108" s="34"/>
    </row>
    <row r="2109" spans="9:29">
      <c r="I2109" s="31"/>
      <c r="J2109" s="31"/>
      <c r="K2109" s="163"/>
      <c r="L2109" s="163"/>
      <c r="M2109" s="163"/>
      <c r="N2109" s="163"/>
      <c r="O2109" s="34"/>
      <c r="P2109" s="31"/>
      <c r="AC2109" s="34"/>
    </row>
    <row r="2110" spans="9:29">
      <c r="I2110" s="31"/>
      <c r="J2110" s="31"/>
      <c r="K2110" s="163"/>
      <c r="L2110" s="163"/>
      <c r="M2110" s="163"/>
      <c r="N2110" s="163"/>
      <c r="O2110" s="34"/>
      <c r="P2110" s="31"/>
      <c r="AC2110" s="34"/>
    </row>
    <row r="2111" spans="9:29">
      <c r="I2111" s="31"/>
      <c r="J2111" s="31"/>
      <c r="K2111" s="163"/>
      <c r="L2111" s="163"/>
      <c r="M2111" s="163"/>
      <c r="N2111" s="163"/>
      <c r="O2111" s="34"/>
      <c r="P2111" s="31"/>
      <c r="AC2111" s="34"/>
    </row>
    <row r="2112" spans="9:29">
      <c r="I2112" s="31"/>
      <c r="J2112" s="31"/>
      <c r="K2112" s="163"/>
      <c r="L2112" s="163"/>
      <c r="M2112" s="163"/>
      <c r="N2112" s="163"/>
      <c r="O2112" s="34"/>
      <c r="P2112" s="31"/>
      <c r="AC2112" s="34"/>
    </row>
    <row r="2113" spans="9:29">
      <c r="I2113" s="31"/>
      <c r="J2113" s="31"/>
      <c r="K2113" s="163"/>
      <c r="L2113" s="163"/>
      <c r="M2113" s="163"/>
      <c r="N2113" s="163"/>
      <c r="O2113" s="34"/>
      <c r="P2113" s="31"/>
      <c r="AC2113" s="34"/>
    </row>
    <row r="2114" spans="9:29">
      <c r="I2114" s="31"/>
      <c r="J2114" s="31"/>
      <c r="K2114" s="163"/>
      <c r="L2114" s="163"/>
      <c r="M2114" s="163"/>
      <c r="N2114" s="163"/>
      <c r="O2114" s="34"/>
      <c r="P2114" s="31"/>
      <c r="AC2114" s="34"/>
    </row>
    <row r="2115" spans="9:29">
      <c r="I2115" s="31"/>
      <c r="J2115" s="31"/>
      <c r="K2115" s="163"/>
      <c r="L2115" s="163"/>
      <c r="M2115" s="163"/>
      <c r="N2115" s="163"/>
      <c r="O2115" s="34"/>
      <c r="P2115" s="31"/>
      <c r="AC2115" s="34"/>
    </row>
    <row r="2116" spans="9:29">
      <c r="I2116" s="31"/>
      <c r="J2116" s="31"/>
      <c r="K2116" s="163"/>
      <c r="L2116" s="163"/>
      <c r="M2116" s="163"/>
      <c r="N2116" s="163"/>
      <c r="O2116" s="34"/>
      <c r="P2116" s="31"/>
      <c r="AC2116" s="34"/>
    </row>
    <row r="2117" spans="9:29">
      <c r="I2117" s="31"/>
      <c r="J2117" s="31"/>
      <c r="K2117" s="163"/>
      <c r="L2117" s="163"/>
      <c r="M2117" s="163"/>
      <c r="N2117" s="163"/>
      <c r="O2117" s="34"/>
      <c r="P2117" s="31"/>
      <c r="AC2117" s="34"/>
    </row>
    <row r="2118" spans="9:29">
      <c r="I2118" s="31"/>
      <c r="J2118" s="31"/>
      <c r="K2118" s="163"/>
      <c r="L2118" s="163"/>
      <c r="M2118" s="163"/>
      <c r="N2118" s="163"/>
      <c r="O2118" s="34"/>
      <c r="P2118" s="31"/>
      <c r="AC2118" s="34"/>
    </row>
    <row r="2119" spans="9:29">
      <c r="I2119" s="31"/>
      <c r="J2119" s="31"/>
      <c r="K2119" s="163"/>
      <c r="L2119" s="163"/>
      <c r="M2119" s="163"/>
      <c r="N2119" s="163"/>
      <c r="O2119" s="34"/>
      <c r="P2119" s="31"/>
      <c r="AC2119" s="34"/>
    </row>
    <row r="2120" spans="9:29">
      <c r="I2120" s="31"/>
      <c r="J2120" s="31"/>
      <c r="K2120" s="163"/>
      <c r="L2120" s="163"/>
      <c r="M2120" s="163"/>
      <c r="N2120" s="163"/>
      <c r="O2120" s="34"/>
      <c r="P2120" s="31"/>
      <c r="AC2120" s="34"/>
    </row>
    <row r="2121" spans="9:29">
      <c r="I2121" s="31"/>
      <c r="J2121" s="31"/>
      <c r="K2121" s="163"/>
      <c r="L2121" s="163"/>
      <c r="M2121" s="163"/>
      <c r="N2121" s="163"/>
      <c r="O2121" s="34"/>
      <c r="P2121" s="31"/>
      <c r="AC2121" s="34"/>
    </row>
    <row r="2122" spans="9:29">
      <c r="I2122" s="31"/>
      <c r="J2122" s="31"/>
      <c r="K2122" s="163"/>
      <c r="L2122" s="163"/>
      <c r="M2122" s="163"/>
      <c r="N2122" s="163"/>
      <c r="O2122" s="34"/>
      <c r="P2122" s="31"/>
      <c r="AC2122" s="34"/>
    </row>
    <row r="2123" spans="9:29">
      <c r="I2123" s="31"/>
      <c r="J2123" s="31"/>
      <c r="K2123" s="163"/>
      <c r="L2123" s="163"/>
      <c r="M2123" s="163"/>
      <c r="N2123" s="163"/>
      <c r="O2123" s="34"/>
      <c r="P2123" s="31"/>
      <c r="AC2123" s="34"/>
    </row>
    <row r="2124" spans="9:29">
      <c r="I2124" s="31"/>
      <c r="J2124" s="31"/>
      <c r="K2124" s="163"/>
      <c r="L2124" s="163"/>
      <c r="M2124" s="163"/>
      <c r="N2124" s="163"/>
      <c r="O2124" s="34"/>
      <c r="P2124" s="31"/>
      <c r="AC2124" s="34"/>
    </row>
    <row r="2125" spans="9:29">
      <c r="I2125" s="31"/>
      <c r="J2125" s="31"/>
      <c r="K2125" s="163"/>
      <c r="L2125" s="163"/>
      <c r="M2125" s="163"/>
      <c r="N2125" s="163"/>
      <c r="O2125" s="34"/>
      <c r="P2125" s="31"/>
      <c r="AC2125" s="34"/>
    </row>
    <row r="2126" spans="9:29">
      <c r="I2126" s="31"/>
      <c r="J2126" s="31"/>
      <c r="K2126" s="163"/>
      <c r="L2126" s="163"/>
      <c r="M2126" s="163"/>
      <c r="N2126" s="163"/>
      <c r="O2126" s="34"/>
      <c r="P2126" s="31"/>
      <c r="AC2126" s="34"/>
    </row>
    <row r="2127" spans="9:29">
      <c r="I2127" s="31"/>
      <c r="J2127" s="31"/>
      <c r="K2127" s="163"/>
      <c r="L2127" s="163"/>
      <c r="M2127" s="163"/>
      <c r="N2127" s="163"/>
      <c r="O2127" s="34"/>
      <c r="P2127" s="31"/>
      <c r="AC2127" s="34"/>
    </row>
    <row r="2128" spans="9:29">
      <c r="I2128" s="31"/>
      <c r="J2128" s="31"/>
      <c r="K2128" s="163"/>
      <c r="L2128" s="163"/>
      <c r="M2128" s="163"/>
      <c r="N2128" s="163"/>
      <c r="O2128" s="34"/>
      <c r="P2128" s="31"/>
      <c r="AC2128" s="34"/>
    </row>
    <row r="2129" spans="9:29">
      <c r="I2129" s="31"/>
      <c r="J2129" s="31"/>
      <c r="K2129" s="163"/>
      <c r="L2129" s="163"/>
      <c r="M2129" s="163"/>
      <c r="N2129" s="163"/>
      <c r="O2129" s="34"/>
      <c r="P2129" s="31"/>
      <c r="AC2129" s="34"/>
    </row>
    <row r="2130" spans="9:29">
      <c r="I2130" s="31"/>
      <c r="J2130" s="31"/>
      <c r="K2130" s="163"/>
      <c r="L2130" s="163"/>
      <c r="M2130" s="163"/>
      <c r="N2130" s="163"/>
      <c r="O2130" s="34"/>
      <c r="P2130" s="31"/>
      <c r="AC2130" s="34"/>
    </row>
    <row r="2131" spans="9:29">
      <c r="I2131" s="31"/>
      <c r="J2131" s="31"/>
      <c r="K2131" s="163"/>
      <c r="L2131" s="163"/>
      <c r="M2131" s="163"/>
      <c r="N2131" s="163"/>
      <c r="O2131" s="34"/>
      <c r="P2131" s="31"/>
      <c r="AC2131" s="34"/>
    </row>
    <row r="2132" spans="9:29">
      <c r="I2132" s="31"/>
      <c r="J2132" s="31"/>
      <c r="K2132" s="163"/>
      <c r="L2132" s="163"/>
      <c r="M2132" s="163"/>
      <c r="N2132" s="163"/>
      <c r="O2132" s="34"/>
      <c r="P2132" s="31"/>
      <c r="AC2132" s="34"/>
    </row>
    <row r="2133" spans="9:29">
      <c r="I2133" s="31"/>
      <c r="J2133" s="31"/>
      <c r="K2133" s="163"/>
      <c r="L2133" s="163"/>
      <c r="M2133" s="163"/>
      <c r="N2133" s="163"/>
      <c r="O2133" s="34"/>
      <c r="P2133" s="31"/>
      <c r="AC2133" s="34"/>
    </row>
    <row r="2134" spans="9:29">
      <c r="I2134" s="31"/>
      <c r="J2134" s="31"/>
      <c r="K2134" s="163"/>
      <c r="L2134" s="163"/>
      <c r="M2134" s="163"/>
      <c r="N2134" s="163"/>
      <c r="O2134" s="34"/>
      <c r="P2134" s="31"/>
      <c r="AC2134" s="34"/>
    </row>
    <row r="2135" spans="9:29">
      <c r="I2135" s="31"/>
      <c r="J2135" s="31"/>
      <c r="K2135" s="163"/>
      <c r="L2135" s="163"/>
      <c r="M2135" s="163"/>
      <c r="N2135" s="163"/>
      <c r="O2135" s="34"/>
      <c r="P2135" s="31"/>
      <c r="AC2135" s="34"/>
    </row>
    <row r="2136" spans="9:29">
      <c r="I2136" s="31"/>
      <c r="J2136" s="31"/>
      <c r="K2136" s="163"/>
      <c r="L2136" s="163"/>
      <c r="M2136" s="163"/>
      <c r="N2136" s="163"/>
      <c r="O2136" s="34"/>
      <c r="P2136" s="31"/>
      <c r="AC2136" s="34"/>
    </row>
    <row r="2137" spans="9:29">
      <c r="I2137" s="31"/>
      <c r="J2137" s="31"/>
      <c r="K2137" s="163"/>
      <c r="L2137" s="163"/>
      <c r="M2137" s="163"/>
      <c r="N2137" s="163"/>
      <c r="O2137" s="34"/>
      <c r="P2137" s="31"/>
      <c r="AC2137" s="34"/>
    </row>
    <row r="2138" spans="9:29">
      <c r="I2138" s="31"/>
      <c r="J2138" s="31"/>
      <c r="K2138" s="163"/>
      <c r="L2138" s="163"/>
      <c r="M2138" s="163"/>
      <c r="N2138" s="163"/>
      <c r="O2138" s="34"/>
      <c r="P2138" s="31"/>
      <c r="AC2138" s="34"/>
    </row>
    <row r="2139" spans="9:29">
      <c r="I2139" s="31"/>
      <c r="J2139" s="31"/>
      <c r="K2139" s="163"/>
      <c r="L2139" s="163"/>
      <c r="M2139" s="163"/>
      <c r="N2139" s="163"/>
      <c r="O2139" s="34"/>
      <c r="P2139" s="31"/>
      <c r="AC2139" s="34"/>
    </row>
    <row r="2140" spans="9:29">
      <c r="I2140" s="31"/>
      <c r="J2140" s="31"/>
      <c r="K2140" s="163"/>
      <c r="L2140" s="163"/>
      <c r="M2140" s="163"/>
      <c r="N2140" s="163"/>
      <c r="O2140" s="34"/>
      <c r="P2140" s="31"/>
      <c r="AC2140" s="34"/>
    </row>
    <row r="2141" spans="9:29">
      <c r="I2141" s="31"/>
      <c r="J2141" s="31"/>
      <c r="K2141" s="163"/>
      <c r="L2141" s="163"/>
      <c r="M2141" s="163"/>
      <c r="N2141" s="163"/>
      <c r="O2141" s="34"/>
      <c r="P2141" s="31"/>
      <c r="AC2141" s="34"/>
    </row>
    <row r="2142" spans="9:29">
      <c r="I2142" s="31"/>
      <c r="J2142" s="31"/>
      <c r="K2142" s="163"/>
      <c r="L2142" s="163"/>
      <c r="M2142" s="163"/>
      <c r="N2142" s="163"/>
      <c r="O2142" s="34"/>
      <c r="P2142" s="31"/>
      <c r="AC2142" s="34"/>
    </row>
    <row r="2143" spans="9:29">
      <c r="I2143" s="31"/>
      <c r="J2143" s="31"/>
      <c r="K2143" s="163"/>
      <c r="L2143" s="163"/>
      <c r="M2143" s="163"/>
      <c r="N2143" s="163"/>
      <c r="O2143" s="34"/>
      <c r="P2143" s="31"/>
      <c r="AC2143" s="34"/>
    </row>
    <row r="2144" spans="9:29">
      <c r="I2144" s="31"/>
      <c r="J2144" s="31"/>
      <c r="K2144" s="163"/>
      <c r="L2144" s="163"/>
      <c r="M2144" s="163"/>
      <c r="N2144" s="163"/>
      <c r="O2144" s="34"/>
      <c r="P2144" s="31"/>
      <c r="AC2144" s="34"/>
    </row>
    <row r="2145" spans="9:29">
      <c r="I2145" s="31"/>
      <c r="J2145" s="31"/>
      <c r="K2145" s="163"/>
      <c r="L2145" s="163"/>
      <c r="M2145" s="163"/>
      <c r="N2145" s="163"/>
      <c r="O2145" s="34"/>
      <c r="P2145" s="31"/>
      <c r="AC2145" s="34"/>
    </row>
    <row r="2146" spans="9:29">
      <c r="I2146" s="31"/>
      <c r="J2146" s="31"/>
      <c r="K2146" s="163"/>
      <c r="L2146" s="163"/>
      <c r="M2146" s="163"/>
      <c r="N2146" s="163"/>
      <c r="O2146" s="34"/>
      <c r="P2146" s="31"/>
      <c r="AC2146" s="34"/>
    </row>
    <row r="2147" spans="9:29">
      <c r="I2147" s="31"/>
      <c r="J2147" s="31"/>
      <c r="K2147" s="163"/>
      <c r="L2147" s="163"/>
      <c r="M2147" s="163"/>
      <c r="N2147" s="163"/>
      <c r="O2147" s="34"/>
      <c r="P2147" s="31"/>
      <c r="AC2147" s="34"/>
    </row>
    <row r="2148" spans="9:29">
      <c r="I2148" s="31"/>
      <c r="J2148" s="31"/>
      <c r="K2148" s="163"/>
      <c r="L2148" s="163"/>
      <c r="M2148" s="163"/>
      <c r="N2148" s="163"/>
      <c r="O2148" s="34"/>
      <c r="P2148" s="31"/>
      <c r="AC2148" s="34"/>
    </row>
    <row r="2149" spans="9:29">
      <c r="I2149" s="31"/>
      <c r="J2149" s="31"/>
      <c r="K2149" s="163"/>
      <c r="L2149" s="163"/>
      <c r="M2149" s="163"/>
      <c r="N2149" s="163"/>
      <c r="O2149" s="34"/>
      <c r="P2149" s="31"/>
      <c r="AC2149" s="34"/>
    </row>
    <row r="2150" spans="9:29">
      <c r="I2150" s="31"/>
      <c r="J2150" s="31"/>
      <c r="K2150" s="163"/>
      <c r="L2150" s="163"/>
      <c r="M2150" s="163"/>
      <c r="N2150" s="163"/>
      <c r="O2150" s="34"/>
      <c r="P2150" s="31"/>
      <c r="AC2150" s="34"/>
    </row>
    <row r="2151" spans="9:29">
      <c r="I2151" s="31"/>
      <c r="J2151" s="31"/>
      <c r="K2151" s="163"/>
      <c r="L2151" s="163"/>
      <c r="M2151" s="163"/>
      <c r="N2151" s="163"/>
      <c r="O2151" s="34"/>
      <c r="P2151" s="31"/>
      <c r="AC2151" s="34"/>
    </row>
    <row r="2152" spans="9:29">
      <c r="I2152" s="31"/>
      <c r="J2152" s="31"/>
      <c r="K2152" s="163"/>
      <c r="L2152" s="163"/>
      <c r="M2152" s="163"/>
      <c r="N2152" s="163"/>
      <c r="O2152" s="34"/>
      <c r="P2152" s="31"/>
      <c r="AC2152" s="34"/>
    </row>
    <row r="2153" spans="9:29">
      <c r="I2153" s="31"/>
      <c r="J2153" s="31"/>
      <c r="K2153" s="163"/>
      <c r="L2153" s="163"/>
      <c r="M2153" s="163"/>
      <c r="N2153" s="163"/>
      <c r="O2153" s="34"/>
      <c r="P2153" s="31"/>
      <c r="AC2153" s="34"/>
    </row>
    <row r="2154" spans="9:29">
      <c r="I2154" s="31"/>
      <c r="J2154" s="31"/>
      <c r="K2154" s="163"/>
      <c r="L2154" s="163"/>
      <c r="M2154" s="163"/>
      <c r="N2154" s="163"/>
      <c r="O2154" s="34"/>
      <c r="P2154" s="31"/>
      <c r="AC2154" s="34"/>
    </row>
    <row r="2155" spans="9:29">
      <c r="I2155" s="31"/>
      <c r="J2155" s="31"/>
      <c r="K2155" s="163"/>
      <c r="L2155" s="163"/>
      <c r="M2155" s="163"/>
      <c r="N2155" s="163"/>
      <c r="O2155" s="34"/>
      <c r="P2155" s="31"/>
      <c r="AC2155" s="34"/>
    </row>
    <row r="2156" spans="9:29">
      <c r="I2156" s="31"/>
      <c r="J2156" s="31"/>
      <c r="K2156" s="163"/>
      <c r="L2156" s="163"/>
      <c r="M2156" s="163"/>
      <c r="N2156" s="163"/>
      <c r="O2156" s="34"/>
      <c r="P2156" s="31"/>
      <c r="AC2156" s="34"/>
    </row>
    <row r="2157" spans="9:29">
      <c r="I2157" s="31"/>
      <c r="J2157" s="31"/>
      <c r="K2157" s="163"/>
      <c r="L2157" s="163"/>
      <c r="M2157" s="163"/>
      <c r="N2157" s="163"/>
      <c r="O2157" s="34"/>
      <c r="P2157" s="31"/>
      <c r="AC2157" s="34"/>
    </row>
    <row r="2158" spans="9:29">
      <c r="I2158" s="31"/>
      <c r="J2158" s="31"/>
      <c r="K2158" s="163"/>
      <c r="L2158" s="163"/>
      <c r="M2158" s="163"/>
      <c r="N2158" s="163"/>
      <c r="O2158" s="34"/>
      <c r="P2158" s="31"/>
      <c r="AC2158" s="34"/>
    </row>
    <row r="2159" spans="9:29">
      <c r="I2159" s="31"/>
      <c r="J2159" s="31"/>
      <c r="K2159" s="163"/>
      <c r="L2159" s="163"/>
      <c r="M2159" s="163"/>
      <c r="N2159" s="163"/>
      <c r="O2159" s="34"/>
      <c r="P2159" s="31"/>
      <c r="AC2159" s="34"/>
    </row>
    <row r="2160" spans="9:29">
      <c r="I2160" s="31"/>
      <c r="J2160" s="31"/>
      <c r="K2160" s="163"/>
      <c r="L2160" s="163"/>
      <c r="M2160" s="163"/>
      <c r="N2160" s="163"/>
      <c r="O2160" s="34"/>
      <c r="P2160" s="31"/>
      <c r="AC2160" s="34"/>
    </row>
    <row r="2161" spans="9:29">
      <c r="I2161" s="31"/>
      <c r="J2161" s="31"/>
      <c r="K2161" s="163"/>
      <c r="L2161" s="163"/>
      <c r="M2161" s="163"/>
      <c r="N2161" s="163"/>
      <c r="O2161" s="34"/>
      <c r="P2161" s="31"/>
      <c r="AC2161" s="34"/>
    </row>
    <row r="2162" spans="9:29">
      <c r="I2162" s="31"/>
      <c r="J2162" s="31"/>
      <c r="K2162" s="163"/>
      <c r="L2162" s="163"/>
      <c r="M2162" s="163"/>
      <c r="N2162" s="163"/>
      <c r="O2162" s="34"/>
      <c r="P2162" s="31"/>
      <c r="AC2162" s="34"/>
    </row>
    <row r="2163" spans="9:29">
      <c r="I2163" s="31"/>
      <c r="J2163" s="31"/>
      <c r="K2163" s="163"/>
      <c r="L2163" s="163"/>
      <c r="M2163" s="163"/>
      <c r="N2163" s="163"/>
      <c r="O2163" s="34"/>
      <c r="P2163" s="31"/>
      <c r="AC2163" s="34"/>
    </row>
    <row r="2164" spans="9:29">
      <c r="I2164" s="31"/>
      <c r="J2164" s="31"/>
      <c r="K2164" s="163"/>
      <c r="L2164" s="163"/>
      <c r="M2164" s="163"/>
      <c r="N2164" s="163"/>
      <c r="O2164" s="34"/>
      <c r="P2164" s="31"/>
      <c r="AC2164" s="34"/>
    </row>
    <row r="2165" spans="9:29">
      <c r="I2165" s="31"/>
      <c r="J2165" s="31"/>
      <c r="K2165" s="163"/>
      <c r="L2165" s="163"/>
      <c r="M2165" s="163"/>
      <c r="N2165" s="163"/>
      <c r="O2165" s="34"/>
      <c r="P2165" s="31"/>
      <c r="AC2165" s="34"/>
    </row>
    <row r="2166" spans="9:29">
      <c r="I2166" s="31"/>
      <c r="J2166" s="31"/>
      <c r="K2166" s="163"/>
      <c r="L2166" s="163"/>
      <c r="M2166" s="163"/>
      <c r="N2166" s="163"/>
      <c r="O2166" s="34"/>
      <c r="P2166" s="31"/>
      <c r="AC2166" s="34"/>
    </row>
    <row r="2167" spans="9:29">
      <c r="I2167" s="31"/>
      <c r="J2167" s="31"/>
      <c r="K2167" s="163"/>
      <c r="L2167" s="163"/>
      <c r="M2167" s="163"/>
      <c r="N2167" s="163"/>
      <c r="O2167" s="34"/>
      <c r="P2167" s="31"/>
      <c r="AC2167" s="34"/>
    </row>
    <row r="2168" spans="9:29">
      <c r="I2168" s="31"/>
      <c r="J2168" s="31"/>
      <c r="K2168" s="163"/>
      <c r="L2168" s="163"/>
      <c r="M2168" s="163"/>
      <c r="N2168" s="163"/>
      <c r="O2168" s="34"/>
      <c r="P2168" s="31"/>
      <c r="AC2168" s="34"/>
    </row>
    <row r="2169" spans="9:29">
      <c r="I2169" s="31"/>
      <c r="J2169" s="31"/>
      <c r="K2169" s="163"/>
      <c r="L2169" s="163"/>
      <c r="M2169" s="163"/>
      <c r="N2169" s="163"/>
      <c r="O2169" s="34"/>
      <c r="P2169" s="31"/>
      <c r="AC2169" s="34"/>
    </row>
    <row r="2170" spans="9:29">
      <c r="I2170" s="31"/>
      <c r="J2170" s="31"/>
      <c r="K2170" s="163"/>
      <c r="L2170" s="163"/>
      <c r="M2170" s="163"/>
      <c r="N2170" s="163"/>
      <c r="O2170" s="34"/>
      <c r="P2170" s="31"/>
      <c r="AC2170" s="34"/>
    </row>
    <row r="2171" spans="9:29">
      <c r="I2171" s="31"/>
      <c r="J2171" s="31"/>
      <c r="K2171" s="163"/>
      <c r="L2171" s="163"/>
      <c r="M2171" s="163"/>
      <c r="N2171" s="163"/>
      <c r="O2171" s="34"/>
      <c r="P2171" s="31"/>
      <c r="AC2171" s="34"/>
    </row>
    <row r="2172" spans="9:29">
      <c r="I2172" s="31"/>
      <c r="J2172" s="31"/>
      <c r="K2172" s="163"/>
      <c r="L2172" s="163"/>
      <c r="M2172" s="163"/>
      <c r="N2172" s="163"/>
      <c r="O2172" s="34"/>
      <c r="P2172" s="31"/>
      <c r="AC2172" s="34"/>
    </row>
    <row r="2173" spans="9:29">
      <c r="I2173" s="31"/>
      <c r="J2173" s="31"/>
      <c r="K2173" s="163"/>
      <c r="L2173" s="163"/>
      <c r="M2173" s="163"/>
      <c r="N2173" s="163"/>
      <c r="O2173" s="34"/>
      <c r="P2173" s="31"/>
      <c r="AC2173" s="34"/>
    </row>
    <row r="2174" spans="9:29">
      <c r="I2174" s="31"/>
      <c r="J2174" s="31"/>
      <c r="K2174" s="163"/>
      <c r="L2174" s="163"/>
      <c r="M2174" s="163"/>
      <c r="N2174" s="163"/>
      <c r="O2174" s="34"/>
      <c r="P2174" s="31"/>
      <c r="AC2174" s="34"/>
    </row>
    <row r="2175" spans="9:29">
      <c r="I2175" s="31"/>
      <c r="J2175" s="31"/>
      <c r="K2175" s="163"/>
      <c r="L2175" s="163"/>
      <c r="M2175" s="163"/>
      <c r="N2175" s="163"/>
      <c r="O2175" s="34"/>
      <c r="P2175" s="31"/>
      <c r="AC2175" s="34"/>
    </row>
    <row r="2176" spans="9:29">
      <c r="I2176" s="31"/>
      <c r="J2176" s="31"/>
      <c r="K2176" s="163"/>
      <c r="L2176" s="163"/>
      <c r="M2176" s="163"/>
      <c r="N2176" s="163"/>
      <c r="O2176" s="34"/>
      <c r="P2176" s="31"/>
      <c r="AC2176" s="34"/>
    </row>
    <row r="2177" spans="9:29">
      <c r="I2177" s="31"/>
      <c r="J2177" s="31"/>
      <c r="K2177" s="163"/>
      <c r="L2177" s="163"/>
      <c r="M2177" s="163"/>
      <c r="N2177" s="163"/>
      <c r="O2177" s="34"/>
      <c r="P2177" s="31"/>
      <c r="AC2177" s="34"/>
    </row>
    <row r="2178" spans="9:29">
      <c r="I2178" s="31"/>
      <c r="J2178" s="31"/>
      <c r="K2178" s="163"/>
      <c r="L2178" s="163"/>
      <c r="M2178" s="163"/>
      <c r="N2178" s="163"/>
      <c r="O2178" s="34"/>
      <c r="P2178" s="31"/>
      <c r="AC2178" s="34"/>
    </row>
    <row r="2179" spans="9:29">
      <c r="I2179" s="31"/>
      <c r="J2179" s="31"/>
      <c r="K2179" s="163"/>
      <c r="L2179" s="163"/>
      <c r="M2179" s="163"/>
      <c r="N2179" s="163"/>
      <c r="O2179" s="34"/>
      <c r="P2179" s="31"/>
      <c r="AC2179" s="34"/>
    </row>
    <row r="2180" spans="9:29">
      <c r="I2180" s="31"/>
      <c r="J2180" s="31"/>
      <c r="K2180" s="163"/>
      <c r="L2180" s="163"/>
      <c r="M2180" s="163"/>
      <c r="N2180" s="163"/>
      <c r="O2180" s="34"/>
      <c r="P2180" s="31"/>
      <c r="AC2180" s="34"/>
    </row>
    <row r="2181" spans="9:29">
      <c r="I2181" s="31"/>
      <c r="J2181" s="31"/>
      <c r="K2181" s="163"/>
      <c r="L2181" s="163"/>
      <c r="M2181" s="163"/>
      <c r="N2181" s="163"/>
      <c r="O2181" s="34"/>
      <c r="P2181" s="31"/>
      <c r="AC2181" s="34"/>
    </row>
    <row r="2182" spans="9:29">
      <c r="I2182" s="31"/>
      <c r="J2182" s="31"/>
      <c r="K2182" s="163"/>
      <c r="L2182" s="163"/>
      <c r="M2182" s="163"/>
      <c r="N2182" s="163"/>
      <c r="O2182" s="34"/>
      <c r="P2182" s="31"/>
      <c r="AC2182" s="34"/>
    </row>
    <row r="2183" spans="9:29">
      <c r="I2183" s="31"/>
      <c r="J2183" s="31"/>
      <c r="K2183" s="163"/>
      <c r="L2183" s="163"/>
      <c r="M2183" s="163"/>
      <c r="N2183" s="163"/>
      <c r="O2183" s="34"/>
      <c r="P2183" s="31"/>
      <c r="AC2183" s="34"/>
    </row>
    <row r="2184" spans="9:29">
      <c r="I2184" s="31"/>
      <c r="J2184" s="31"/>
      <c r="K2184" s="163"/>
      <c r="L2184" s="163"/>
      <c r="M2184" s="163"/>
      <c r="N2184" s="163"/>
      <c r="O2184" s="34"/>
      <c r="P2184" s="31"/>
      <c r="AC2184" s="34"/>
    </row>
    <row r="2185" spans="9:29">
      <c r="I2185" s="31"/>
      <c r="J2185" s="31"/>
      <c r="K2185" s="163"/>
      <c r="L2185" s="163"/>
      <c r="M2185" s="163"/>
      <c r="N2185" s="163"/>
      <c r="O2185" s="34"/>
      <c r="P2185" s="31"/>
      <c r="AC2185" s="34"/>
    </row>
    <row r="2186" spans="9:29">
      <c r="I2186" s="31"/>
      <c r="J2186" s="31"/>
      <c r="K2186" s="163"/>
      <c r="L2186" s="163"/>
      <c r="M2186" s="163"/>
      <c r="N2186" s="163"/>
      <c r="O2186" s="34"/>
      <c r="P2186" s="31"/>
      <c r="AC2186" s="34"/>
    </row>
    <row r="2187" spans="9:29">
      <c r="I2187" s="31"/>
      <c r="J2187" s="31"/>
      <c r="K2187" s="163"/>
      <c r="L2187" s="163"/>
      <c r="M2187" s="163"/>
      <c r="N2187" s="163"/>
      <c r="O2187" s="34"/>
      <c r="P2187" s="31"/>
      <c r="AC2187" s="34"/>
    </row>
    <row r="2188" spans="9:29">
      <c r="I2188" s="31"/>
      <c r="J2188" s="31"/>
      <c r="K2188" s="163"/>
      <c r="L2188" s="163"/>
      <c r="M2188" s="163"/>
      <c r="N2188" s="163"/>
      <c r="O2188" s="34"/>
      <c r="P2188" s="31"/>
      <c r="AC2188" s="34"/>
    </row>
    <row r="2189" spans="9:29">
      <c r="I2189" s="31"/>
      <c r="J2189" s="31"/>
      <c r="K2189" s="163"/>
      <c r="L2189" s="163"/>
      <c r="M2189" s="163"/>
      <c r="N2189" s="163"/>
      <c r="O2189" s="34"/>
      <c r="P2189" s="31"/>
      <c r="AC2189" s="34"/>
    </row>
    <row r="2190" spans="9:29">
      <c r="I2190" s="31"/>
      <c r="J2190" s="31"/>
      <c r="K2190" s="163"/>
      <c r="L2190" s="163"/>
      <c r="M2190" s="163"/>
      <c r="N2190" s="163"/>
      <c r="O2190" s="34"/>
      <c r="P2190" s="31"/>
      <c r="AC2190" s="34"/>
    </row>
    <row r="2191" spans="9:29">
      <c r="I2191" s="31"/>
      <c r="J2191" s="31"/>
      <c r="K2191" s="163"/>
      <c r="L2191" s="163"/>
      <c r="M2191" s="163"/>
      <c r="N2191" s="163"/>
      <c r="O2191" s="34"/>
      <c r="P2191" s="31"/>
      <c r="AC2191" s="34"/>
    </row>
    <row r="2192" spans="9:29">
      <c r="I2192" s="31"/>
      <c r="J2192" s="31"/>
      <c r="K2192" s="163"/>
      <c r="L2192" s="163"/>
      <c r="M2192" s="163"/>
      <c r="N2192" s="163"/>
      <c r="O2192" s="34"/>
      <c r="P2192" s="31"/>
      <c r="AC2192" s="34"/>
    </row>
    <row r="2193" spans="9:29">
      <c r="I2193" s="31"/>
      <c r="J2193" s="31"/>
      <c r="K2193" s="163"/>
      <c r="L2193" s="163"/>
      <c r="M2193" s="163"/>
      <c r="N2193" s="163"/>
      <c r="O2193" s="34"/>
      <c r="P2193" s="31"/>
      <c r="AC2193" s="34"/>
    </row>
    <row r="2194" spans="9:29">
      <c r="I2194" s="31"/>
      <c r="J2194" s="31"/>
      <c r="K2194" s="163"/>
      <c r="L2194" s="163"/>
      <c r="M2194" s="163"/>
      <c r="N2194" s="163"/>
      <c r="O2194" s="34"/>
      <c r="P2194" s="31"/>
      <c r="AC2194" s="34"/>
    </row>
    <row r="2195" spans="9:29">
      <c r="I2195" s="31"/>
      <c r="J2195" s="31"/>
      <c r="K2195" s="163"/>
      <c r="L2195" s="163"/>
      <c r="M2195" s="163"/>
      <c r="N2195" s="163"/>
      <c r="O2195" s="34"/>
      <c r="P2195" s="31"/>
      <c r="AC2195" s="34"/>
    </row>
    <row r="2196" spans="9:29">
      <c r="I2196" s="31"/>
      <c r="J2196" s="31"/>
      <c r="K2196" s="163"/>
      <c r="L2196" s="163"/>
      <c r="M2196" s="163"/>
      <c r="N2196" s="163"/>
      <c r="O2196" s="34"/>
      <c r="P2196" s="31"/>
      <c r="AC2196" s="34"/>
    </row>
    <row r="2197" spans="9:29">
      <c r="I2197" s="31"/>
      <c r="J2197" s="31"/>
      <c r="K2197" s="163"/>
      <c r="L2197" s="163"/>
      <c r="M2197" s="163"/>
      <c r="N2197" s="163"/>
      <c r="O2197" s="34"/>
      <c r="P2197" s="31"/>
      <c r="AC2197" s="34"/>
    </row>
    <row r="2198" spans="9:29">
      <c r="I2198" s="31"/>
      <c r="J2198" s="31"/>
      <c r="K2198" s="163"/>
      <c r="L2198" s="163"/>
      <c r="M2198" s="163"/>
      <c r="N2198" s="163"/>
      <c r="O2198" s="34"/>
      <c r="P2198" s="31"/>
      <c r="AC2198" s="34"/>
    </row>
    <row r="2199" spans="9:29">
      <c r="I2199" s="31"/>
      <c r="J2199" s="31"/>
      <c r="K2199" s="163"/>
      <c r="L2199" s="163"/>
      <c r="M2199" s="163"/>
      <c r="N2199" s="163"/>
      <c r="O2199" s="34"/>
      <c r="P2199" s="31"/>
      <c r="AC2199" s="34"/>
    </row>
    <row r="2200" spans="9:29">
      <c r="I2200" s="31"/>
      <c r="J2200" s="31"/>
      <c r="K2200" s="163"/>
      <c r="L2200" s="163"/>
      <c r="M2200" s="163"/>
      <c r="N2200" s="163"/>
      <c r="O2200" s="34"/>
      <c r="P2200" s="31"/>
      <c r="AC2200" s="34"/>
    </row>
    <row r="2201" spans="9:29">
      <c r="I2201" s="31"/>
      <c r="J2201" s="31"/>
      <c r="K2201" s="163"/>
      <c r="L2201" s="163"/>
      <c r="M2201" s="163"/>
      <c r="N2201" s="163"/>
      <c r="O2201" s="34"/>
      <c r="P2201" s="31"/>
      <c r="AC2201" s="34"/>
    </row>
    <row r="2202" spans="9:29">
      <c r="I2202" s="31"/>
      <c r="J2202" s="31"/>
      <c r="K2202" s="163"/>
      <c r="L2202" s="163"/>
      <c r="M2202" s="163"/>
      <c r="N2202" s="163"/>
      <c r="O2202" s="34"/>
      <c r="P2202" s="31"/>
      <c r="AC2202" s="34"/>
    </row>
    <row r="2203" spans="9:29">
      <c r="I2203" s="31"/>
      <c r="J2203" s="31"/>
      <c r="K2203" s="163"/>
      <c r="L2203" s="163"/>
      <c r="M2203" s="163"/>
      <c r="N2203" s="163"/>
      <c r="O2203" s="34"/>
      <c r="P2203" s="31"/>
      <c r="AC2203" s="34"/>
    </row>
    <row r="2204" spans="9:29">
      <c r="I2204" s="31"/>
      <c r="J2204" s="31"/>
      <c r="K2204" s="163"/>
      <c r="L2204" s="163"/>
      <c r="M2204" s="163"/>
      <c r="N2204" s="163"/>
      <c r="O2204" s="34"/>
      <c r="P2204" s="31"/>
      <c r="AC2204" s="34"/>
    </row>
    <row r="2205" spans="9:29">
      <c r="I2205" s="31"/>
      <c r="J2205" s="31"/>
      <c r="K2205" s="163"/>
      <c r="L2205" s="163"/>
      <c r="M2205" s="163"/>
      <c r="N2205" s="163"/>
      <c r="O2205" s="34"/>
      <c r="P2205" s="31"/>
      <c r="AC2205" s="34"/>
    </row>
    <row r="2206" spans="9:29">
      <c r="I2206" s="31"/>
      <c r="J2206" s="31"/>
      <c r="K2206" s="163"/>
      <c r="L2206" s="163"/>
      <c r="M2206" s="163"/>
      <c r="N2206" s="163"/>
      <c r="O2206" s="34"/>
      <c r="P2206" s="31"/>
      <c r="AC2206" s="34"/>
    </row>
    <row r="2207" spans="9:29">
      <c r="I2207" s="31"/>
      <c r="J2207" s="31"/>
      <c r="K2207" s="163"/>
      <c r="L2207" s="163"/>
      <c r="M2207" s="163"/>
      <c r="N2207" s="163"/>
      <c r="O2207" s="34"/>
      <c r="P2207" s="31"/>
      <c r="AC2207" s="34"/>
    </row>
    <row r="2208" spans="9:29">
      <c r="I2208" s="31"/>
      <c r="J2208" s="31"/>
      <c r="K2208" s="163"/>
      <c r="L2208" s="163"/>
      <c r="M2208" s="163"/>
      <c r="N2208" s="163"/>
      <c r="O2208" s="34"/>
      <c r="P2208" s="31"/>
      <c r="AC2208" s="34"/>
    </row>
    <row r="2209" spans="9:29">
      <c r="I2209" s="31"/>
      <c r="J2209" s="31"/>
      <c r="K2209" s="163"/>
      <c r="L2209" s="163"/>
      <c r="M2209" s="163"/>
      <c r="N2209" s="163"/>
      <c r="O2209" s="34"/>
      <c r="P2209" s="31"/>
      <c r="AC2209" s="34"/>
    </row>
    <row r="2210" spans="9:29">
      <c r="I2210" s="31"/>
      <c r="J2210" s="31"/>
      <c r="K2210" s="163"/>
      <c r="L2210" s="163"/>
      <c r="M2210" s="163"/>
      <c r="N2210" s="163"/>
      <c r="O2210" s="34"/>
      <c r="P2210" s="31"/>
      <c r="AC2210" s="34"/>
    </row>
    <row r="2211" spans="9:29">
      <c r="I2211" s="31"/>
      <c r="J2211" s="31"/>
      <c r="K2211" s="163"/>
      <c r="L2211" s="163"/>
      <c r="M2211" s="163"/>
      <c r="N2211" s="163"/>
      <c r="O2211" s="34"/>
      <c r="P2211" s="31"/>
      <c r="AC2211" s="34"/>
    </row>
    <row r="2212" spans="9:29">
      <c r="I2212" s="31"/>
      <c r="J2212" s="31"/>
      <c r="K2212" s="163"/>
      <c r="L2212" s="163"/>
      <c r="M2212" s="163"/>
      <c r="N2212" s="163"/>
      <c r="O2212" s="34"/>
      <c r="P2212" s="31"/>
      <c r="AC2212" s="34"/>
    </row>
    <row r="2213" spans="9:29">
      <c r="I2213" s="31"/>
      <c r="J2213" s="31"/>
      <c r="K2213" s="163"/>
      <c r="L2213" s="163"/>
      <c r="M2213" s="163"/>
      <c r="N2213" s="163"/>
      <c r="O2213" s="34"/>
      <c r="P2213" s="31"/>
      <c r="AC2213" s="34"/>
    </row>
    <row r="2214" spans="9:29">
      <c r="I2214" s="31"/>
      <c r="J2214" s="31"/>
      <c r="K2214" s="163"/>
      <c r="L2214" s="163"/>
      <c r="M2214" s="163"/>
      <c r="N2214" s="163"/>
      <c r="O2214" s="34"/>
      <c r="P2214" s="31"/>
      <c r="AC2214" s="34"/>
    </row>
    <row r="2215" spans="9:29">
      <c r="I2215" s="31"/>
      <c r="J2215" s="31"/>
      <c r="K2215" s="163"/>
      <c r="L2215" s="163"/>
      <c r="M2215" s="163"/>
      <c r="N2215" s="163"/>
      <c r="O2215" s="34"/>
      <c r="P2215" s="31"/>
      <c r="AC2215" s="34"/>
    </row>
    <row r="2216" spans="9:29">
      <c r="I2216" s="31"/>
      <c r="J2216" s="31"/>
      <c r="K2216" s="163"/>
      <c r="L2216" s="163"/>
      <c r="M2216" s="163"/>
      <c r="N2216" s="163"/>
      <c r="O2216" s="34"/>
      <c r="P2216" s="31"/>
      <c r="AC2216" s="34"/>
    </row>
    <row r="2217" spans="9:29">
      <c r="I2217" s="31"/>
      <c r="J2217" s="31"/>
      <c r="K2217" s="163"/>
      <c r="L2217" s="163"/>
      <c r="M2217" s="163"/>
      <c r="N2217" s="163"/>
      <c r="O2217" s="34"/>
      <c r="P2217" s="31"/>
      <c r="AC2217" s="34"/>
    </row>
    <row r="2218" spans="9:29">
      <c r="I2218" s="31"/>
      <c r="J2218" s="31"/>
      <c r="K2218" s="163"/>
      <c r="L2218" s="163"/>
      <c r="M2218" s="163"/>
      <c r="N2218" s="163"/>
      <c r="O2218" s="34"/>
      <c r="P2218" s="31"/>
      <c r="AC2218" s="34"/>
    </row>
  </sheetData>
  <mergeCells count="20">
    <mergeCell ref="AD2:AD3"/>
    <mergeCell ref="W2:W3"/>
    <mergeCell ref="X2:X3"/>
    <mergeCell ref="Y2:Y3"/>
    <mergeCell ref="Z2:Z3"/>
    <mergeCell ref="AA2:AA3"/>
    <mergeCell ref="AC2:AC3"/>
    <mergeCell ref="AB2:AB3"/>
    <mergeCell ref="B13:C13"/>
    <mergeCell ref="B29:C32"/>
    <mergeCell ref="B22:C26"/>
    <mergeCell ref="F2:F3"/>
    <mergeCell ref="S2:S3"/>
    <mergeCell ref="P2:P3"/>
    <mergeCell ref="M2:M3"/>
    <mergeCell ref="L2:L3"/>
    <mergeCell ref="K2:K3"/>
    <mergeCell ref="J2:J3"/>
    <mergeCell ref="N2:N3"/>
    <mergeCell ref="O2:O3"/>
  </mergeCells>
  <dataValidations xWindow="367" yWindow="335" count="8">
    <dataValidation type="list" allowBlank="1" showInputMessage="1" showErrorMessage="1" prompt="Annual or Monthly Payments" sqref="C7" xr:uid="{2FA87D83-F5F1-4C4A-BC84-D117480EA309}">
      <formula1>"Annual, Monthly"</formula1>
    </dataValidation>
    <dataValidation type="decimal" allowBlank="1" showInputMessage="1" showErrorMessage="1" error="Starting age must be between 50 and 85" prompt="Starting age must be between 50 and 85" sqref="C3" xr:uid="{C02D0A90-E7F6-4970-8B43-B4D686456D74}">
      <formula1>45</formula1>
      <formula2>85</formula2>
    </dataValidation>
    <dataValidation type="whole" operator="greaterThanOrEqual" allowBlank="1" showInputMessage="1" showErrorMessage="1" error="The Minimum Investment is BP 300,000 " prompt="The Minimum Investment is BP 300,000 " sqref="C4" xr:uid="{D9C2F5F5-8F57-4BC5-948D-634A885BA9C7}">
      <formula1>300000</formula1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E137522B-4F24-4412-B4DF-B2775CC690DC}">
      <formula1>0</formula1>
      <formula2>0.02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920696EA-8B19-44B3-A916-88DF47009E88}">
      <formula1>0</formula1>
      <formula2>0.015</formula2>
    </dataValidation>
    <dataValidation type="decimal" allowBlank="1" showInputMessage="1" showErrorMessage="1" error="The annuity percentage must be between 0.0% and 1.0% per annum" prompt="The annuity percentage must be between 0.0% and 1.0% per annum" sqref="C18 C16" xr:uid="{4729DCEF-45D3-4C7E-9105-08C8C7FB577B}">
      <formula1>0</formula1>
      <formula2>0.01</formula2>
    </dataValidation>
    <dataValidation type="whole" operator="greaterThanOrEqual" allowBlank="1" showInputMessage="1" showErrorMessage="1" sqref="C6" xr:uid="{E3D5E1CF-5B55-41E0-9952-667A153B4437}">
      <formula1>C3</formula1>
    </dataValidation>
    <dataValidation type="list" allowBlank="1" showInputMessage="1" showErrorMessage="1" sqref="C8" xr:uid="{7C90499D-6319-45AA-8E61-EAF0B67109FB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1" r:id="rId4" name="Button 5489">
              <controlPr defaultSize="0" print="0" autoFill="0" autoPict="0" macro="[0]!GoalSeekLifeAnnuity">
                <anchor moveWithCells="1" sizeWithCells="1">
                  <from>
                    <xdr:col>1</xdr:col>
                    <xdr:colOff>2880360</xdr:colOff>
                    <xdr:row>23</xdr:row>
                    <xdr:rowOff>38100</xdr:rowOff>
                  </from>
                  <to>
                    <xdr:col>2</xdr:col>
                    <xdr:colOff>670560</xdr:colOff>
                    <xdr:row>25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7" r:id="rId5" name="Button 6277">
              <controlPr defaultSize="0" print="0" autoFill="0" autoPict="0" macro="[0]!GoalSeek_LAEqualToRA">
                <anchor moveWithCells="1" sizeWithCells="1">
                  <from>
                    <xdr:col>1</xdr:col>
                    <xdr:colOff>2232660</xdr:colOff>
                    <xdr:row>30</xdr:row>
                    <xdr:rowOff>22860</xdr:rowOff>
                  </from>
                  <to>
                    <xdr:col>2</xdr:col>
                    <xdr:colOff>670560</xdr:colOff>
                    <xdr:row>31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B0C6-4FFC-4A5F-8EE8-AA9D28F17653}">
  <dimension ref="A1:H35"/>
  <sheetViews>
    <sheetView topLeftCell="A12" workbookViewId="0">
      <selection activeCell="D31" sqref="D31"/>
    </sheetView>
  </sheetViews>
  <sheetFormatPr defaultRowHeight="14.4"/>
  <cols>
    <col min="1" max="1" width="43.6640625" bestFit="1" customWidth="1"/>
    <col min="2" max="2" width="23.6640625" bestFit="1" customWidth="1"/>
    <col min="3" max="3" width="23.33203125" style="3" bestFit="1" customWidth="1"/>
    <col min="4" max="4" width="25.6640625" customWidth="1"/>
    <col min="7" max="7" width="20.6640625" bestFit="1" customWidth="1"/>
    <col min="8" max="8" width="12.6640625" bestFit="1" customWidth="1"/>
  </cols>
  <sheetData>
    <row r="1" spans="1:5">
      <c r="A1" s="77" t="s">
        <v>127</v>
      </c>
      <c r="B1" s="39"/>
      <c r="C1" s="170"/>
      <c r="D1" s="39"/>
      <c r="E1" s="171"/>
    </row>
    <row r="2" spans="1:5">
      <c r="A2" s="172" t="s">
        <v>128</v>
      </c>
      <c r="B2" s="173" t="s">
        <v>129</v>
      </c>
      <c r="C2" s="174" t="s">
        <v>130</v>
      </c>
      <c r="E2" s="175"/>
    </row>
    <row r="3" spans="1:5">
      <c r="A3" s="44" t="s">
        <v>131</v>
      </c>
      <c r="C3" s="176">
        <f>LivingAnnuityTool!C4</f>
        <v>2798176</v>
      </c>
      <c r="E3" s="175"/>
    </row>
    <row r="4" spans="1:5">
      <c r="A4" s="177" t="s">
        <v>132</v>
      </c>
      <c r="C4" s="176"/>
      <c r="E4" s="175"/>
    </row>
    <row r="5" spans="1:5">
      <c r="A5" s="44" t="s">
        <v>133</v>
      </c>
      <c r="B5" s="128">
        <v>0</v>
      </c>
      <c r="C5" s="176">
        <f>C3*B5</f>
        <v>0</v>
      </c>
      <c r="E5" s="175"/>
    </row>
    <row r="6" spans="1:5">
      <c r="A6" s="44" t="s">
        <v>134</v>
      </c>
      <c r="B6" s="128">
        <v>0.02</v>
      </c>
      <c r="C6" s="176">
        <f>C3*B6</f>
        <v>55963.520000000004</v>
      </c>
      <c r="E6" s="175"/>
    </row>
    <row r="7" spans="1:5">
      <c r="A7" s="178" t="s">
        <v>135</v>
      </c>
      <c r="B7" s="179"/>
      <c r="C7" s="180">
        <f>C3-C5-C6</f>
        <v>2742212.48</v>
      </c>
      <c r="E7" s="175"/>
    </row>
    <row r="8" spans="1:5">
      <c r="A8" s="44"/>
      <c r="C8" s="45"/>
      <c r="E8" s="175"/>
    </row>
    <row r="9" spans="1:5">
      <c r="A9" s="44"/>
      <c r="C9" s="45"/>
      <c r="E9" s="175"/>
    </row>
    <row r="10" spans="1:5">
      <c r="A10" s="77" t="s">
        <v>136</v>
      </c>
      <c r="B10" s="39"/>
      <c r="C10" s="170"/>
      <c r="E10" s="175"/>
    </row>
    <row r="11" spans="1:5">
      <c r="A11" s="172" t="s">
        <v>137</v>
      </c>
      <c r="B11" s="173" t="s">
        <v>138</v>
      </c>
      <c r="C11" s="181" t="s">
        <v>139</v>
      </c>
      <c r="E11" s="175"/>
    </row>
    <row r="12" spans="1:5">
      <c r="A12" s="44" t="s">
        <v>140</v>
      </c>
      <c r="B12" s="128">
        <v>0.7</v>
      </c>
      <c r="C12" s="176">
        <f>C7*B12</f>
        <v>1919548.7359999998</v>
      </c>
      <c r="E12" s="175"/>
    </row>
    <row r="13" spans="1:5">
      <c r="A13" s="44" t="s">
        <v>141</v>
      </c>
      <c r="B13" s="128">
        <v>0.3</v>
      </c>
      <c r="C13" s="176">
        <f>C7*B13</f>
        <v>822663.74399999995</v>
      </c>
      <c r="E13" s="175"/>
    </row>
    <row r="14" spans="1:5">
      <c r="A14" s="178" t="s">
        <v>142</v>
      </c>
      <c r="B14" s="179"/>
      <c r="C14" s="180">
        <f>SUM(C12:C13)</f>
        <v>2742212.4799999995</v>
      </c>
      <c r="E14" s="175"/>
    </row>
    <row r="15" spans="1:5">
      <c r="A15" s="44"/>
      <c r="C15" s="45"/>
      <c r="E15" s="175"/>
    </row>
    <row r="16" spans="1:5">
      <c r="A16" s="44"/>
      <c r="C16" s="45"/>
      <c r="E16" s="175"/>
    </row>
    <row r="17" spans="1:8">
      <c r="A17" s="177" t="s">
        <v>152</v>
      </c>
      <c r="C17" s="45"/>
      <c r="E17" s="175"/>
    </row>
    <row r="18" spans="1:8">
      <c r="A18" s="172" t="s">
        <v>137</v>
      </c>
      <c r="B18" s="173" t="s">
        <v>143</v>
      </c>
      <c r="C18" s="173" t="s">
        <v>144</v>
      </c>
      <c r="D18" s="173" t="s">
        <v>145</v>
      </c>
      <c r="E18" s="181" t="s">
        <v>142</v>
      </c>
    </row>
    <row r="19" spans="1:8">
      <c r="A19" s="44" t="s">
        <v>140</v>
      </c>
      <c r="B19" s="182">
        <v>0.01</v>
      </c>
      <c r="C19" s="183">
        <v>7.0000000000000001E-3</v>
      </c>
      <c r="D19" s="182">
        <v>0.01</v>
      </c>
      <c r="E19" s="184">
        <f>SUM(B18:D19)</f>
        <v>2.7000000000000003E-2</v>
      </c>
    </row>
    <row r="20" spans="1:8">
      <c r="A20" s="44" t="s">
        <v>141</v>
      </c>
      <c r="B20" s="182">
        <v>0.01</v>
      </c>
      <c r="C20" s="183">
        <v>3.5000000000000001E-3</v>
      </c>
      <c r="D20" s="182">
        <v>0.01</v>
      </c>
      <c r="E20" s="184">
        <f>SUM(B20:D20)</f>
        <v>2.35E-2</v>
      </c>
      <c r="H20" s="9"/>
    </row>
    <row r="21" spans="1:8">
      <c r="A21" s="178" t="s">
        <v>142</v>
      </c>
      <c r="B21" s="185">
        <f>(B19*$B$12)+(B20*$B$13)</f>
        <v>9.9999999999999985E-3</v>
      </c>
      <c r="C21" s="185">
        <f>(C19*$B$12)+(C20*$B$13)</f>
        <v>5.9499999999999996E-3</v>
      </c>
      <c r="D21" s="185">
        <f>(D19*$B$12)+(D20*$B$13)</f>
        <v>9.9999999999999985E-3</v>
      </c>
      <c r="E21" s="186">
        <f>(E19*$B$12)+(E20*$B$13)</f>
        <v>2.5950000000000001E-2</v>
      </c>
      <c r="H21" s="3"/>
    </row>
    <row r="22" spans="1:8">
      <c r="A22" s="44"/>
      <c r="C22" s="45"/>
      <c r="E22" s="175"/>
      <c r="H22" s="3"/>
    </row>
    <row r="23" spans="1:8">
      <c r="A23" s="177" t="s">
        <v>146</v>
      </c>
      <c r="C23" s="45"/>
      <c r="E23" s="175"/>
    </row>
    <row r="24" spans="1:8">
      <c r="A24" s="141" t="s">
        <v>147</v>
      </c>
      <c r="B24" s="187">
        <f>C14</f>
        <v>2742212.4799999995</v>
      </c>
      <c r="C24"/>
      <c r="E24" s="175"/>
      <c r="G24" s="1"/>
    </row>
    <row r="25" spans="1:8">
      <c r="A25" s="44" t="s">
        <v>106</v>
      </c>
      <c r="B25" s="193">
        <f>DrawdownPercentage</f>
        <v>7.4999999999999997E-2</v>
      </c>
      <c r="C25"/>
      <c r="E25" s="175"/>
      <c r="H25" s="9"/>
    </row>
    <row r="26" spans="1:8">
      <c r="A26" s="44" t="s">
        <v>148</v>
      </c>
      <c r="B26" s="188" t="str">
        <f>LivingAnnuityTool!C7</f>
        <v>Monthly</v>
      </c>
      <c r="C26"/>
      <c r="E26" s="175"/>
      <c r="H26" s="9"/>
    </row>
    <row r="27" spans="1:8">
      <c r="A27" s="44" t="str">
        <f>LivingAnnuityTool!B6</f>
        <v>Age at which Life Guaranteed amount starts for Life</v>
      </c>
      <c r="B27" s="188">
        <f>StartofRA</f>
        <v>79</v>
      </c>
      <c r="C27"/>
      <c r="E27" s="175"/>
      <c r="H27" s="129"/>
    </row>
    <row r="28" spans="1:8">
      <c r="A28" s="44" t="str">
        <f>LivingAnnuityTool!B10</f>
        <v>Living Annuity per Month between 69 and 79</v>
      </c>
      <c r="B28" s="176">
        <f>LivingAnnuityTool!C10</f>
        <v>17488.599999999999</v>
      </c>
      <c r="C28" s="9"/>
      <c r="E28" s="175"/>
    </row>
    <row r="29" spans="1:8">
      <c r="A29" s="44" t="s">
        <v>149</v>
      </c>
      <c r="B29" s="176">
        <f>IF(B26="Monthly",IF(B28&lt;=4000,0,IF(B28&lt;=7000,(B28-4000)*5%,IF(B28&lt;=10000,150+(B28-7000)*12.5%,IF(B28&lt;=13000,6300+(B28-10000)*18.75%,1087.5+(B28-13000)*25%)))),IF(B28&lt;=48000,0,IF(B28&lt;=84000,(B28-48000)*5%,IF(B28&lt;=120000,1800+(B28-84000)*12.5%,IF(B28&lt;=156000,6300+(B28-120000)*18.75%,13050+(B28-156000)*25%)))))</f>
        <v>2209.6499999999996</v>
      </c>
      <c r="C29" s="9"/>
      <c r="E29" s="175"/>
    </row>
    <row r="30" spans="1:8" ht="15" thickBot="1">
      <c r="A30" s="189" t="s">
        <v>150</v>
      </c>
      <c r="B30" s="190">
        <f>B28-B29</f>
        <v>15278.949999999999</v>
      </c>
      <c r="C30" s="9"/>
      <c r="E30" s="175"/>
    </row>
    <row r="31" spans="1:8" ht="15" thickTop="1">
      <c r="A31" s="44" t="str">
        <f>LivingAnnuityTool!B11</f>
        <v>Funds remaining at end of drawdown period aged 79</v>
      </c>
      <c r="B31" s="176">
        <f ca="1">FundsAtEndofDrawdown</f>
        <v>1209695.9444801386</v>
      </c>
      <c r="C31"/>
      <c r="E31" s="175"/>
    </row>
    <row r="32" spans="1:8">
      <c r="A32" s="44" t="str">
        <f>LivingAnnuityTool!B12</f>
        <v>Life Annuity per Month starting at 79</v>
      </c>
      <c r="B32" s="191">
        <f>LivingAnnuityTool!C12</f>
        <v>6234.7220095610019</v>
      </c>
      <c r="C32"/>
      <c r="E32" s="175"/>
    </row>
    <row r="33" spans="1:5">
      <c r="A33" s="44" t="s">
        <v>149</v>
      </c>
      <c r="B33" s="176">
        <f>IF(B26="Monthly",IF(B32&lt;=4000,0,IF(B32&lt;=7000,(B32-4000)*5%,IF(B32&lt;=10000,150+(B32-7000)*12.5%,IF(B32&lt;=13000,6300+(B32-10000)*18.75%,1087.5+(B32-13000)*25%)))),IF(B32&lt;=48000,0,IF(B32&lt;=84000,(B32-48000)*5%,IF(B32&lt;=120000,1800+(B32-84000)*12.5%,IF(B32&lt;=156000,6300+(B32-120000)*18.75%,13050+(B32-156000)*25%)))))</f>
        <v>111.7361004780501</v>
      </c>
      <c r="C33"/>
      <c r="E33" s="175"/>
    </row>
    <row r="34" spans="1:5" ht="15" thickBot="1">
      <c r="A34" s="189" t="s">
        <v>151</v>
      </c>
      <c r="B34" s="190">
        <f>B32-B33</f>
        <v>6122.9859090829514</v>
      </c>
      <c r="C34"/>
      <c r="E34" s="175"/>
    </row>
    <row r="35" spans="1:5" ht="15" thickTop="1">
      <c r="A35" s="47"/>
      <c r="B35" s="192"/>
      <c r="C35" s="49"/>
      <c r="D35" s="40"/>
      <c r="E35" s="19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77B0E-C43B-4D9D-8B40-4108DC193247}">
  <sheetPr codeName="Sheet2"/>
  <dimension ref="D1:L19"/>
  <sheetViews>
    <sheetView workbookViewId="0">
      <selection activeCell="N10" sqref="N10:N11"/>
    </sheetView>
  </sheetViews>
  <sheetFormatPr defaultRowHeight="14.4"/>
  <cols>
    <col min="4" max="4" width="14.6640625" bestFit="1" customWidth="1"/>
    <col min="5" max="5" width="12.5546875" bestFit="1" customWidth="1"/>
    <col min="6" max="6" width="38.88671875" bestFit="1" customWidth="1"/>
    <col min="9" max="9" width="9.109375" bestFit="1" customWidth="1"/>
    <col min="10" max="10" width="12.6640625" bestFit="1" customWidth="1"/>
    <col min="11" max="11" width="8.5546875" customWidth="1"/>
    <col min="12" max="12" width="9.88671875" bestFit="1" customWidth="1"/>
  </cols>
  <sheetData>
    <row r="1" spans="4:12">
      <c r="D1" s="1" t="s">
        <v>49</v>
      </c>
    </row>
    <row r="3" spans="4:12" ht="15" thickBot="1">
      <c r="L3" s="4">
        <v>2000000</v>
      </c>
    </row>
    <row r="4" spans="4:12" ht="15.6">
      <c r="D4" s="11" t="s">
        <v>15</v>
      </c>
      <c r="E4" s="17"/>
      <c r="F4" s="12"/>
    </row>
    <row r="5" spans="4:12" ht="16.2" thickBot="1">
      <c r="D5" s="13" t="s">
        <v>16</v>
      </c>
      <c r="E5" s="14" t="s">
        <v>17</v>
      </c>
      <c r="F5" s="18" t="s">
        <v>18</v>
      </c>
      <c r="I5" s="20" t="s">
        <v>28</v>
      </c>
      <c r="J5" s="20" t="s">
        <v>26</v>
      </c>
    </row>
    <row r="6" spans="4:12" ht="16.2" thickBot="1">
      <c r="D6" s="23">
        <v>0</v>
      </c>
      <c r="E6" s="24">
        <v>84000</v>
      </c>
      <c r="F6" s="19" t="s">
        <v>19</v>
      </c>
      <c r="I6" s="28">
        <v>48000</v>
      </c>
      <c r="J6">
        <v>0</v>
      </c>
      <c r="K6" s="29">
        <v>0.05</v>
      </c>
      <c r="L6" s="28">
        <f>MIN(I6,$L$3)</f>
        <v>48000</v>
      </c>
    </row>
    <row r="7" spans="4:12" ht="16.2" thickBot="1">
      <c r="D7" s="25">
        <v>84001</v>
      </c>
      <c r="E7" s="26">
        <v>120000</v>
      </c>
      <c r="F7" s="19" t="s">
        <v>20</v>
      </c>
      <c r="I7" s="28">
        <f>D7</f>
        <v>84001</v>
      </c>
      <c r="J7" s="28">
        <f>K6*(E6-I6)+J6</f>
        <v>1800</v>
      </c>
      <c r="K7" s="29">
        <v>0.125</v>
      </c>
      <c r="L7" s="28">
        <f t="shared" ref="L7:L9" si="0">MIN(I7,$L$3)</f>
        <v>84001</v>
      </c>
    </row>
    <row r="8" spans="4:12" ht="16.2" thickBot="1">
      <c r="D8" s="25">
        <v>120001</v>
      </c>
      <c r="E8" s="26">
        <v>156000</v>
      </c>
      <c r="F8" s="19" t="s">
        <v>21</v>
      </c>
      <c r="I8" s="28">
        <f t="shared" ref="I8:I9" si="1">D8</f>
        <v>120001</v>
      </c>
      <c r="J8" s="28">
        <f t="shared" ref="J8:J9" si="2">K7*(E7-I7)+J7</f>
        <v>6299.875</v>
      </c>
      <c r="K8" s="29">
        <v>0.1875</v>
      </c>
      <c r="L8" s="28">
        <f t="shared" si="0"/>
        <v>120001</v>
      </c>
    </row>
    <row r="9" spans="4:12" ht="16.2" thickBot="1">
      <c r="D9" s="27">
        <v>156001</v>
      </c>
      <c r="E9" s="26"/>
      <c r="F9" s="19" t="s">
        <v>22</v>
      </c>
      <c r="I9" s="28">
        <f t="shared" si="1"/>
        <v>156001</v>
      </c>
      <c r="J9" s="28">
        <f t="shared" si="2"/>
        <v>13049.6875</v>
      </c>
      <c r="K9" s="29">
        <v>0.25</v>
      </c>
      <c r="L9" s="28">
        <f t="shared" si="0"/>
        <v>156001</v>
      </c>
    </row>
    <row r="10" spans="4:12" ht="15.6">
      <c r="D10" s="21"/>
      <c r="E10" s="22"/>
    </row>
    <row r="11" spans="4:12" ht="15.6">
      <c r="D11" s="15"/>
    </row>
    <row r="12" spans="4:12" ht="15.6">
      <c r="D12" s="16"/>
    </row>
    <row r="13" spans="4:12" ht="16.2" thickBot="1">
      <c r="D13" s="16"/>
    </row>
    <row r="14" spans="4:12" ht="15.6">
      <c r="D14" s="11" t="s">
        <v>15</v>
      </c>
      <c r="E14" s="17"/>
      <c r="F14" s="12"/>
    </row>
    <row r="15" spans="4:12" ht="16.2" thickBot="1">
      <c r="D15" s="13" t="s">
        <v>16</v>
      </c>
      <c r="E15" s="14" t="s">
        <v>17</v>
      </c>
      <c r="F15" s="18" t="s">
        <v>18</v>
      </c>
    </row>
    <row r="16" spans="4:12" ht="16.2" thickBot="1">
      <c r="D16" s="23" t="s">
        <v>27</v>
      </c>
      <c r="E16" s="24">
        <v>84000</v>
      </c>
      <c r="F16" s="19" t="s">
        <v>19</v>
      </c>
    </row>
    <row r="17" spans="4:6" ht="16.2" thickBot="1">
      <c r="D17" s="25">
        <v>84001</v>
      </c>
      <c r="E17" s="26">
        <v>120000</v>
      </c>
      <c r="F17" s="19" t="s">
        <v>23</v>
      </c>
    </row>
    <row r="18" spans="4:6" ht="16.2" thickBot="1">
      <c r="D18" s="25">
        <v>120001</v>
      </c>
      <c r="E18" s="26">
        <v>156000</v>
      </c>
      <c r="F18" s="19" t="s">
        <v>24</v>
      </c>
    </row>
    <row r="19" spans="4:6" ht="16.2" thickBot="1">
      <c r="D19" s="27">
        <v>156001</v>
      </c>
      <c r="E19" s="26"/>
      <c r="F19" s="19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49</vt:i4>
      </vt:variant>
    </vt:vector>
  </HeadingPairs>
  <TitlesOfParts>
    <vt:vector size="53" baseType="lpstr">
      <vt:lpstr>InputOuput</vt:lpstr>
      <vt:lpstr>LivingAnnuityTool</vt:lpstr>
      <vt:lpstr>Quote Summary</vt:lpstr>
      <vt:lpstr>Tax</vt:lpstr>
      <vt:lpstr>AgeAtStart</vt:lpstr>
      <vt:lpstr>AmountInvested</vt:lpstr>
      <vt:lpstr>AmountInvested1</vt:lpstr>
      <vt:lpstr>AnnualOrMonthly</vt:lpstr>
      <vt:lpstr>CheckTotal</vt:lpstr>
      <vt:lpstr>CheckTotal1</vt:lpstr>
      <vt:lpstr>DrawdownPercentage</vt:lpstr>
      <vt:lpstr>ExpectedLifeYearsRemaining</vt:lpstr>
      <vt:lpstr>ExpectedLifeYearsRemaining1</vt:lpstr>
      <vt:lpstr>ExpectedPaymentPeriod</vt:lpstr>
      <vt:lpstr>ExpectedPaymentPeriod1</vt:lpstr>
      <vt:lpstr>FundsAtEndofDrawdown</vt:lpstr>
      <vt:lpstr>ModelPoint</vt:lpstr>
      <vt:lpstr>MonthlyBenefit</vt:lpstr>
      <vt:lpstr>MonthlyBenefit1</vt:lpstr>
      <vt:lpstr>NoOfFullPmtsToAnnuitant</vt:lpstr>
      <vt:lpstr>NoOfFullPmtsToAnnuitant1</vt:lpstr>
      <vt:lpstr>Notice1</vt:lpstr>
      <vt:lpstr>PresentValueOfAllCharges</vt:lpstr>
      <vt:lpstr>PresentValueOfAllCharges1</vt:lpstr>
      <vt:lpstr>PresentValueOfAssetManagementCharges</vt:lpstr>
      <vt:lpstr>PresentValueOfAssetManagementCharges1</vt:lpstr>
      <vt:lpstr>PresentValueOfBenefitsToAnnuitant</vt:lpstr>
      <vt:lpstr>PresentValueOfBenefitsToAnnuitant1</vt:lpstr>
      <vt:lpstr>PresentValueOfBenefitsToAnnuitantExclFuneral</vt:lpstr>
      <vt:lpstr>PresentValueOfBenefitsToAnnuitantExclFuneral1</vt:lpstr>
      <vt:lpstr>PresentValueOfCommissionPayments</vt:lpstr>
      <vt:lpstr>PresentValueOfCommissionPayments1</vt:lpstr>
      <vt:lpstr>PresentValueOfFeesToInsurer</vt:lpstr>
      <vt:lpstr>PresentValueOfFeesToInsurer1</vt:lpstr>
      <vt:lpstr>PurchaseAmount</vt:lpstr>
      <vt:lpstr>PVOfFeesAsOfAssetsManaged</vt:lpstr>
      <vt:lpstr>PVofFeesAsOfAssetsManaged1</vt:lpstr>
      <vt:lpstr>RecommendedDrawdown</vt:lpstr>
      <vt:lpstr>RemainderPaidInFinalPayment</vt:lpstr>
      <vt:lpstr>RemainderPaidInFinalPayment1</vt:lpstr>
      <vt:lpstr>SolveLifeAnnuity</vt:lpstr>
      <vt:lpstr>SolveZeroAt100</vt:lpstr>
      <vt:lpstr>StartofLA</vt:lpstr>
      <vt:lpstr>StartofRA</vt:lpstr>
      <vt:lpstr>SumOfAssetManagementCharges</vt:lpstr>
      <vt:lpstr>SumofAssetManagementCharges1</vt:lpstr>
      <vt:lpstr>SumOfBenefitsToAnnuitant</vt:lpstr>
      <vt:lpstr>SumOfBenefitsToAnnuitant1</vt:lpstr>
      <vt:lpstr>SumOfCommissionPayments</vt:lpstr>
      <vt:lpstr>SumOfCommissionPayments1</vt:lpstr>
      <vt:lpstr>SumOfFeesToInsurer</vt:lpstr>
      <vt:lpstr>SumOfFeesToInsurer1</vt:lpstr>
      <vt:lpstr>TotalModelPoints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Roux</dc:creator>
  <cp:lastModifiedBy>Thabang</cp:lastModifiedBy>
  <dcterms:created xsi:type="dcterms:W3CDTF">2024-02-02T06:15:22Z</dcterms:created>
  <dcterms:modified xsi:type="dcterms:W3CDTF">2025-03-26T14:46:42Z</dcterms:modified>
</cp:coreProperties>
</file>